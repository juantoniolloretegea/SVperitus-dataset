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f9d7b52fdc4800" /></Relationships>
</file>

<file path=xl/workbook.xml><?xml version="1.0" encoding="utf-8"?>
<x:workbook xmlns:x="http://schemas.openxmlformats.org/spreadsheetml/2006/main">
  <x:sheets>
    <x:sheet xmlns:r="http://schemas.openxmlformats.org/officeDocument/2006/relationships" name="00_Estatuto" sheetId="1" r:id="Ra39db58bc6684dbe"/>
    <x:sheet xmlns:r="http://schemas.openxmlformats.org/officeDocument/2006/relationships" name="01_Fuentes" sheetId="2" r:id="Rff5bd822bbd94073"/>
    <x:sheet xmlns:r="http://schemas.openxmlformats.org/officeDocument/2006/relationships" name="02_Custodia" sheetId="3" r:id="R2c5f539fd3ad420a"/>
    <x:sheet xmlns:r="http://schemas.openxmlformats.org/officeDocument/2006/relationships" name="03_NICE" sheetId="4" r:id="R8be5fe3e47664fb2"/>
    <x:sheet xmlns:r="http://schemas.openxmlformats.org/officeDocument/2006/relationships" name="04_TKS" sheetId="5" r:id="R7ab20416a273421a"/>
    <x:sheet xmlns:r="http://schemas.openxmlformats.org/officeDocument/2006/relationships" name="05_Complementos" sheetId="6" r:id="Rf667e39162d04ec2"/>
    <x:sheet xmlns:r="http://schemas.openxmlformats.org/officeDocument/2006/relationships" name="06_Cobertura" sheetId="7" r:id="Rbfb4a22415774428"/>
    <x:sheet xmlns:r="http://schemas.openxmlformats.org/officeDocument/2006/relationships" name="07_Operaciones" sheetId="8" r:id="R44e3696e64a34cb8"/>
    <x:sheet xmlns:r="http://schemas.openxmlformats.org/officeDocument/2006/relationships" name="08_Trazas" sheetId="9" r:id="Rae22aae9fd574598"/>
    <x:sheet xmlns:r="http://schemas.openxmlformats.org/officeDocument/2006/relationships" name="09_Decisiones" sheetId="10" r:id="Rfffdb44e12a54a7a"/>
    <x:sheet xmlns:r="http://schemas.openxmlformats.org/officeDocument/2006/relationships" name="10_Adversarial" sheetId="11" r:id="R4fcaf80458e74b7a"/>
    <x:sheet xmlns:r="http://schemas.openxmlformats.org/officeDocument/2006/relationships" name="11_Controles" sheetId="12" r:id="Ra7453f97610a4856"/>
    <x:sheet xmlns:r="http://schemas.openxmlformats.org/officeDocument/2006/relationships" name="12_Glosario" sheetId="13" r:id="Rf01feec3841740a7"/>
    <x:sheet xmlns:r="http://schemas.openxmlformats.org/officeDocument/2006/relationships" name="13_Relaciones_NICE" sheetId="14" r:id="R90d573b1600e4efe"/>
    <x:sheet xmlns:r="http://schemas.openxmlformats.org/officeDocument/2006/relationships" name="14_Comparacion" sheetId="15" r:id="Rd601af7033534d2c"/>
    <x:sheet xmlns:r="http://schemas.openxmlformats.org/officeDocument/2006/relationships" name="15_Base_universitaria" sheetId="16" r:id="R609e0908a68b4c80"/>
    <x:sheet xmlns:r="http://schemas.openxmlformats.org/officeDocument/2006/relationships" name="16_Progresion" sheetId="17" r:id="R5fc7087bb9bb4f90"/>
    <x:sheet xmlns:r="http://schemas.openxmlformats.org/officeDocument/2006/relationships" name="17_Comp_educativos" sheetId="18" r:id="Ra8d2736f56f64e9d"/>
    <x:sheet xmlns:r="http://schemas.openxmlformats.org/officeDocument/2006/relationships" name="18_Necesidades_IA" sheetId="19" r:id="R76cf1e81fa2d424f"/>
    <x:sheet xmlns:r="http://schemas.openxmlformats.org/officeDocument/2006/relationships" name="19_Consecuencias" sheetId="20" r:id="Rb009880028fd4ebf"/>
    <x:sheet xmlns:r="http://schemas.openxmlformats.org/officeDocument/2006/relationships" name="20_Familias" sheetId="21" r:id="R70211a84d9be4e3a"/>
    <x:sheet xmlns:r="http://schemas.openxmlformats.org/officeDocument/2006/relationships" name="21_Fuentes_educativas" sheetId="22" r:id="Rcbebd8da80864ace"/>
    <x:sheet xmlns:r="http://schemas.openxmlformats.org/officeDocument/2006/relationships" name="22_Revision_curricular" sheetId="23" r:id="R8ded8b331f004fee"/>
    <x:sheet xmlns:r="http://schemas.openxmlformats.org/officeDocument/2006/relationships" name="23_Control_curricular" sheetId="24" r:id="R54958f188d5a452f"/>
    <x:sheet xmlns:r="http://schemas.openxmlformats.org/officeDocument/2006/relationships" name="24_Gobierno" sheetId="25" r:id="R0d7a1d881bba4854"/>
    <x:sheet xmlns:r="http://schemas.openxmlformats.org/officeDocument/2006/relationships" name="25_Delimitacion" sheetId="26" r:id="R893ae9a6412b4acf"/>
    <x:sheet xmlns:r="http://schemas.openxmlformats.org/officeDocument/2006/relationships" name="26_Mapa_universos" sheetId="27" r:id="Re9573b01b63c49bd"/>
    <x:sheet xmlns:r="http://schemas.openxmlformats.org/officeDocument/2006/relationships" name="27_Cobertura_aprendizaje" sheetId="28" r:id="R6b7deedb396743d8"/>
    <x:sheet xmlns:r="http://schemas.openxmlformats.org/officeDocument/2006/relationships" name="28_Relaciones_candidatas" sheetId="29" r:id="Rb075dfd577d54a4b"/>
    <x:sheet xmlns:r="http://schemas.openxmlformats.org/officeDocument/2006/relationships" name="29_Camino_constitutivo" sheetId="30" r:id="Rd129576a07e440b5"/>
    <x:sheet xmlns:r="http://schemas.openxmlformats.org/officeDocument/2006/relationships" name="30_Revision_acotacion" sheetId="31" r:id="Rdaa38743493e4bd9"/>
    <x:sheet xmlns:r="http://schemas.openxmlformats.org/officeDocument/2006/relationships" name="31_Control_acotacion" sheetId="32" r:id="R80161ee7e34943c6"/>
    <x:sheet xmlns:r="http://schemas.openxmlformats.org/officeDocument/2006/relationships" name="32_Fuentes_metodo" sheetId="33" r:id="Rf873ea9b9c4e41fa"/>
    <x:sheet xmlns:r="http://schemas.openxmlformats.org/officeDocument/2006/relationships" name="33_Correspondencia_mapa" sheetId="34" r:id="Racc2edb3b4424fa6"/>
    <x:sheet xmlns:r="http://schemas.openxmlformats.org/officeDocument/2006/relationships" name="34_Consecuencias_enlace" sheetId="35" r:id="R0514344814b44254"/>
    <x:sheet xmlns:r="http://schemas.openxmlformats.org/officeDocument/2006/relationships" name="35_Consejo_y_frame" sheetId="36" r:id="R9042539775cd4a14"/>
    <x:sheet xmlns:r="http://schemas.openxmlformats.org/officeDocument/2006/relationships" name="36_Seleccion_y_lagunas" sheetId="37" r:id="R93a48ec079ed47b1"/>
    <x:sheet xmlns:r="http://schemas.openxmlformats.org/officeDocument/2006/relationships" name="37_Operacion_CYB_001" sheetId="38" r:id="R66e4c0a8833546a6"/>
    <x:sheet xmlns:r="http://schemas.openxmlformats.org/officeDocument/2006/relationships" name="38_Q0_y_terminacion" sheetId="39" r:id="R6cd3d13ee318471a"/>
    <x:sheet xmlns:r="http://schemas.openxmlformats.org/officeDocument/2006/relationships" name="39_Primer_parametro" sheetId="40" r:id="R94aa7382251c4d1f"/>
    <x:sheet xmlns:r="http://schemas.openxmlformats.org/officeDocument/2006/relationships" name="40_Consecuencias_G4" sheetId="41" r:id="R4c3b2867c32b4dc8"/>
    <x:sheet xmlns:r="http://schemas.openxmlformats.org/officeDocument/2006/relationships" name="41_Testigos_G5" sheetId="42" r:id="Ree7df79611964053"/>
    <x:sheet xmlns:r="http://schemas.openxmlformats.org/officeDocument/2006/relationships" name="42_Adversarial_G5" sheetId="43" r:id="Ra4a3fe5050e34322"/>
    <x:sheet xmlns:r="http://schemas.openxmlformats.org/officeDocument/2006/relationships" name="43_Fuentes_atomicas" sheetId="44" r:id="R769d39c763434075"/>
    <x:sheet xmlns:r="http://schemas.openxmlformats.org/officeDocument/2006/relationships" name="44_Control_G5" sheetId="45" r:id="R7c230c46e76f4e9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General"/>
    <x:numFmt numFmtId="202" formatCode="0"/>
  </x:numFmts>
  <x:fonts count="6">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s>
  <x:fills count="5">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2" fontId="5" fillId="0" borderId="0" xfId="0" applyNumberFormat="1" applyFont="1" applyFill="1" applyBorder="1" applyAlignment="1">
      <x:alignment vertical="top" wrapText="1"/>
    </x:xf>
  </x:cellXfs>
  <x:cellStyles count="1">
    <x:cellStyle name="Normal" xfId="0"/>
  </x:cellStyles>
  <x:dxfs count="24">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color rgb="FF8A5A12"/>
      </x:font>
      <x:fill>
        <x:patternFill patternType="solid">
          <x:bgColor rgb="FFFFF0D4"/>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f1466322ef4352" /><Relationship Type="http://schemas.openxmlformats.org/officeDocument/2006/relationships/theme" Target="/xl/theme/theme1.xml" Id="R4b1e3caa68ec473f" /><Relationship Type="http://schemas.openxmlformats.org/officeDocument/2006/relationships/sharedStrings" Target="/xl/sharedStrings.xml" Id="R670c6faff5c0404c" /><Relationship Type="http://schemas.openxmlformats.org/officeDocument/2006/relationships/worksheet" Target="/xl/worksheets/sheet1.xml" Id="Ra39db58bc6684dbe" /><Relationship Type="http://schemas.openxmlformats.org/officeDocument/2006/relationships/worksheet" Target="/xl/worksheets/sheet2.xml" Id="Rff5bd822bbd94073" /><Relationship Type="http://schemas.openxmlformats.org/officeDocument/2006/relationships/worksheet" Target="/xl/worksheets/sheet3.xml" Id="R2c5f539fd3ad420a" /><Relationship Type="http://schemas.openxmlformats.org/officeDocument/2006/relationships/worksheet" Target="/xl/worksheets/sheet4.xml" Id="R8be5fe3e47664fb2" /><Relationship Type="http://schemas.openxmlformats.org/officeDocument/2006/relationships/worksheet" Target="/xl/worksheets/sheet5.xml" Id="R7ab20416a273421a" /><Relationship Type="http://schemas.openxmlformats.org/officeDocument/2006/relationships/worksheet" Target="/xl/worksheets/sheet6.xml" Id="Rf667e39162d04ec2" /><Relationship Type="http://schemas.openxmlformats.org/officeDocument/2006/relationships/worksheet" Target="/xl/worksheets/sheet7.xml" Id="Rbfb4a22415774428" /><Relationship Type="http://schemas.openxmlformats.org/officeDocument/2006/relationships/worksheet" Target="/xl/worksheets/sheet8.xml" Id="R44e3696e64a34cb8" /><Relationship Type="http://schemas.openxmlformats.org/officeDocument/2006/relationships/worksheet" Target="/xl/worksheets/sheet9.xml" Id="Rae22aae9fd574598" /><Relationship Type="http://schemas.openxmlformats.org/officeDocument/2006/relationships/worksheet" Target="/xl/worksheets/sheet10.xml" Id="Rfffdb44e12a54a7a" /><Relationship Type="http://schemas.openxmlformats.org/officeDocument/2006/relationships/worksheet" Target="/xl/worksheets/sheet11.xml" Id="R4fcaf80458e74b7a" /><Relationship Type="http://schemas.openxmlformats.org/officeDocument/2006/relationships/worksheet" Target="/xl/worksheets/sheet12.xml" Id="Ra7453f97610a4856" /><Relationship Type="http://schemas.openxmlformats.org/officeDocument/2006/relationships/worksheet" Target="/xl/worksheets/sheet13.xml" Id="Rf01feec3841740a7" /><Relationship Type="http://schemas.openxmlformats.org/officeDocument/2006/relationships/worksheet" Target="/xl/worksheets/sheet14.xml" Id="R90d573b1600e4efe" /><Relationship Type="http://schemas.openxmlformats.org/officeDocument/2006/relationships/worksheet" Target="/xl/worksheets/sheet15.xml" Id="Rd601af7033534d2c" /><Relationship Type="http://schemas.openxmlformats.org/officeDocument/2006/relationships/worksheet" Target="/xl/worksheets/sheet16.xml" Id="R609e0908a68b4c80" /><Relationship Type="http://schemas.openxmlformats.org/officeDocument/2006/relationships/worksheet" Target="/xl/worksheets/sheet17.xml" Id="R5fc7087bb9bb4f90" /><Relationship Type="http://schemas.openxmlformats.org/officeDocument/2006/relationships/worksheet" Target="/xl/worksheets/sheet18.xml" Id="Ra8d2736f56f64e9d" /><Relationship Type="http://schemas.openxmlformats.org/officeDocument/2006/relationships/worksheet" Target="/xl/worksheets/sheet19.xml" Id="R76cf1e81fa2d424f" /><Relationship Type="http://schemas.openxmlformats.org/officeDocument/2006/relationships/worksheet" Target="/xl/worksheets/sheet20.xml" Id="Rb009880028fd4ebf" /><Relationship Type="http://schemas.openxmlformats.org/officeDocument/2006/relationships/worksheet" Target="/xl/worksheets/sheet21.xml" Id="R70211a84d9be4e3a" /><Relationship Type="http://schemas.openxmlformats.org/officeDocument/2006/relationships/worksheet" Target="/xl/worksheets/sheet22.xml" Id="Rcbebd8da80864ace" /><Relationship Type="http://schemas.openxmlformats.org/officeDocument/2006/relationships/worksheet" Target="/xl/worksheets/sheet23.xml" Id="R8ded8b331f004fee" /><Relationship Type="http://schemas.openxmlformats.org/officeDocument/2006/relationships/worksheet" Target="/xl/worksheets/sheet24.xml" Id="R54958f188d5a452f" /><Relationship Type="http://schemas.openxmlformats.org/officeDocument/2006/relationships/worksheet" Target="/xl/worksheets/sheet25.xml" Id="R0d7a1d881bba4854" /><Relationship Type="http://schemas.openxmlformats.org/officeDocument/2006/relationships/worksheet" Target="/xl/worksheets/sheet26.xml" Id="R893ae9a6412b4acf" /><Relationship Type="http://schemas.openxmlformats.org/officeDocument/2006/relationships/worksheet" Target="/xl/worksheets/sheet27.xml" Id="Re9573b01b63c49bd" /><Relationship Type="http://schemas.openxmlformats.org/officeDocument/2006/relationships/worksheet" Target="/xl/worksheets/sheet28.xml" Id="R6b7deedb396743d8" /><Relationship Type="http://schemas.openxmlformats.org/officeDocument/2006/relationships/worksheet" Target="/xl/worksheets/sheet29.xml" Id="Rb075dfd577d54a4b" /><Relationship Type="http://schemas.openxmlformats.org/officeDocument/2006/relationships/worksheet" Target="/xl/worksheets/sheet30.xml" Id="Rd129576a07e440b5" /><Relationship Type="http://schemas.openxmlformats.org/officeDocument/2006/relationships/worksheet" Target="/xl/worksheets/sheet31.xml" Id="Rdaa38743493e4bd9" /><Relationship Type="http://schemas.openxmlformats.org/officeDocument/2006/relationships/worksheet" Target="/xl/worksheets/sheet32.xml" Id="R80161ee7e34943c6" /><Relationship Type="http://schemas.openxmlformats.org/officeDocument/2006/relationships/worksheet" Target="/xl/worksheets/sheet33.xml" Id="Rf873ea9b9c4e41fa" /><Relationship Type="http://schemas.openxmlformats.org/officeDocument/2006/relationships/worksheet" Target="/xl/worksheets/sheet34.xml" Id="Racc2edb3b4424fa6" /><Relationship Type="http://schemas.openxmlformats.org/officeDocument/2006/relationships/worksheet" Target="/xl/worksheets/sheet35.xml" Id="R0514344814b44254" /><Relationship Type="http://schemas.openxmlformats.org/officeDocument/2006/relationships/worksheet" Target="/xl/worksheets/sheet36.xml" Id="R9042539775cd4a14" /><Relationship Type="http://schemas.openxmlformats.org/officeDocument/2006/relationships/worksheet" Target="/xl/worksheets/sheet37.xml" Id="R93a48ec079ed47b1" /><Relationship Type="http://schemas.openxmlformats.org/officeDocument/2006/relationships/worksheet" Target="/xl/worksheets/sheet38.xml" Id="R66e4c0a8833546a6" /><Relationship Type="http://schemas.openxmlformats.org/officeDocument/2006/relationships/worksheet" Target="/xl/worksheets/sheet39.xml" Id="R6cd3d13ee318471a" /><Relationship Type="http://schemas.openxmlformats.org/officeDocument/2006/relationships/worksheet" Target="/xl/worksheets/sheet40.xml" Id="R94aa7382251c4d1f" /><Relationship Type="http://schemas.openxmlformats.org/officeDocument/2006/relationships/worksheet" Target="/xl/worksheets/sheet41.xml" Id="R4c3b2867c32b4dc8" /><Relationship Type="http://schemas.openxmlformats.org/officeDocument/2006/relationships/worksheet" Target="/xl/worksheets/sheet42.xml" Id="Ree7df79611964053" /><Relationship Type="http://schemas.openxmlformats.org/officeDocument/2006/relationships/worksheet" Target="/xl/worksheets/sheet43.xml" Id="Ra4a3fe5050e34322" /><Relationship Type="http://schemas.openxmlformats.org/officeDocument/2006/relationships/worksheet" Target="/xl/worksheets/sheet44.xml" Id="R769d39c763434075" /><Relationship Type="http://schemas.openxmlformats.org/officeDocument/2006/relationships/worksheet" Target="/xl/worksheets/sheet45.xml" Id="R7c230c46e76f4e91" /></Relationships>
</file>

<file path=xl/tables/table1.xml><?xml version="1.0" encoding="utf-8"?>
<x:table xmlns:x="http://schemas.openxmlformats.org/spreadsheetml/2006/main" id="1" name="CYB_Estatuto" displayName="CYB_Estatuto" ref="A4:B46" headerRowCount="1" totalsRowCount="0" totalsRowShown="0">
  <x:autoFilter ref="A4:B46"/>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ables/table26.xml><?xml version="1.0" encoding="utf-8"?>
<x:table xmlns:x="http://schemas.openxmlformats.org/spreadsheetml/2006/main" id="26" name="CYB_Delimitacion" displayName="CYB_Delimitacion" ref="A4:F23" headerRowCount="1" totalsRowCount="0" totalsRowShown="0">
  <x:autoFilter ref="A4:F23"/>
  <x:tableColumns count="6">
    <x:tableColumn id="1" name="ID"/>
    <x:tableColumn id="2" name="Cuestión"/>
    <x:tableColumn id="3" name="Conclusión documentada o propuesta"/>
    <x:tableColumn id="4" name="Distinción y límite"/>
    <x:tableColumn id="5" name="Evidencia"/>
    <x:tableColumn id="6" name="Efecto en Ciberseguridad"/>
  </x:tableColumns>
  <x:tableStyleInfo name="TableStyleMedium2" showFirstColumn="0" showLastColumn="0" showRowStripes="1" showColumnStripes="0"/>
</x:table>
</file>

<file path=xl/tables/table27.xml><?xml version="1.0" encoding="utf-8"?>
<x:table xmlns:x="http://schemas.openxmlformats.org/spreadsheetml/2006/main" id="27" name="CYB_Mapa_universos" displayName="CYB_Mapa_universos" ref="A4:O33" headerRowCount="1" totalsRowCount="0" totalsRowShown="0">
  <x:autoFilter ref="A4:O33"/>
  <x:tableColumns count="15">
    <x:tableColumn id="1" name="ID"/>
    <x:tableColumn id="2" name="Agrupación editorial"/>
    <x:tableColumn id="3" name="Producto terminal"/>
    <x:tableColumn id="4" name="Objeto"/>
    <x:tableColumn id="5" name="Disparador"/>
    <x:tableColumn id="6" name="Autoridad"/>
    <x:tableColumn id="7" name="Frontera"/>
    <x:tableColumn id="8" name="Finalización"/>
    <x:tableColumn id="9" name="Conocimiento y saber hacer"/>
    <x:tableColumn id="10" name="Consecuencia de omitirlo · potencial"/>
    <x:tableColumn id="11" name="Ancla principal"/>
    <x:tableColumn id="12" name="Localizador y complemento"/>
    <x:tableColumn id="13" name="Estatuto"/>
    <x:tableColumn id="14" name="Duplicado"/>
    <x:tableColumn id="15" name="Campo ausente"/>
  </x:tableColumns>
  <x:tableStyleInfo name="TableStyleMedium2" showFirstColumn="0" showLastColumn="0" showRowStripes="1" showColumnStripes="0"/>
</x:table>
</file>

<file path=xl/tables/table28.xml><?xml version="1.0" encoding="utf-8"?>
<x:table xmlns:x="http://schemas.openxmlformats.org/spreadsheetml/2006/main" id="28" name="CYB_Cobertura_aprendizaje" displayName="CYB_Cobertura_aprendizaje" ref="A4:L131" headerRowCount="1" totalsRowCount="0" totalsRowShown="0">
  <x:autoFilter ref="A4:L131"/>
  <x:tableColumns count="12">
    <x:tableColumn id="1" name="Traza"/>
    <x:tableColumn id="2" name="Unidad"/>
    <x:tableColumn id="3" name="Clase"/>
    <x:tableColumn id="4" name="Destino"/>
    <x:tableColumn id="5" name="Conocimiento necesario"/>
    <x:tableColumn id="6" name="Saber hacer"/>
    <x:tableColumn id="7" name="Consecuencia / límite"/>
    <x:tableColumn id="8" name="Fuente"/>
    <x:tableColumn id="9" name="Localizador"/>
    <x:tableColumn id="10" name="Estatuto"/>
    <x:tableColumn id="11" name="Destino inválido"/>
    <x:tableColumn id="12" name="Fuente inválida"/>
  </x:tableColumns>
  <x:tableStyleInfo name="TableStyleMedium2" showFirstColumn="0" showLastColumn="0" showRowStripes="1" showColumnStripes="0"/>
</x:table>
</file>

<file path=xl/tables/table29.xml><?xml version="1.0" encoding="utf-8"?>
<x:table xmlns:x="http://schemas.openxmlformats.org/spreadsheetml/2006/main" id="29" name="CYB_Relaciones_candidatas" displayName="CYB_Relaciones_candidatas" ref="A4:K18" headerRowCount="1" totalsRowCount="0" totalsRowShown="0">
  <x:autoFilter ref="A4:K18"/>
  <x:tableColumns count="11">
    <x:tableColumn id="1" name="ID"/>
    <x:tableColumn id="2" name="Origen"/>
    <x:tableColumn id="3" name="Destino"/>
    <x:tableColumn id="4" name="Relación profesional"/>
    <x:tableColumn id="5" name="Contenido transmitido"/>
    <x:tableColumn id="6" name="Tratamiento de insuficiencia / U"/>
    <x:tableColumn id="7" name="Obligación de tipado y límite"/>
    <x:tableColumn id="8" name="Anclas"/>
    <x:tableColumn id="9" name="Estatuto"/>
    <x:tableColumn id="10" name="Origen inválido"/>
    <x:tableColumn id="11" name="Destino inválido"/>
  </x:tableColumns>
  <x:tableStyleInfo name="TableStyleMedium2" showFirstColumn="0" showLastColumn="0" showRowStripes="1" showColumnStripes="0"/>
</x:table>
</file>

<file path=xl/tables/table30.xml><?xml version="1.0" encoding="utf-8"?>
<x:table xmlns:x="http://schemas.openxmlformats.org/spreadsheetml/2006/main" id="30" name="CYB_Camino_constitutivo" displayName="CYB_Camino_constitutivo" ref="A4:G14" headerRowCount="1" totalsRowCount="0" totalsRowShown="0">
  <x:autoFilter ref="A4:G14"/>
  <x:tableColumns count="7">
    <x:tableColumn id="1" name="ID"/>
    <x:tableColumn id="2" name="Paso"/>
    <x:tableColumn id="3" name="Trabajo y criterio"/>
    <x:tableColumn id="4" name="Frontera / condición"/>
    <x:tableColumn id="5" name="Objeto de cierre"/>
    <x:tableColumn id="6" name="Fuente"/>
    <x:tableColumn id="7" name="Estado"/>
  </x:tableColumns>
  <x:tableStyleInfo name="TableStyleMedium2" showFirstColumn="0" showLastColumn="0" showRowStripes="1" showColumnStripes="0"/>
</x:table>
</file>

<file path=xl/tables/table31.xml><?xml version="1.0" encoding="utf-8"?>
<x:table xmlns:x="http://schemas.openxmlformats.org/spreadsheetml/2006/main" id="31" name="CYB_Revision_acotacion" displayName="CYB_Revision_acotacion" ref="A4:E29" headerRowCount="1" totalsRowCount="0" totalsRowShown="0">
  <x:autoFilter ref="A4:E29"/>
  <x:tableColumns count="5">
    <x:tableColumn id="1" name="ID"/>
    <x:tableColumn id="2" name="Ataque"/>
    <x:tableColumn id="3" name="Respuesta y evidencia"/>
    <x:tableColumn id="4" name="Resultado"/>
    <x:tableColumn id="5" name="Localizador"/>
  </x:tableColumns>
  <x:tableStyleInfo name="TableStyleMedium2" showFirstColumn="0" showLastColumn="0" showRowStripes="1" showColumnStripes="0"/>
</x:table>
</file>

<file path=xl/tables/table32.xml><?xml version="1.0" encoding="utf-8"?>
<x:table xmlns:x="http://schemas.openxmlformats.org/spreadsheetml/2006/main" id="32" name="CYB_Control_acotacion" displayName="CYB_Control_acotacion" ref="A4:E25" headerRowCount="1" totalsRowCount="0" totalsRowShown="0">
  <x:autoFilter ref="A4:E25"/>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33.xml><?xml version="1.0" encoding="utf-8"?>
<x:table xmlns:x="http://schemas.openxmlformats.org/spreadsheetml/2006/main" id="33" name="CYB_Fuentes_metodo" displayName="CYB_Fuentes_metodo" ref="A4:J23" headerRowCount="1" totalsRowCount="0" totalsRowShown="0">
  <x:autoFilter ref="A4:J23"/>
  <x:tableColumns count="10">
    <x:tableColumn id="1" name="ID"/>
    <x:tableColumn id="2" name="URL / identidad"/>
    <x:tableColumn id="3" name="Adquisición"/>
    <x:tableColumn id="4" name="Bytes · texto"/>
    <x:tableColumn id="5" name="SHA-256"/>
    <x:tableColumn id="6" name="Alcance de lectura"/>
    <x:tableColumn id="7" name="Corte Git o límite"/>
    <x:tableColumn id="8" name="Blob Git / incidencia"/>
    <x:tableColumn id="9" name="Duplicado"/>
    <x:tableColumn id="10" name="Huella defectuosa"/>
  </x:tableColumns>
  <x:tableStyleInfo name="TableStyleMedium2" showFirstColumn="0" showLastColumn="0" showRowStripes="1" showColumnStripes="0"/>
</x:table>
</file>

<file path=xl/tables/table34.xml><?xml version="1.0" encoding="utf-8"?>
<x:table xmlns:x="http://schemas.openxmlformats.org/spreadsheetml/2006/main" id="34" name="CYB_Correspondencia_mapa" displayName="CYB_Correspondencia_mapa" ref="A4:F34" headerRowCount="1" totalsRowCount="0" totalsRowShown="0">
  <x:autoFilter ref="A4:F34"/>
  <x:tableColumns count="6">
    <x:tableColumn id="1" name="Antecedente"/>
    <x:tableColumn id="2" name="Destino"/>
    <x:tableColumn id="3" name="Relación editorial"/>
    <x:tableColumn id="4" name="Justificación"/>
    <x:tableColumn id="5" name="Evidencia"/>
    <x:tableColumn id="6" name="Destino inválido"/>
  </x:tableColumns>
  <x:tableStyleInfo name="TableStyleMedium2" showFirstColumn="0" showLastColumn="0" showRowStripes="1" showColumnStripes="0"/>
</x:table>
</file>

<file path=xl/tables/table35.xml><?xml version="1.0" encoding="utf-8"?>
<x:table xmlns:x="http://schemas.openxmlformats.org/spreadsheetml/2006/main" id="35" name="CYB_Consecuencias_enlace" displayName="CYB_Consecuencias_enlace" ref="A4:R12" headerRowCount="1" totalsRowCount="0" totalsRowShown="0">
  <x:autoFilter ref="A4:R12"/>
  <x:tableColumns count="18">
    <x:tableColumn id="1" name="ID"/>
    <x:tableColumn id="2" name="Operación"/>
    <x:tableColumn id="3" name="Conocimiento A"/>
    <x:tableColumn id="4" name="Conocimiento B"/>
    <x:tableColumn id="5" name="Conocimiento C"/>
    <x:tableColumn id="6" name="Escenario hipotético"/>
    <x:tableColumn id="7" name="Enlace necesario"/>
    <x:tableColumn id="8" name="Consejo defectuoso si se omite"/>
    <x:tableColumn id="9" name="Consecuencia potencial"/>
    <x:tableColumn id="10" name="Consejo que debe poder fundamentarse"/>
    <x:tableColumn id="11" name="Fuente principal"/>
    <x:tableColumn id="12" name="Localizador"/>
    <x:tableColumn id="13" name="Límite de la evidencia"/>
    <x:tableColumn id="14" name="Necesidad de ruta / explicación"/>
    <x:tableColumn id="15" name="Estado probatorio"/>
    <x:tableColumn id="16" name="Operación inválida"/>
    <x:tableColumn id="17" name="Conocimiento inválido"/>
    <x:tableColumn id="18" name="Campo esencial ausente"/>
  </x:tableColumns>
  <x:tableStyleInfo name="TableStyleMedium2" showFirstColumn="0" showLastColumn="0" showRowStripes="1" showColumnStripes="0"/>
</x:table>
</file>

<file path=xl/tables/table36.xml><?xml version="1.0" encoding="utf-8"?>
<x:table xmlns:x="http://schemas.openxmlformats.org/spreadsheetml/2006/main" id="36" name="CYB_Consejo_y_frame" displayName="CYB_Consejo_y_frame" ref="A4:F16" headerRowCount="1" totalsRowCount="0" totalsRowShown="0">
  <x:autoFilter ref="A4:F16"/>
  <x:tableColumns count="6">
    <x:tableColumn id="1" name="ID"/>
    <x:tableColumn id="2" name="Objeto"/>
    <x:tableColumn id="3" name="Obligación"/>
    <x:tableColumn id="4" name="Omisión que debe impedirse"/>
    <x:tableColumn id="5" name="Fuente / localizador"/>
    <x:tableColumn id="6" name="Estatuto"/>
  </x:tableColumns>
  <x:tableStyleInfo name="TableStyleMedium2" showFirstColumn="0" showLastColumn="0" showRowStripes="1" showColumnStripes="0"/>
</x:table>
</file>

<file path=xl/tables/table37.xml><?xml version="1.0" encoding="utf-8"?>
<x:table xmlns:x="http://schemas.openxmlformats.org/spreadsheetml/2006/main" id="37" name="CYB_Seleccion_y_lagunas" displayName="CYB_Seleccion_y_lagunas" ref="A4:F16" headerRowCount="1" totalsRowCount="0" totalsRowShown="0">
  <x:autoFilter ref="A4:F16"/>
  <x:tableColumns count="6">
    <x:tableColumn id="1" name="ID"/>
    <x:tableColumn id="2" name="Cuestión"/>
    <x:tableColumn id="3" name="Decisión fundada"/>
    <x:tableColumn id="4" name="Límite que se conserva"/>
    <x:tableColumn id="5" name="Estado"/>
    <x:tableColumn id="6" name="Evidencia"/>
  </x:tableColumns>
  <x:tableStyleInfo name="TableStyleMedium2" showFirstColumn="0" showLastColumn="0" showRowStripes="1" showColumnStripes="0"/>
</x:table>
</file>

<file path=xl/tables/table38.xml><?xml version="1.0" encoding="utf-8"?>
<x:table xmlns:x="http://schemas.openxmlformats.org/spreadsheetml/2006/main" id="38" name="CYB_Operacion_CYB_001" displayName="CYB_Operacion_CYB_001" ref="A4:C18" headerRowCount="1" totalsRowCount="0" totalsRowShown="0">
  <x:autoFilter ref="A4:C18"/>
  <x:tableColumns count="3">
    <x:tableColumn id="1" name="Componente"/>
    <x:tableColumn id="2" name="Contrato del recorte"/>
    <x:tableColumn id="3" name="Frontera / fundamento"/>
  </x:tableColumns>
  <x:tableStyleInfo name="TableStyleMedium2" showFirstColumn="0" showLastColumn="0" showRowStripes="1" showColumnStripes="0"/>
</x:table>
</file>

<file path=xl/tables/table39.xml><?xml version="1.0" encoding="utf-8"?>
<x:table xmlns:x="http://schemas.openxmlformats.org/spreadsheetml/2006/main" id="39" name="CYB_Q0_y_terminacion" displayName="CYB_Q0_y_terminacion" ref="A4:J13" headerRowCount="1" totalsRowCount="0" totalsRowShown="0">
  <x:autoFilter ref="A4:J13"/>
  <x:tableColumns count="10">
    <x:tableColumn id="1" name="Raíz"/>
    <x:tableColumn id="2" name="Familia de pregunta"/>
    <x:tableColumn id="3" name="Pregunta"/>
    <x:tableColumn id="4" name="Distinciones declaradas antes de G5"/>
    <x:tableColumn id="5" name="D declaradas"/>
    <x:tableColumn id="6" name="D dictaminadas"/>
    <x:tableColumn id="7" name="D pendientes"/>
    <x:tableColumn id="8" name="Estado"/>
    <x:tableColumn id="9" name="Fuente"/>
    <x:tableColumn id="10" name="Consecuencia del pendiente"/>
  </x:tableColumns>
  <x:tableStyleInfo name="TableStyleMedium2" showFirstColumn="0" showLastColumn="0" showRowStripes="1" showColumnStripes="0"/>
</x:table>
</file>

<file path=xl/tables/table40.xml><?xml version="1.0" encoding="utf-8"?>
<x:table xmlns:x="http://schemas.openxmlformats.org/spreadsheetml/2006/main" id="40" name="CYB_Primer_parametro" displayName="CYB_Primer_parametro" ref="A4:C32" headerRowCount="1" totalsRowCount="0" totalsRowShown="0">
  <x:autoFilter ref="A4:C32"/>
  <x:tableColumns count="3">
    <x:tableColumn id="1" name="Elemento"/>
    <x:tableColumn id="2" name="Contrato"/>
    <x:tableColumn id="3" name="Justificación / límite"/>
  </x:tableColumns>
  <x:tableStyleInfo name="TableStyleMedium2" showFirstColumn="0" showLastColumn="0" showRowStripes="1" showColumnStripes="0"/>
</x:table>
</file>

<file path=xl/tables/table41.xml><?xml version="1.0" encoding="utf-8"?>
<x:table xmlns:x="http://schemas.openxmlformats.org/spreadsheetml/2006/main" id="41" name="CYB_Consecuencias_G4" displayName="CYB_Consecuencias_G4" ref="A4:H8" headerRowCount="1" totalsRowCount="0" totalsRowShown="0">
  <x:autoFilter ref="A4:H8"/>
  <x:tableColumns count="8">
    <x:tableColumn id="1" name="ID"/>
    <x:tableColumn id="2" name="Clase"/>
    <x:tableColumn id="3" name="Conocimiento que debe enlazarse"/>
    <x:tableColumn id="4" name="Error u omisión"/>
    <x:tableColumn id="5" name="Consejo afectado"/>
    <x:tableColumn id="6" name="Consecuencia"/>
    <x:tableColumn id="7" name="Condición / límite causal"/>
    <x:tableColumn id="8" name="Fuentes previas"/>
  </x:tableColumns>
  <x:tableStyleInfo name="TableStyleMedium2" showFirstColumn="0" showLastColumn="0" showRowStripes="1" showColumnStripes="0"/>
</x:table>
</file>

<file path=xl/tables/table42.xml><?xml version="1.0" encoding="utf-8"?>
<x:table xmlns:x="http://schemas.openxmlformats.org/spreadsheetml/2006/main" id="42" name="CYB_Testigos_G5" displayName="CYB_Testigos_G5" ref="A4:R32" headerRowCount="1" totalsRowCount="0" totalsRowShown="0">
  <x:autoFilter ref="A4:R32"/>
  <x:tableColumns count="18">
    <x:tableColumn id="1" name="ID"/>
    <x:tableColumn id="2" name="Ataque / familia"/>
    <x:tableColumn id="3" name="Perfil"/>
    <x:tableColumn id="4" name="Identidad"/>
    <x:tableColumn id="5" name="Procedencia"/>
    <x:tableColumn id="6" name="Captura"/>
    <x:tableColumn id="7" name="Ámbito"/>
    <x:tableColumn id="8" name="Resultado instalación"/>
    <x:tableColumn id="9" name="Observación"/>
    <x:tableColumn id="10" name="Lexema exacto"/>
    <x:tableColumn id="11" name="Clase esperada"/>
    <x:tableColumn id="12" name="Tri esperado"/>
    <x:tableColumn id="13" name="Diagnóstico esperado"/>
    <x:tableColumn id="14" name="Clase calculada"/>
    <x:tableColumn id="15" name="Tri calculado"/>
    <x:tableColumn id="16" name="Diagnóstico calculado"/>
    <x:tableColumn id="17" name="Concordancia"/>
    <x:tableColumn id="18" name="Interpretación"/>
  </x:tableColumns>
  <x:tableStyleInfo name="TableStyleMedium2" showFirstColumn="0" showLastColumn="0" showRowStripes="1" showColumnStripes="0"/>
</x:table>
</file>

<file path=xl/tables/table43.xml><?xml version="1.0" encoding="utf-8"?>
<x:table xmlns:x="http://schemas.openxmlformats.org/spreadsheetml/2006/main" id="43" name="CYB_Adversarial_G5" displayName="CYB_Adversarial_G5" ref="A4:E24" headerRowCount="1" totalsRowCount="0" totalsRowShown="0">
  <x:autoFilter ref="A4:E24"/>
  <x:tableColumns count="5">
    <x:tableColumn id="1" name="ID"/>
    <x:tableColumn id="2" name="Ataque"/>
    <x:tableColumn id="3" name="Resolución"/>
    <x:tableColumn id="4" name="Dictamen"/>
    <x:tableColumn id="5" name="Evidencia"/>
  </x:tableColumns>
  <x:tableStyleInfo name="TableStyleMedium2" showFirstColumn="0" showLastColumn="0" showRowStripes="1" showColumnStripes="0"/>
</x:table>
</file>

<file path=xl/tables/table44.xml><?xml version="1.0" encoding="utf-8"?>
<x:table xmlns:x="http://schemas.openxmlformats.org/spreadsheetml/2006/main" id="44" name="CYB_Fuentes_atomicas" displayName="CYB_Fuentes_atomicas" ref="A4:I15" headerRowCount="1" totalsRowCount="0" totalsRowShown="0">
  <x:autoFilter ref="A4:I15"/>
  <x:tableColumns count="9">
    <x:tableColumn id="1" name="ID"/>
    <x:tableColumn id="2" name="Documento y edición"/>
    <x:tableColumn id="3" name="URL"/>
    <x:tableColumn id="4" name="Localizador utilizado"/>
    <x:tableColumn id="5" name="Función de la fuente"/>
    <x:tableColumn id="6" name="Captura"/>
    <x:tableColumn id="7" name="Bytes exactos"/>
    <x:tableColumn id="8" name="SHA-256"/>
    <x:tableColumn id="9" name="Adopción / límite"/>
  </x:tableColumns>
  <x:tableStyleInfo name="TableStyleMedium2" showFirstColumn="0" showLastColumn="0" showRowStripes="1" showColumnStripes="0"/>
</x:table>
</file>

<file path=xl/tables/table45.xml><?xml version="1.0" encoding="utf-8"?>
<x:table xmlns:x="http://schemas.openxmlformats.org/spreadsheetml/2006/main" id="45" name="CYB_Control_G5" displayName="CYB_Control_G5" ref="A4:E16" headerRowCount="1" totalsRowCount="0" totalsRowShown="0">
  <x:autoFilter ref="A4:E16"/>
  <x:tableColumns count="5">
    <x:tableColumn id="1" name="ID"/>
    <x:tableColumn id="2" name="Control"/>
    <x:tableColumn id="3" name="Observado"/>
    <x:tableColumn id="4" name="Esperado"/>
    <x:tableColumn id="5" name="Lím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e489725809b4dbb" /></Relationships>
</file>

<file path=xl/worksheets/_rels/sheet2.xml.rels>&#65279;<?xml version="1.0" encoding="utf-8"?><Relationships xmlns="http://schemas.openxmlformats.org/package/2006/relationships"><Relationship Type="http://schemas.openxmlformats.org/officeDocument/2006/relationships/table" Target="/xl/tables/table2.xml" Id="R15bbb383ce254018" /></Relationships>
</file>

<file path=xl/worksheets/_rels/sheet3.xml.rels>&#65279;<?xml version="1.0" encoding="utf-8"?><Relationships xmlns="http://schemas.openxmlformats.org/package/2006/relationships"><Relationship Type="http://schemas.openxmlformats.org/officeDocument/2006/relationships/table" Target="/xl/tables/table3.xml" Id="Rea3f00e0cd5e42da" /></Relationships>
</file>

<file path=xl/worksheets/_rels/sheet4.xml.rels>&#65279;<?xml version="1.0" encoding="utf-8"?><Relationships xmlns="http://schemas.openxmlformats.org/package/2006/relationships"><Relationship Type="http://schemas.openxmlformats.org/officeDocument/2006/relationships/table" Target="/xl/tables/table4.xml" Id="R77de410378ab4d65" /></Relationships>
</file>

<file path=xl/worksheets/_rels/sheet5.xml.rels>&#65279;<?xml version="1.0" encoding="utf-8"?><Relationships xmlns="http://schemas.openxmlformats.org/package/2006/relationships"><Relationship Type="http://schemas.openxmlformats.org/officeDocument/2006/relationships/table" Target="/xl/tables/table5.xml" Id="R0d2e2da7cc2d4209" /></Relationships>
</file>

<file path=xl/worksheets/_rels/sheet6.xml.rels>&#65279;<?xml version="1.0" encoding="utf-8"?><Relationships xmlns="http://schemas.openxmlformats.org/package/2006/relationships"><Relationship Type="http://schemas.openxmlformats.org/officeDocument/2006/relationships/table" Target="/xl/tables/table6.xml" Id="R8f191eeca4624fdb" /></Relationships>
</file>

<file path=xl/worksheets/_rels/sheet7.xml.rels>&#65279;<?xml version="1.0" encoding="utf-8"?><Relationships xmlns="http://schemas.openxmlformats.org/package/2006/relationships"><Relationship Type="http://schemas.openxmlformats.org/officeDocument/2006/relationships/table" Target="/xl/tables/table7.xml" Id="R9b336fc87de9420d" /></Relationships>
</file>

<file path=xl/worksheets/_rels/sheet8.xml.rels>&#65279;<?xml version="1.0" encoding="utf-8"?><Relationships xmlns="http://schemas.openxmlformats.org/package/2006/relationships"><Relationship Type="http://schemas.openxmlformats.org/officeDocument/2006/relationships/table" Target="/xl/tables/table8.xml" Id="Re408332f03734245" /></Relationships>
</file>

<file path=xl/worksheets/_rels/sheet9.xml.rels>&#65279;<?xml version="1.0" encoding="utf-8"?><Relationships xmlns="http://schemas.openxmlformats.org/package/2006/relationships"><Relationship Type="http://schemas.openxmlformats.org/officeDocument/2006/relationships/table" Target="/xl/tables/table9.xml" Id="R0be02f69d2704ebf" /></Relationships>
</file>

<file path=xl/worksheets/_rels/sheet10.xml.rels>&#65279;<?xml version="1.0" encoding="utf-8"?><Relationships xmlns="http://schemas.openxmlformats.org/package/2006/relationships"><Relationship Type="http://schemas.openxmlformats.org/officeDocument/2006/relationships/table" Target="/xl/tables/table10.xml" Id="Ra849f60a04bd4e8b" /></Relationships>
</file>

<file path=xl/worksheets/_rels/sheet11.xml.rels>&#65279;<?xml version="1.0" encoding="utf-8"?><Relationships xmlns="http://schemas.openxmlformats.org/package/2006/relationships"><Relationship Type="http://schemas.openxmlformats.org/officeDocument/2006/relationships/table" Target="/xl/tables/table11.xml" Id="Rd7f9f1d7015c42ce" /></Relationships>
</file>

<file path=xl/worksheets/_rels/sheet12.xml.rels>&#65279;<?xml version="1.0" encoding="utf-8"?><Relationships xmlns="http://schemas.openxmlformats.org/package/2006/relationships"><Relationship Type="http://schemas.openxmlformats.org/officeDocument/2006/relationships/table" Target="/xl/tables/table12.xml" Id="Rc4529aa30ddc4a1f" /></Relationships>
</file>

<file path=xl/worksheets/_rels/sheet13.xml.rels>&#65279;<?xml version="1.0" encoding="utf-8"?><Relationships xmlns="http://schemas.openxmlformats.org/package/2006/relationships"><Relationship Type="http://schemas.openxmlformats.org/officeDocument/2006/relationships/table" Target="/xl/tables/table13.xml" Id="Racd2bc35fe9a4df2" /></Relationships>
</file>

<file path=xl/worksheets/_rels/sheet14.xml.rels>&#65279;<?xml version="1.0" encoding="utf-8"?><Relationships xmlns="http://schemas.openxmlformats.org/package/2006/relationships"><Relationship Type="http://schemas.openxmlformats.org/officeDocument/2006/relationships/table" Target="/xl/tables/table14.xml" Id="R460d92d649234bdc" /></Relationships>
</file>

<file path=xl/worksheets/_rels/sheet15.xml.rels>&#65279;<?xml version="1.0" encoding="utf-8"?><Relationships xmlns="http://schemas.openxmlformats.org/package/2006/relationships"><Relationship Type="http://schemas.openxmlformats.org/officeDocument/2006/relationships/table" Target="/xl/tables/table15.xml" Id="R8ad8571564814b85" /></Relationships>
</file>

<file path=xl/worksheets/_rels/sheet16.xml.rels>&#65279;<?xml version="1.0" encoding="utf-8"?><Relationships xmlns="http://schemas.openxmlformats.org/package/2006/relationships"><Relationship Type="http://schemas.openxmlformats.org/officeDocument/2006/relationships/table" Target="/xl/tables/table16.xml" Id="R072010499cf74bc9" /></Relationships>
</file>

<file path=xl/worksheets/_rels/sheet17.xml.rels>&#65279;<?xml version="1.0" encoding="utf-8"?><Relationships xmlns="http://schemas.openxmlformats.org/package/2006/relationships"><Relationship Type="http://schemas.openxmlformats.org/officeDocument/2006/relationships/table" Target="/xl/tables/table17.xml" Id="R22c463fc579c44da" /></Relationships>
</file>

<file path=xl/worksheets/_rels/sheet18.xml.rels>&#65279;<?xml version="1.0" encoding="utf-8"?><Relationships xmlns="http://schemas.openxmlformats.org/package/2006/relationships"><Relationship Type="http://schemas.openxmlformats.org/officeDocument/2006/relationships/table" Target="/xl/tables/table18.xml" Id="Rdefada9b857b4980" /></Relationships>
</file>

<file path=xl/worksheets/_rels/sheet19.xml.rels>&#65279;<?xml version="1.0" encoding="utf-8"?><Relationships xmlns="http://schemas.openxmlformats.org/package/2006/relationships"><Relationship Type="http://schemas.openxmlformats.org/officeDocument/2006/relationships/table" Target="/xl/tables/table19.xml" Id="R0be63ba3a221449b" /></Relationships>
</file>

<file path=xl/worksheets/_rels/sheet20.xml.rels>&#65279;<?xml version="1.0" encoding="utf-8"?><Relationships xmlns="http://schemas.openxmlformats.org/package/2006/relationships"><Relationship Type="http://schemas.openxmlformats.org/officeDocument/2006/relationships/table" Target="/xl/tables/table20.xml" Id="R8569224cc11b4eda" /></Relationships>
</file>

<file path=xl/worksheets/_rels/sheet21.xml.rels>&#65279;<?xml version="1.0" encoding="utf-8"?><Relationships xmlns="http://schemas.openxmlformats.org/package/2006/relationships"><Relationship Type="http://schemas.openxmlformats.org/officeDocument/2006/relationships/table" Target="/xl/tables/table21.xml" Id="Rd4bdeaf07a9d4f72" /></Relationships>
</file>

<file path=xl/worksheets/_rels/sheet22.xml.rels>&#65279;<?xml version="1.0" encoding="utf-8"?><Relationships xmlns="http://schemas.openxmlformats.org/package/2006/relationships"><Relationship Type="http://schemas.openxmlformats.org/officeDocument/2006/relationships/table" Target="/xl/tables/table22.xml" Id="R0fe28fb1967e4a3c" /></Relationships>
</file>

<file path=xl/worksheets/_rels/sheet23.xml.rels>&#65279;<?xml version="1.0" encoding="utf-8"?><Relationships xmlns="http://schemas.openxmlformats.org/package/2006/relationships"><Relationship Type="http://schemas.openxmlformats.org/officeDocument/2006/relationships/table" Target="/xl/tables/table23.xml" Id="Rae1321a7b59b4cd2" /></Relationships>
</file>

<file path=xl/worksheets/_rels/sheet24.xml.rels>&#65279;<?xml version="1.0" encoding="utf-8"?><Relationships xmlns="http://schemas.openxmlformats.org/package/2006/relationships"><Relationship Type="http://schemas.openxmlformats.org/officeDocument/2006/relationships/table" Target="/xl/tables/table24.xml" Id="Red604189414542b2" /></Relationships>
</file>

<file path=xl/worksheets/_rels/sheet25.xml.rels>&#65279;<?xml version="1.0" encoding="utf-8"?><Relationships xmlns="http://schemas.openxmlformats.org/package/2006/relationships"><Relationship Type="http://schemas.openxmlformats.org/officeDocument/2006/relationships/table" Target="/xl/tables/table25.xml" Id="Re0d37f67d6a04dd2" /></Relationships>
</file>

<file path=xl/worksheets/_rels/sheet26.xml.rels>&#65279;<?xml version="1.0" encoding="utf-8"?><Relationships xmlns="http://schemas.openxmlformats.org/package/2006/relationships"><Relationship Type="http://schemas.openxmlformats.org/officeDocument/2006/relationships/table" Target="/xl/tables/table26.xml" Id="Rf78c9aa06d5f499c" /></Relationships>
</file>

<file path=xl/worksheets/_rels/sheet27.xml.rels>&#65279;<?xml version="1.0" encoding="utf-8"?><Relationships xmlns="http://schemas.openxmlformats.org/package/2006/relationships"><Relationship Type="http://schemas.openxmlformats.org/officeDocument/2006/relationships/table" Target="/xl/tables/table27.xml" Id="R51d034162a2a44b5" /></Relationships>
</file>

<file path=xl/worksheets/_rels/sheet28.xml.rels>&#65279;<?xml version="1.0" encoding="utf-8"?><Relationships xmlns="http://schemas.openxmlformats.org/package/2006/relationships"><Relationship Type="http://schemas.openxmlformats.org/officeDocument/2006/relationships/table" Target="/xl/tables/table28.xml" Id="R7933d04e53cf4404" /></Relationships>
</file>

<file path=xl/worksheets/_rels/sheet29.xml.rels>&#65279;<?xml version="1.0" encoding="utf-8"?><Relationships xmlns="http://schemas.openxmlformats.org/package/2006/relationships"><Relationship Type="http://schemas.openxmlformats.org/officeDocument/2006/relationships/table" Target="/xl/tables/table29.xml" Id="Rbbc2d3b1624041ba" /></Relationships>
</file>

<file path=xl/worksheets/_rels/sheet30.xml.rels>&#65279;<?xml version="1.0" encoding="utf-8"?><Relationships xmlns="http://schemas.openxmlformats.org/package/2006/relationships"><Relationship Type="http://schemas.openxmlformats.org/officeDocument/2006/relationships/table" Target="/xl/tables/table30.xml" Id="R8b36db0f55234430" /></Relationships>
</file>

<file path=xl/worksheets/_rels/sheet31.xml.rels>&#65279;<?xml version="1.0" encoding="utf-8"?><Relationships xmlns="http://schemas.openxmlformats.org/package/2006/relationships"><Relationship Type="http://schemas.openxmlformats.org/officeDocument/2006/relationships/table" Target="/xl/tables/table31.xml" Id="Rab8c7b9ee7234c2a" /></Relationships>
</file>

<file path=xl/worksheets/_rels/sheet32.xml.rels>&#65279;<?xml version="1.0" encoding="utf-8"?><Relationships xmlns="http://schemas.openxmlformats.org/package/2006/relationships"><Relationship Type="http://schemas.openxmlformats.org/officeDocument/2006/relationships/table" Target="/xl/tables/table32.xml" Id="R95ccc69a89b14721" /></Relationships>
</file>

<file path=xl/worksheets/_rels/sheet33.xml.rels>&#65279;<?xml version="1.0" encoding="utf-8"?><Relationships xmlns="http://schemas.openxmlformats.org/package/2006/relationships"><Relationship Type="http://schemas.openxmlformats.org/officeDocument/2006/relationships/table" Target="/xl/tables/table33.xml" Id="Rbd932065da024354" /></Relationships>
</file>

<file path=xl/worksheets/_rels/sheet34.xml.rels>&#65279;<?xml version="1.0" encoding="utf-8"?><Relationships xmlns="http://schemas.openxmlformats.org/package/2006/relationships"><Relationship Type="http://schemas.openxmlformats.org/officeDocument/2006/relationships/table" Target="/xl/tables/table34.xml" Id="R2c65a5687f5743c2" /></Relationships>
</file>

<file path=xl/worksheets/_rels/sheet35.xml.rels>&#65279;<?xml version="1.0" encoding="utf-8"?><Relationships xmlns="http://schemas.openxmlformats.org/package/2006/relationships"><Relationship Type="http://schemas.openxmlformats.org/officeDocument/2006/relationships/table" Target="/xl/tables/table35.xml" Id="Rdacc4dd050364de3" /></Relationships>
</file>

<file path=xl/worksheets/_rels/sheet36.xml.rels>&#65279;<?xml version="1.0" encoding="utf-8"?><Relationships xmlns="http://schemas.openxmlformats.org/package/2006/relationships"><Relationship Type="http://schemas.openxmlformats.org/officeDocument/2006/relationships/table" Target="/xl/tables/table36.xml" Id="Rc659ffea91f24ad7" /></Relationships>
</file>

<file path=xl/worksheets/_rels/sheet37.xml.rels>&#65279;<?xml version="1.0" encoding="utf-8"?><Relationships xmlns="http://schemas.openxmlformats.org/package/2006/relationships"><Relationship Type="http://schemas.openxmlformats.org/officeDocument/2006/relationships/table" Target="/xl/tables/table37.xml" Id="Rff4f3a8e2b7e4aca" /></Relationships>
</file>

<file path=xl/worksheets/_rels/sheet38.xml.rels>&#65279;<?xml version="1.0" encoding="utf-8"?><Relationships xmlns="http://schemas.openxmlformats.org/package/2006/relationships"><Relationship Type="http://schemas.openxmlformats.org/officeDocument/2006/relationships/table" Target="/xl/tables/table38.xml" Id="R68295acaeae3462c" /></Relationships>
</file>

<file path=xl/worksheets/_rels/sheet39.xml.rels>&#65279;<?xml version="1.0" encoding="utf-8"?><Relationships xmlns="http://schemas.openxmlformats.org/package/2006/relationships"><Relationship Type="http://schemas.openxmlformats.org/officeDocument/2006/relationships/table" Target="/xl/tables/table39.xml" Id="Rb55067248d4a42de" /></Relationships>
</file>

<file path=xl/worksheets/_rels/sheet40.xml.rels>&#65279;<?xml version="1.0" encoding="utf-8"?><Relationships xmlns="http://schemas.openxmlformats.org/package/2006/relationships"><Relationship Type="http://schemas.openxmlformats.org/officeDocument/2006/relationships/table" Target="/xl/tables/table40.xml" Id="R13811ce542474c86" /></Relationships>
</file>

<file path=xl/worksheets/_rels/sheet41.xml.rels>&#65279;<?xml version="1.0" encoding="utf-8"?><Relationships xmlns="http://schemas.openxmlformats.org/package/2006/relationships"><Relationship Type="http://schemas.openxmlformats.org/officeDocument/2006/relationships/table" Target="/xl/tables/table41.xml" Id="R70cf7010da90430d" /></Relationships>
</file>

<file path=xl/worksheets/_rels/sheet42.xml.rels>&#65279;<?xml version="1.0" encoding="utf-8"?><Relationships xmlns="http://schemas.openxmlformats.org/package/2006/relationships"><Relationship Type="http://schemas.openxmlformats.org/officeDocument/2006/relationships/table" Target="/xl/tables/table42.xml" Id="Re0bf407ca34f40c9" /></Relationships>
</file>

<file path=xl/worksheets/_rels/sheet43.xml.rels>&#65279;<?xml version="1.0" encoding="utf-8"?><Relationships xmlns="http://schemas.openxmlformats.org/package/2006/relationships"><Relationship Type="http://schemas.openxmlformats.org/officeDocument/2006/relationships/table" Target="/xl/tables/table43.xml" Id="R72a2bc67001a465a" /></Relationships>
</file>

<file path=xl/worksheets/_rels/sheet44.xml.rels>&#65279;<?xml version="1.0" encoding="utf-8"?><Relationships xmlns="http://schemas.openxmlformats.org/package/2006/relationships"><Relationship Type="http://schemas.openxmlformats.org/officeDocument/2006/relationships/table" Target="/xl/tables/table44.xml" Id="R64e1259f6dc04952" /></Relationships>
</file>

<file path=xl/worksheets/_rels/sheet45.xml.rels>&#65279;<?xml version="1.0" encoding="utf-8"?><Relationships xmlns="http://schemas.openxmlformats.org/package/2006/relationships"><Relationship Type="http://schemas.openxmlformats.org/officeDocument/2006/relationships/table" Target="/xl/tables/table45.xml" Id="R87a1c0902db24ef2"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v0.4 · primer dictamen de atomicidad · OP-CYB-001 · 08-09-2026</x:v>
      </x:c>
      <x:c r="B2" s="8"/>
    </x:row>
    <x:row r="3">
      <x:c r="A3" s="4"/>
      <x:c r="B3" s="4"/>
    </x:row>
    <x:row r="4" ht="42" customHeight="1">
      <x:c r="A4" s="10" t="str">
        <x:v>Campo</x:v>
      </x:c>
      <x:c r="B4" s="10" t="str">
        <x:v>Contenido</x:v>
      </x:c>
    </x:row>
    <x:row r="5" ht="47" customHeight="1">
      <x:c r="A5" s="4" t="str">
        <x:v>Versión y fecha</x:v>
      </x:c>
      <x:c r="B5" s="4" t="str">
        <x:v>0.4 · primer parámetro con dictamen documental favorable · 08-09-2026</x:v>
      </x:c>
    </x:row>
    <x:row r="6" ht="47" customHeight="1">
      <x:c r="A6" s="4" t="str">
        <x:v>Estado</x:v>
      </x:c>
      <x:c r="B6" s="4" t="str">
        <x:v>PRIMER DICTAMEN G5 FAVORABLE · ADOPCIÓN SOBERANA NOMINAL NO REGISTRADA · UNIVERSO NO CERRADO</x:v>
      </x:c>
    </x:row>
    <x:row r="7" ht="47" customHeight="1">
      <x:c r="A7" s="4" t="str">
        <x:v>Autoría del trabajo</x:v>
      </x:c>
      <x:c r="B7" s="4" t="str">
        <x:v>Watson · síntesis y relaciones locales en español; no traducciones oficiales.</x:v>
      </x:c>
    </x:row>
    <x:row r="8" ht="47" customHeight="1">
      <x:c r="A8" s="4" t="str">
        <x:v>Mandato</x:v>
      </x:c>
      <x:c r="B8" s="4" t="str">
        <x:v>Instrucción aprobada v1.2, commit 47dc27aec9e7b517c27cfcf39b7ad1b186d36a4c; luz verde humana para trabajar.</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31_Control_acotacion'!C5='31_Control_acotacion'!D5,0,1)+IF('31_Control_acotacion'!C6='31_Control_acotacion'!D6,0,1)+IF('31_Control_acotacion'!C7='31_Control_acotacion'!D7,0,1)+IF('31_Control_acotacion'!C8='31_Control_acotacion'!D8,0,1)+IF('31_Control_acotacion'!C9='31_Control_acotacion'!D9,0,1)+IF('31_Control_acotacion'!C10='31_Control_acotacion'!D10,0,1)+IF('31_Control_acotacion'!C11='31_Control_acotacion'!D11,0,1)+IF('31_Control_acotacion'!C12='31_Control_acotacion'!D12,0,1)+IF('31_Control_acotacion'!C13='31_Control_acotacion'!D13,0,1)+IF('31_Control_acotacion'!C14='31_Control_acotacion'!D14,0,1)+IF('31_Control_acotacion'!C15='31_Control_acotacion'!D15,0,1)+IF('31_Control_acotacion'!C16='31_Control_acotacion'!D16,0,1)+IF('31_Control_acotacion'!C17='31_Control_acotacion'!D17,0,1)+IF('44_Control_G5'!C5='44_Control_G5'!D5,0,1)+IF('44_Control_G5'!C6='44_Control_G5'!D6,0,1)+IF('44_Control_G5'!C7='44_Control_G5'!D7,0,1)+IF('44_Control_G5'!C8='44_Control_G5'!D8,0,1)+IF('44_Control_G5'!C9='44_Control_G5'!D9,0,1)+IF('44_Control_G5'!C10='44_Control_G5'!D10,0,1)+IF('44_Control_G5'!C11='44_Control_G5'!D11,0,1)+IF('44_Control_G5'!C12='44_Control_G5'!D12,0,1)+IF('44_Control_G5'!C13='44_Control_G5'!D13,0,1)+IF('44_Control_G5'!C14='44_Control_G5'!D14,0,1)+IF('44_Control_G5'!C15='44_Control_G5'!D15,0,1)+IF('44_Control_G5'!C16='44_Control_G5'!D16,0,1)</x:f>
        <x:v>0</x:v>
      </x:c>
    </x:row>
    <x:row r="19" ht="47" customHeight="1">
      <x:c r="A19" s="4" t="str">
        <x:v>Admisión y adopción</x:v>
      </x:c>
      <x:c r="B19" s="4" t="str">
        <x:v>Una fuente admitida documentalmente no adopta cada afirmación. Fechas de adopción humana no registradas; responsable de propuestas: Watson.</x:v>
      </x:c>
    </x:row>
    <x:row r="20" ht="47" customHeight="1">
      <x:c r="A20" s="4" t="str">
        <x:v>Primer universo</x:v>
      </x:c>
      <x:c r="B20" s="4" t="str">
        <x:v>OP-CYB-001: evidencia de cierre de corrección por actualización en activo IT; recorte propuesto de CYO-26. G0/G1 y Q0 de trabajo en 37–38.</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Controles de integridad y recuentos. Celdas calculadas en verde. No adjudican autoridad, equivalencia ni admisión semántica.</x:v>
      </x:c>
    </x:row>
    <x:row r="24" ht="47" customHeight="1">
      <x:c r="A24" s="4" t="str">
        <x:v>Trazabilidad</x:v>
      </x:c>
      <x:c r="B24" s="4" t="str">
        <x:v>Las hojas 36–44 incorporan el primer recorrido atómico. Las hojas 01–35 conservan los antecedentes profesionales y educativos de las revisiones previas; 29 actualiza continuidad.</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Identificadores, versiones, huellas, offsets y longitudes son texto. Los recuentos son números.</x:v>
      </x:c>
    </x:row>
    <x:row r="27" ht="47" customHeight="1">
      <x:c r="A27" s="4" t="str">
        <x:v>Proyección posterior</x:v>
      </x:c>
      <x:c r="B27" s="4" t="str">
        <x:v>No generada. El anexo complementario se producirá tras el cierre aprobado, leyendo el Excel congelado sin resalvarlo y verificando su correspondencia exacta.</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36 Lagunas → 37 Operación → 38 Q0 → 39 Primer parámetro → 40 Consecuencias → 41 Testigos → 42 Adversarial → 43 Fuentes → 44 Control.</x:v>
      </x:c>
    </x:row>
    <x:row r="30" ht="47" customHeight="1">
      <x:c r="A30" s="4" t="str">
        <x:v>Límite del corte</x:v>
      </x:c>
      <x:c r="B30" s="4" t="str">
        <x:v>Sin parámetros, datos de operación, ejecución productiva, agente ni cierre de fila 8. El método de Inmunología se conserva sin importar su contenido clínico.</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row r="41" ht="47" customHeight="1">
      <x:c r="A41" s="4" t="str">
        <x:v>Función de la IA</x:v>
      </x:c>
      <x:c r="B41" s="4" t="str">
        <x:v>Consejera vinculada al experto. Utiliza conocimiento previamente admitido y explica el consejo; no aprende reglas durante la consulta ni asume la decisión o responsabilidad humana.</x:v>
      </x:c>
    </x:row>
    <x:row r="42" ht="47" customHeight="1">
      <x:c r="A42" s="4" t="str">
        <x:v>Consecuencias como criterio</x:v>
      </x:c>
      <x:c r="B42" s="4" t="str">
        <x:v>Omitir un enlace de conocimiento necesario puede alterar el consejo. La hoja 34 muestra ocho cadenas hipotéticas para orientar universos, atomicidad y rutas críticas.</x:v>
      </x:c>
    </x:row>
    <x:row r="43" ht="47" customHeight="1">
      <x:c r="A43" s="4" t="str">
        <x:v>Tamaños de células</x:v>
      </x:c>
      <x:c r="B43" s="4" t="str">
        <x:v>Se retira el uso arquitectónico de los tamaños históricos 6/1/3/2/6/9. Sólo se constituirán células SV legítimas, b≥3 y n=b², sin relleno ni reinterpretación 3×3.</x:v>
      </x:c>
    </x:row>
    <x:row r="44" ht="47" customHeight="1">
      <x:c r="A44" s="4" t="str">
        <x:v>Estado del mapa</x:v>
      </x:c>
      <x:c r="B44" s="4" t="str">
        <x:v>29 productos profesionales candidatos; 28 de trabajo y una frontera condicionada. No son 29 universos constituidos ni cota ontológica del dominio.</x:v>
      </x:c>
    </x:row>
    <x:row r="45" ht="47" customHeight="1">
      <x:c r="A45" s="4" t="str">
        <x:v>Parámetros y células CYB</x:v>
      </x:c>
      <x:c r="B45" s="4" t="str">
        <x:v>Un parámetro con dictamen G5 favorable de la unidad; propuesta para adopción soberana. 0 células, 0 rutas y 0 Frames. No se fija total de parámetros del dominio.</x:v>
      </x:c>
    </x:row>
    <x:row r="46" ht="47" customHeight="1">
      <x:c r="A46" s="4" t="str">
        <x:v>Objeto de la explicación</x:v>
      </x:c>
      <x:c r="B46" s="4" t="str">
        <x:v>Respuesta r, justificación reconstruible J y metadatos M; el Frame debe remitir a una arquitectura válida. Coherencia técnica no prueba suficiencia del consejo.</x:v>
      </x:c>
    </x:row>
  </x:sheetData>
  <x:mergeCells>
    <x:mergeCell ref="A1:B1"/>
    <x:mergeCell ref="A2:B2"/>
  </x:mergeCells>
  <x:pageMargins left="0.7" right="0.7" top="0.75" bottom="0.75" header="0.3" footer="0.3"/>
  <x:tableParts count="1">
    <x:tablePart xmlns:r="http://schemas.openxmlformats.org/officeDocument/2006/relationships" r:id="R1e489725809b4db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15bbb383ce25401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ea3f00e0cd5e42d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77de410378ab4d6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0d2e2da7cc2d420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8f191eeca4624fd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9b336fc87de942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La correspondencia de su reexamen está en 33 y la hipótesis de 29 productos en 26. Ninguna operación se constituye por este libro; OPC-07 no conserva prioridad.</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e408332f0373424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0be02f69d2704eb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a849f60a04bd4e8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d7f9f1d7015c42c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c4529aa30ddc4a1f"/>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acd2bc35fe9a4df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460d92d649234bdc"/>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8ad8571564814b85"/>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072010499cf74bc9"/>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22c463fc579c44da"/>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defada9b857b4980"/>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0be63ba3a221449b"/>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8569224cc11b4eda"/>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d4bdeaf07a9d4f7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0fe28fb1967e4a3c"/>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ae1321a7b59b4cd2"/>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ed604189414542b2"/>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e0d37f67d6a04dd2"/>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88" hidden="0" customWidth="1"/>
    <x:col min="4" max="4" width="100" hidden="0" customWidth="1"/>
    <x:col min="5" max="5" width="48" hidden="0" customWidth="1"/>
    <x:col min="6" max="6" width="100" hidden="0" customWidth="1"/>
  </x:cols>
  <x:sheetData>
    <x:row r="1" ht="35" customHeight="1">
      <x:c r="A1" s="6" t="str">
        <x:v>DELIMITACIÓN · qué se cuenta y qué queda abierto</x:v>
      </x:c>
      <x:c r="B1" s="6"/>
      <x:c r="C1" s="6"/>
      <x:c r="D1" s="6"/>
      <x:c r="E1" s="6"/>
      <x:c r="F1" s="6"/>
    </x:row>
    <x:row r="2" ht="52" customHeight="1">
      <x:c r="A2" s="8" t="str">
        <x:v>La memoria del proyecto se contrasta con fuentes fijadas. Se preserva el aprendizaje de Inmunología y se separan hipótesis, objetos constituidos y realizaciones.</x:v>
      </x:c>
      <x:c r="B2" s="8"/>
      <x:c r="C2" s="8"/>
      <x:c r="D2" s="8"/>
      <x:c r="E2" s="8"/>
      <x:c r="F2" s="8"/>
    </x:row>
    <x:row r="3">
      <x:c r="A3" s="4"/>
      <x:c r="B3" s="4"/>
      <x:c r="C3" s="4"/>
      <x:c r="D3" s="4"/>
      <x:c r="E3" s="4"/>
      <x:c r="F3" s="4"/>
    </x:row>
    <x:row r="4" ht="42" customHeight="1">
      <x:c r="A4" s="10" t="str">
        <x:v>ID</x:v>
      </x:c>
      <x:c r="B4" s="10" t="str">
        <x:v>Cuestión</x:v>
      </x:c>
      <x:c r="C4" s="10" t="str">
        <x:v>Conclusión documentada o propuesta</x:v>
      </x:c>
      <x:c r="D4" s="10" t="str">
        <x:v>Distinción y límite</x:v>
      </x:c>
      <x:c r="E4" s="10" t="str">
        <x:v>Evidencia</x:v>
      </x:c>
      <x:c r="F4" s="10" t="str">
        <x:v>Efecto en Ciberseguridad</x:v>
      </x:c>
    </x:row>
    <x:row r="5" ht="47" customHeight="1">
      <x:c r="A5" s="4" t="str">
        <x:v>DL-01</x:v>
      </x:c>
      <x:c r="B5" s="4" t="str">
        <x:v>Rector</x:v>
      </x:c>
      <x:c r="C5" s="4" t="str">
        <x:v>España / URJC, plan 2026–27: propuesta educativa concreta</x:v>
      </x:c>
      <x:c r="D5" s="4" t="str">
        <x:v>40 asignaturas, 240 ECTS; 15 familias editoriales. No currículo nacional único ni liderazgo internacional probado.</x:v>
      </x:c>
      <x:c r="E5" s="4" t="str">
        <x:v>15; 17; I005 §7.1</x:v>
      </x:c>
      <x:c r="F5" s="4" t="str">
        <x:v>El mapa usa esta base y complementos; aceptación final del perímetro pendiente.</x:v>
      </x:c>
    </x:row>
    <x:row r="6" ht="47" customHeight="1">
      <x:c r="A6" s="4" t="str">
        <x:v>DL-02</x:v>
      </x:c>
      <x:c r="B6" s="4" t="str">
        <x:v>Unidad que se cuenta</x:v>
      </x:c>
      <x:c r="C6" s="4" t="str">
        <x:v>Tupla: producto, objeto, disparador, autoridad, frontera, finalización</x:v>
      </x:c>
      <x:c r="D6" s="4" t="str">
        <x:v>Se distingue por cambio material de producto, autoridad o finalización; una técnica o etiqueta no basta.</x:v>
      </x:c>
      <x:c r="E6" s="4" t="str">
        <x:v>S010 §1; I005 §7.1</x:v>
      </x:c>
      <x:c r="F6" s="4" t="str">
        <x:v>29 candidatas en el corte; cifra revisable con justificación y nuevo suceso.</x:v>
      </x:c>
    </x:row>
    <x:row r="7" ht="47" customHeight="1">
      <x:c r="A7" s="4" t="str">
        <x:v>DL-03</x:v>
      </x:c>
      <x:c r="B7" s="4" t="str">
        <x:v>Finitud</x:v>
      </x:c>
      <x:c r="C7" s="4" t="str">
        <x:v>La lista termina en 29 identidades explícitas</x:v>
      </x:c>
      <x:c r="D7" s="4" t="str">
        <x:v>No es una cota ontológica ni una promesa de 29 universos constituidos. No se añaden candidatos por llenar temas.</x:v>
      </x:c>
      <x:c r="E7" s="4" t="str">
        <x:v>26; 33</x:v>
      </x:c>
      <x:c r="F7" s="4" t="str">
        <x:v>28 candidatas de trabajo y una frontera investigadora condicionada.</x:v>
      </x:c>
    </x:row>
    <x:row r="8" ht="47" customHeight="1">
      <x:c r="A8" s="4" t="str">
        <x:v>DL-04</x:v>
      </x:c>
      <x:c r="B8" s="4" t="str">
        <x:v>Familia / operación / parámetro</x:v>
      </x:c>
      <x:c r="C8" s="4" t="str">
        <x:v>Orden editorial, producto profesional e identidad atómica son planos distintos</x:v>
      </x:c>
      <x:c r="D8" s="4" t="str">
        <x:v>Tampoco asignatura, pregunta, observable o resultado educativo equivale a parámetro.</x:v>
      </x:c>
      <x:c r="E8" s="4" t="str">
        <x:v>I005 §7.1–7.3</x:v>
      </x:c>
      <x:c r="F8" s="4" t="str">
        <x:v>27 conserva el aprendizaje habilitante; el recuento operacional está en 26.</x:v>
      </x:c>
    </x:row>
    <x:row r="9" ht="47" customHeight="1">
      <x:c r="A9" s="4" t="str">
        <x:v>DL-05</x:v>
      </x:c>
      <x:c r="B9" s="4" t="str">
        <x:v>Dominio / agente / consejero</x:v>
      </x:c>
      <x:c r="C9" s="4" t="str">
        <x:v>El dominio constituye conocimiento; el agente recibe cobertura y permisos; la IA auxilia al experto</x:v>
      </x:c>
      <x:c r="D9" s="4" t="str">
        <x:v>El experto conserva la decisión y responsabilidad final conforme al mandato. No se atribuye personalidad ni responsabilidad jurídica a la IA.</x:v>
      </x:c>
      <x:c r="E9" s="4" t="str">
        <x:v>S014 §2; S017 §5; I005 cierre; mandato humano</x:v>
      </x:c>
      <x:c r="F9" s="4" t="str">
        <x:v>Catalogar una actuación profesional no concede a la IA facultad de ejecutarla.</x:v>
      </x:c>
    </x:row>
    <x:row r="10" ht="47" customHeight="1">
      <x:c r="A10" s="4" t="str">
        <x:v>DL-06</x:v>
      </x:c>
      <x:c r="B10" s="4" t="str">
        <x:v>SV(9,3)</x:v>
      </x:c>
      <x:c r="C10" s="4" t="str">
        <x:v>Vector plano ordenado de nueve posiciones ternarias; mínimo de célula exacta</x:v>
      </x:c>
      <x:c r="D10" s="4" t="str">
        <x:v>No matriz cartesiana de 3×3. n=b², b≥3, no es permiso para rellenar agrupaciones.</x:v>
      </x:c>
      <x:c r="E10" s="4" t="str">
        <x:v>S007 §3; I005 §7.3</x:v>
      </x:c>
      <x:c r="F10" s="4" t="str">
        <x:v>Arrays semánticos preceden a cualquier propuesta de representación.</x:v>
      </x:c>
    </x:row>
    <x:row r="11" ht="47" customHeight="1">
      <x:c r="A11" s="4" t="str">
        <x:v>DL-07</x:v>
      </x:c>
      <x:c r="B11" s="4" t="str">
        <x:v>Corrección soberana sobre tamaños</x:v>
      </x:c>
      <x:c r="C11" s="4" t="str">
        <x:v>Los recuentos 6, 1, 3, 2, 6 y 9 quedan sólo como antecedente de clasificación inmunológica</x:v>
      </x:c>
      <x:c r="D11" s="4" t="str">
        <x:v>El Director exige no utilizarlos como arquitectura ni tamaños de células. Ciberseguridad constituirá únicamente células SV legítimas, con b≥3 y n=b².</x:v>
      </x:c>
      <x:c r="E11" s="4" t="str">
        <x:v>Mandato humano de esta revisión; S014 §§1–3; S012 histórico</x:v>
      </x:c>
      <x:c r="F11" s="4" t="str">
        <x:v>Retirada su utilización como apoyo arquitectónico. No se heredan ni se regularizan por renombrarlos arrays.</x:v>
      </x:c>
    </x:row>
    <x:row r="12" ht="47" customHeight="1">
      <x:c r="A12" s="4" t="str">
        <x:v>DL-08</x:v>
      </x:c>
      <x:c r="B12" s="4" t="str">
        <x:v>Recuento recordado 23 + 4</x:v>
      </x:c>
      <x:c r="C12" s="4" t="str">
        <x:v>Cuatro parámetros con configuración pendiente: OI, MDRO, nutrición y fragilidad</x:v>
      </x:c>
      <x:c r="D12" s="4" t="str">
        <x:v>Los 23 restantes se obtienen por diferencia de 27. Esta partición no acredita propiedad exclusiva frente a transversalidad.</x:v>
      </x:c>
      <x:c r="E12" s="4" t="str">
        <x:v>S012 §7; S011 §§13–14</x:v>
      </x:c>
      <x:c r="F12" s="4" t="str">
        <x:v>Separar tipo constituido, configuración disponible, uso y propiedad.</x:v>
      </x:c>
    </x:row>
    <x:row r="13" ht="47" customHeight="1">
      <x:c r="A13" s="4" t="str">
        <x:v>DL-09</x:v>
      </x:c>
      <x:c r="B13" s="4" t="str">
        <x:v>Cuatro referencias cruzadas</x:v>
      </x:c>
      <x:c r="C13" s="4" t="str">
        <x:v>Inicio→exposición; KRT→huésped; soporte respiratorio→historia; protocolo→composición</x:v>
      </x:c>
      <x:c r="D13" s="4" t="str">
        <x:v>Son cuatro referencias registradas en el corte; no prueba de que sólo cuatro parámetros puedan reutilizarse en el dominio.</x:v>
      </x:c>
      <x:c r="E13" s="4" t="str">
        <x:v>S012 §4</x:v>
      </x:c>
      <x:c r="F13" s="4" t="str">
        <x:v>El destino lee el estado canónico; no lo duplica ni lo recalcula.</x:v>
      </x:c>
    </x:row>
    <x:row r="14" ht="47" customHeight="1">
      <x:c r="A14" s="4" t="str">
        <x:v>DL-10</x:v>
      </x:c>
      <x:c r="B14" s="4" t="str">
        <x:v>32 en Inmunología</x:v>
      </x:c>
      <x:c r="C14" s="4" t="str">
        <x:v>32 operaciones candidatas del catálogo v0.8; otro inventario distinto contiene 32 raíces Q0</x:v>
      </x:c>
      <x:c r="D14" s="4" t="str">
        <x:v>El mapa sustituye la banda inicial 20–30, centro 24. No autoriza 32×27.</x:v>
      </x:c>
      <x:c r="E14" s="4" t="str">
        <x:v>S010 §§0,5; S011 §11</x:v>
      </x:c>
      <x:c r="F14" s="4" t="str">
        <x:v>Las estimaciones de chats no gobiernan el corte constituido.</x:v>
      </x:c>
    </x:row>
    <x:row r="15" ht="47" customHeight="1">
      <x:c r="A15" s="4" t="str">
        <x:v>DL-11</x:v>
      </x:c>
      <x:c r="B15" s="4" t="str">
        <x:v>Más de 600</x:v>
      </x:c>
      <x:c r="C15" s="4" t="str">
        <x:v>No acreditado aquí como total de parámetros únicos del dominio inmunológico</x:v>
      </x:c>
      <x:c r="D15" s="4" t="str">
        <x:v>El contexto recuperado alude a 600–1000 ocurrencias funcionales como hipótesis, no inventario constituido. No se usa como fuente normativa.</x:v>
      </x:c>
      <x:c r="E15" s="4" t="str">
        <x:v>Contexto histórico recuperado; S010 §5 impide extrapolación</x:v>
      </x:c>
      <x:c r="F15" s="4" t="str">
        <x:v>Ciberseguridad: parámetros únicos totales y usos todavía no estimados.</x:v>
      </x:c>
    </x:row>
    <x:row r="16" ht="47" customHeight="1">
      <x:c r="A16" s="4" t="str">
        <x:v>DL-12</x:v>
      </x:c>
      <x:c r="B16" s="4" t="str">
        <x:v>Propiedad y reutilización</x:v>
      </x:c>
      <x:c r="C16" s="4" t="str">
        <x:v>Identidad canónica única, propietario explícito y usos referenciados</x:v>
      </x:c>
      <x:c r="D16" s="4" t="str">
        <x:v>Igual nombre no basta para deduplicar; misma identidad no puede contabilizarse varias veces como estado independiente.</x:v>
      </x:c>
      <x:c r="E16" s="4" t="str">
        <x:v>I005 §7.3; S012 §§1,3,4</x:v>
      </x:c>
      <x:c r="F16" s="4" t="str">
        <x:v>El posible uso transversal se investiga después de adjudicar identidad; no se anticipa una cuota.</x:v>
      </x:c>
    </x:row>
    <x:row r="17" ht="47" customHeight="1">
      <x:c r="A17" s="4" t="str">
        <x:v>DL-13</x:v>
      </x:c>
      <x:c r="B17" s="4" t="str">
        <x:v>Relación antes de operador</x:v>
      </x:c>
      <x:c r="C17" s="4" t="str">
        <x:v>No existe una ley binaria universal para todas las composiciones</x:v>
      </x:c>
      <x:c r="D17" s="4" t="str">
        <x:v>Declarar codominio, interpretación y rol antes de escoger operador; precedencia educativa no es compuerta operacional.</x:v>
      </x:c>
      <x:c r="E17" s="4" t="str">
        <x:v>S007 §7.2–7.12</x:v>
      </x:c>
      <x:c r="F17" s="4" t="str">
        <x:v>28 son contratos pendientes entre productos; no rutas ni instancias algebraicas ejecutables.</x:v>
      </x:c>
    </x:row>
    <x:row r="18" ht="47" customHeight="1">
      <x:c r="A18" s="4" t="str">
        <x:v>DL-14</x:v>
      </x:c>
      <x:c r="B18" s="4" t="str">
        <x:v>Soberanía y actualización</x:v>
      </x:c>
      <x:c r="C18" s="4" t="str">
        <x:v>Toda adquisición nueva queda como candidata hasta adopción humana</x:v>
      </x:c>
      <x:c r="D18" s="4" t="str">
        <x:v>Modelo, catálogo externo o fuente actualizada no cambia silenciosamente el dominio; IA aconseja dentro de su contrato.</x:v>
      </x:c>
      <x:c r="E18" s="4" t="str">
        <x:v>I005 §§5,7; S001 §§2–5</x:v>
      </x:c>
      <x:c r="F18" s="4" t="str">
        <x:v>Ni fuente disponible ni resultado plausible cierran U o conceden permiso.</x:v>
      </x:c>
    </x:row>
    <x:row r="19" ht="47" customHeight="1">
      <x:c r="A19" s="4" t="str">
        <x:v>DL-15</x:v>
      </x:c>
      <x:c r="B19" s="4" t="str">
        <x:v>Consecuencias como motor constitutivo</x:v>
      </x:c>
      <x:c r="C19" s="4" t="str">
        <x:v>La necesidad de enlazar conocimiento se juzga por su efecto sobre el consejo y sus consecuencias</x:v>
      </x:c>
      <x:c r="D19" s="4" t="str">
        <x:v>No basta saber que una materia existe: hay que mostrar qué conclusión cambia al omitir un enlace necesario. No se declaran daños reales a partir de ejemplos hipotéticos.</x:v>
      </x:c>
      <x:c r="E19" s="4" t="str">
        <x:v>Mandato humano; I005 §7.2–7.3; 34</x:v>
      </x:c>
      <x:c r="F19" s="4" t="str">
        <x:v>Las cadenas de 34 orientan la selección del universo, las distinciones atómicas y las futuras rutas críticas.</x:v>
      </x:c>
    </x:row>
    <x:row r="20" ht="47" customHeight="1">
      <x:c r="A20" s="4" t="str">
        <x:v>DL-16</x:v>
      </x:c>
      <x:c r="B20" s="4" t="str">
        <x:v>Acceso y precedencia</x:v>
      </x:c>
      <x:c r="C20" s="4" t="str">
        <x:v>El PDF de álgebra aportado es un índice de seis páginas con enlaces</x:v>
      </x:c>
      <x:c r="D20" s="4" t="str">
        <x:v>Las páginas ITVIA dieron 403; no se declara lectura íntegra de esos libros. Fundamentos está disponible íntegro en el corte fijado.</x:v>
      </x:c>
      <x:c r="E20" s="4" t="str">
        <x:v>S003–S009; S001; S002</x:v>
      </x:c>
      <x:c r="F20" s="4" t="str">
        <x:v>README de SVcustos mezcla una sede doctrinal y rótulos 3×3: no trasladar esas formulaciones; rigen doctrina e instrucción expresa.</x:v>
      </x:c>
    </x:row>
    <x:row r="21" ht="47" customHeight="1">
      <x:c r="A21" s="4" t="str">
        <x:v>DL-17</x:v>
      </x:c>
      <x:c r="B21" s="4" t="str">
        <x:v>Conocimiento previo / observación nueva</x:v>
      </x:c>
      <x:c r="C21" s="4" t="str">
        <x:v>La IA consejera utiliza conocimiento ya admitido, trazable y auditable; no aprende ni amplía ese corpus durante el consejo</x:v>
      </x:c>
      <x:c r="D21" s="4" t="str">
        <x:v>Un nuevo dato del caso puede activar una reevaluación bajo reglas ya constituidas. Modificar el conocimiento requiere revisión y adopción humana previas.</x:v>
      </x:c>
      <x:c r="E21" s="4" t="str">
        <x:v>Mandato humano; S017 §§1,6; S018 §§3–5</x:v>
      </x:c>
      <x:c r="F21" s="4" t="str">
        <x:v>La educación fundamenta la constitución del catálogo; no describe entrenamiento en línea de la IA consejera.</x:v>
      </x:c>
    </x:row>
    <x:row r="22" ht="47" customHeight="1">
      <x:c r="A22" s="4" t="str">
        <x:v>DL-18</x:v>
      </x:c>
      <x:c r="B22" s="4" t="str">
        <x:v>Explicación del consejo</x:v>
      </x:c>
      <x:c r="C22" s="4" t="str">
        <x:v>Respuesta con justificación reconstruible y metadatos de cobertura, criticidad e indeterminación</x:v>
      </x:c>
      <x:c r="D22" s="4" t="str">
        <x:v>El frame es un objeto estructural referido a una arquitectura legítima. Una narración convincente o un Excel no son por sí mismos un Frame SV.</x:v>
      </x:c>
      <x:c r="E22" s="4" t="str">
        <x:v>S017 §6: r,J,M; S018 §3.4; S016 §4; 35</x:v>
      </x:c>
      <x:c r="F22" s="4" t="str">
        <x:v>Declarar qué conocimiento y enlaces sostienen cada consejo y qué dependencia necesaria falta.</x:v>
      </x:c>
    </x:row>
    <x:row r="23" ht="47" customHeight="1">
      <x:c r="A23" s="4" t="str">
        <x:v>DL-19</x:v>
      </x:c>
      <x:c r="B23" s="4" t="str">
        <x:v>Suficiencia / cierre del frame</x:v>
      </x:c>
      <x:c r="C23" s="4" t="str">
        <x:v>Coherencia de lo declarado y suficiencia del conocimiento necesario son pruebas diferentes</x:v>
      </x:c>
      <x:c r="D23" s="4" t="str">
        <x:v>IR v0.3 §4.7 no exige exhaustividad global. Un Frame bien formado puede no acreditar por sí solo que se haya incluido todo lo necesario para el consejo.</x:v>
      </x:c>
      <x:c r="E23" s="4" t="str">
        <x:v>S016 §§4.3,4.7; S015 §§6–8; mandato sobre consecuencias</x:v>
      </x:c>
      <x:c r="F23" s="4" t="str">
        <x:v>La revisión del dominio debe detectar la omisión relevante aunque la validación técnica acepte el objeto.</x:v>
      </x:c>
    </x:row>
  </x:sheetData>
  <x:mergeCells>
    <x:mergeCell ref="A1:D1"/>
    <x:mergeCell ref="A2:F2"/>
  </x:mergeCells>
  <x:pageMargins left="0.7" right="0.7" top="0.75" bottom="0.75" header="0.3" footer="0.3"/>
  <x:tableParts count="1">
    <x:tablePart xmlns:r="http://schemas.openxmlformats.org/officeDocument/2006/relationships" r:id="Rf78c9aa06d5f499c"/>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57" hidden="0" customWidth="1"/>
    <x:col min="4" max="4" width="53" hidden="0" customWidth="1"/>
    <x:col min="5" max="5" width="45" hidden="0" customWidth="1"/>
    <x:col min="6" max="6" width="56" hidden="0" customWidth="1"/>
    <x:col min="7" max="7" width="79" hidden="0" customWidth="1"/>
    <x:col min="8" max="8" width="84" hidden="0" customWidth="1"/>
    <x:col min="9" max="9" width="88" hidden="0" customWidth="1"/>
    <x:col min="10" max="10" width="89" hidden="0" customWidth="1"/>
    <x:col min="11" max="11" width="13" hidden="0" customWidth="1"/>
    <x:col min="12" max="12" width="80" hidden="0" customWidth="1"/>
    <x:col min="13" max="13" width="39" hidden="0" customWidth="1"/>
    <x:col min="14" max="14" width="14" hidden="0" customWidth="1"/>
    <x:col min="15" max="15" width="17" hidden="0" customWidth="1"/>
  </x:cols>
  <x:sheetData>
    <x:row r="1" ht="35" customHeight="1">
      <x:c r="A1" s="6" t="str">
        <x:v>PREACOTACIÓN · 29 productos profesionales candidatos</x:v>
      </x:c>
      <x:c r="B1" s="6"/>
      <x:c r="C1" s="6"/>
      <x:c r="D1" s="6"/>
      <x:c r="E1" s="6"/>
      <x:c r="F1" s="6"/>
      <x:c r="G1" s="6"/>
      <x:c r="H1" s="6"/>
      <x:c r="I1" s="6"/>
      <x:c r="J1" s="6"/>
      <x:c r="K1" s="6"/>
      <x:c r="L1" s="6"/>
      <x:c r="M1" s="6"/>
      <x:c r="N1" s="6"/>
      <x:c r="O1" s="6"/>
    </x:row>
    <x:row r="2" ht="52" customHeight="1">
      <x:c r="A2" s="8" t="str">
        <x:v>Hipótesis finita de trabajo sobre v0.2. No cierra G0, no constituye universos y no estima parámetros. Los nombres y enlaces son síntesis propuesta de Watson.</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x:v>
      </x:c>
      <x:c r="B4" s="10" t="str">
        <x:v>Agrupación editorial</x:v>
      </x:c>
      <x:c r="C4" s="10" t="str">
        <x:v>Producto terminal</x:v>
      </x:c>
      <x:c r="D4" s="10" t="str">
        <x:v>Objeto</x:v>
      </x:c>
      <x:c r="E4" s="10" t="str">
        <x:v>Disparador</x:v>
      </x:c>
      <x:c r="F4" s="10" t="str">
        <x:v>Autoridad</x:v>
      </x:c>
      <x:c r="G4" s="10" t="str">
        <x:v>Frontera</x:v>
      </x:c>
      <x:c r="H4" s="10" t="str">
        <x:v>Finalización</x:v>
      </x:c>
      <x:c r="I4" s="10" t="str">
        <x:v>Conocimiento y saber hacer</x:v>
      </x:c>
      <x:c r="J4" s="10" t="str">
        <x:v>Consecuencia de omitirlo · potencial</x:v>
      </x:c>
      <x:c r="K4" s="10" t="str">
        <x:v>Ancla principal</x:v>
      </x:c>
      <x:c r="L4" s="10" t="str">
        <x:v>Localizador y complemento</x:v>
      </x:c>
      <x:c r="M4" s="10" t="str">
        <x:v>Estatuto</x:v>
      </x:c>
      <x:c r="N4" s="10" t="str">
        <x:v>Duplicado</x:v>
      </x:c>
      <x:c r="O4" s="10" t="str">
        <x:v>Campo ausente</x:v>
      </x:c>
    </x:row>
    <x:row r="5" ht="47" customHeight="1">
      <x:c r="A5" s="4" t="str">
        <x:v>CYO-01</x:v>
      </x:c>
      <x:c r="B5" s="4" t="str">
        <x:v>Gobierno</x:v>
      </x:c>
      <x:c r="C5" s="4" t="str">
        <x:v>Expediente de riesgo y opciones de tratamiento</x:v>
      </x:c>
      <x:c r="D5" s="4" t="str">
        <x:v>Sistema y objetivos delimitados</x:v>
      </x:c>
      <x:c r="E5" s="4" t="str">
        <x:v>Evaluación o cambio material</x:v>
      </x:c>
      <x:c r="F5" s="4" t="str">
        <x:v>Responsable de riesgo; decisión de Dirección</x:v>
      </x:c>
      <x:c r="G5" s="4" t="str">
        <x:v>Análisis no acepta riesgo ni impone inversión</x:v>
      </x:c>
      <x:c r="H5" s="4" t="str">
        <x:v>Riesgos, alternativas, coste total, valor protegido y decisión atribuida</x:v>
      </x:c>
      <x:c r="I5" s="4" t="str">
        <x:v>Estimar con supuestos, comparar alternativas y justificar consecuencias</x:v>
      </x:c>
      <x:c r="J5" s="4" t="str">
        <x:v>Una cifra de riesgo puede ocultar costes, dependencias y pérdidas no consideradas.</x:v>
      </x:c>
      <x:c r="K5" s="4" t="str">
        <x:v>R035</x:v>
      </x:c>
      <x:c r="L5" s="4" t="str">
        <x:v>IV: métodos, calibración, tratamiento y comunicación</x:v>
      </x:c>
      <x:c r="M5" s="4" t="str">
        <x:v>CANDIDATA PARA CONTRASTE</x:v>
      </x:c>
      <x:c r="N5" s="12" t="n">
        <x:f>COUNTIF('26_Mapa_universos'!$A$5:$A$33,A5)-1</x:f>
        <x:v>0</x:v>
      </x:c>
      <x:c r="O5" s="12" t="n">
        <x:f>COUNTBLANK(C5:H5)</x:f>
        <x:v>0</x:v>
      </x:c>
    </x:row>
    <x:row r="6" ht="47" customHeight="1">
      <x:c r="A6" s="4" t="str">
        <x:v>CYO-02</x:v>
      </x:c>
      <x:c r="B6" s="4" t="str">
        <x:v>Ingeniería</x:v>
      </x:c>
      <x:c r="C6" s="4" t="str">
        <x:v>Dictamen de arquitectura de seguridad</x:v>
      </x:c>
      <x:c r="D6" s="4" t="str">
        <x:v>Diseño y sus interfaces</x:v>
      </x:c>
      <x:c r="E6" s="4" t="str">
        <x:v>Nuevo diseño o modificación</x:v>
      </x:c>
      <x:c r="F6" s="4" t="str">
        <x:v>Arquitectura y propietario del sistema</x:v>
      </x:c>
      <x:c r="G6" s="4" t="str">
        <x:v>Diseño no autoriza puesta en servicio</x:v>
      </x:c>
      <x:c r="H6" s="4" t="str">
        <x:v>Requisitos, amenazas, alternativas y restricciones trazados</x:v>
      </x:c>
      <x:c r="I6" s="4" t="str">
        <x:v>Razonar sobre superficies, segmentación y dependencias</x:v>
      </x:c>
      <x:c r="J6" s="4" t="str">
        <x:v>Un control local puede dejar sin proteger una dependencia del servicio.</x:v>
      </x:c>
      <x:c r="K6" s="4" t="str">
        <x:v>R019</x:v>
      </x:c>
      <x:c r="L6" s="4" t="str">
        <x:v>IV: seguridad de redes; complemento R029 redes/nube</x:v>
      </x:c>
      <x:c r="M6" s="4" t="str">
        <x:v>CANDIDATA PARA CONTRASTE</x:v>
      </x:c>
      <x:c r="N6" s="12" t="n">
        <x:f>COUNTIF('26_Mapa_universos'!$A$5:$A$33,A6)-1</x:f>
        <x:v>0</x:v>
      </x:c>
      <x:c r="O6" s="12" t="n">
        <x:f>COUNTBLANK(C6:H6)</x:f>
        <x:v>0</x:v>
      </x:c>
    </x:row>
    <x:row r="7" ht="47" customHeight="1">
      <x:c r="A7" s="4" t="str">
        <x:v>CYO-03</x:v>
      </x:c>
      <x:c r="B7" s="4" t="str">
        <x:v>Ingeniería</x:v>
      </x:c>
      <x:c r="C7" s="4" t="str">
        <x:v>Expediente de autorización de acceso</x:v>
      </x:c>
      <x:c r="D7" s="4" t="str">
        <x:v>Sujeto, recurso y privilegio solicitado</x:v>
      </x:c>
      <x:c r="E7" s="4" t="str">
        <x:v>Alta, cambio, revisión o revocación</x:v>
      </x:c>
      <x:c r="F7" s="4" t="str">
        <x:v>Titular del recurso y autoridad de acceso</x:v>
      </x:c>
      <x:c r="G7" s="4" t="str">
        <x:v>Rol o recomendación no concede permiso</x:v>
      </x:c>
      <x:c r="H7" s="4" t="str">
        <x:v>Permiso, alcance, vigencia y responsable explícitos o insuficiencia</x:v>
      </x:c>
      <x:c r="I7" s="4" t="str">
        <x:v>Distinguir identidad, autenticación, autorización y privilegio efectivo</x:v>
      </x:c>
      <x:c r="J7" s="4" t="str">
        <x:v>Identificar al usuario no demuestra que deba disponer de ese acceso.</x:v>
      </x:c>
      <x:c r="K7" s="4" t="str">
        <x:v>R024</x:v>
      </x:c>
      <x:c r="L7" s="4" t="str">
        <x:v>IV: acceso y seguridad de datos; contraste NICE T1548</x:v>
      </x:c>
      <x:c r="M7" s="4" t="str">
        <x:v>CANDIDATA PARA CONTRASTE</x:v>
      </x:c>
      <x:c r="N7" s="12" t="n">
        <x:f>COUNTIF('26_Mapa_universos'!$A$5:$A$33,A7)-1</x:f>
        <x:v>0</x:v>
      </x:c>
      <x:c r="O7" s="12" t="n">
        <x:f>COUNTBLANK(C7:H7)</x:f>
        <x:v>0</x:v>
      </x:c>
    </x:row>
    <x:row r="8" ht="47" customHeight="1">
      <x:c r="A8" s="4" t="str">
        <x:v>CYO-04</x:v>
      </x:c>
      <x:c r="B8" s="4" t="str">
        <x:v>Evaluación y respuesta</x:v>
      </x:c>
      <x:c r="C8" s="4" t="str">
        <x:v>Informe de evaluación técnica autorizada</x:v>
      </x:c>
      <x:c r="D8" s="4" t="str">
        <x:v>Superficie y técnicas contratadas</x:v>
      </x:c>
      <x:c r="E8" s="4" t="str">
        <x:v>Encargo con reglas de actuación</x:v>
      </x:c>
      <x:c r="F8" s="4" t="str">
        <x:v>Evaluador y titular del alcance</x:v>
      </x:c>
      <x:c r="G8" s="4" t="str">
        <x:v>Hallazgo no es explotación demostrada ni corrección</x:v>
      </x:c>
      <x:c r="H8" s="4" t="str">
        <x:v>Método, evidencias, límites y hallazgos entregados</x:v>
      </x:c>
      <x:c r="I8" s="4" t="str">
        <x:v>Diseñar y ejecutar pruebas delimitadas; informar incertidumbre</x:v>
      </x:c>
      <x:c r="J8" s="4" t="str">
        <x:v>Una prueba fuera de alcance puede producir daño sin autorización.</x:v>
      </x:c>
      <x:c r="K8" s="4" t="str">
        <x:v>R034</x:v>
      </x:c>
      <x:c r="L8" s="4" t="str">
        <x:v>IV: alcance, fases y pruebas; R015 como base</x:v>
      </x:c>
      <x:c r="M8" s="4" t="str">
        <x:v>CANDIDATA PARA CONTRASTE</x:v>
      </x:c>
      <x:c r="N8" s="12" t="n">
        <x:f>COUNTIF('26_Mapa_universos'!$A$5:$A$33,A8)-1</x:f>
        <x:v>0</x:v>
      </x:c>
      <x:c r="O8" s="12" t="n">
        <x:f>COUNTBLANK(C8:H8)</x:f>
        <x:v>0</x:v>
      </x:c>
    </x:row>
    <x:row r="9" ht="47" customHeight="1">
      <x:c r="A9" s="4" t="str">
        <x:v>CYO-05</x:v>
      </x:c>
      <x:c r="B9" s="4" t="str">
        <x:v>Ingeniería</x:v>
      </x:c>
      <x:c r="C9" s="4" t="str">
        <x:v>Dictamen de seguridad de entrega de software</x:v>
      </x:c>
      <x:c r="D9" s="4" t="str">
        <x:v>Versión, construcción y dependencias</x:v>
      </x:c>
      <x:c r="E9" s="4" t="str">
        <x:v>Entrega o actualización candidata</x:v>
      </x:c>
      <x:c r="F9" s="4" t="str">
        <x:v>Desarrollo, verificación y responsable de entrega</x:v>
      </x:c>
      <x:c r="G9" s="4" t="str">
        <x:v>No despliega; evaluación de comportamiento aprendido se contrasta en CYO-23</x:v>
      </x:c>
      <x:c r="H9" s="4" t="str">
        <x:v>Pruebas y defectos atribuibles a la versión identificada</x:v>
      </x:c>
      <x:c r="I9" s="4" t="str">
        <x:v>Rastrear defectos entre requisitos, código, pruebas y versión</x:v>
      </x:c>
      <x:c r="J9" s="4" t="str">
        <x:v>Probar otra construcción deja sin evidencia la entrega examinada.</x:v>
      </x:c>
      <x:c r="K9" s="4" t="str">
        <x:v>R028</x:v>
      </x:c>
      <x:c r="L9" s="4" t="str">
        <x:v>IV: desarrollo y análisis seguro; R023 ingeniería</x:v>
      </x:c>
      <x:c r="M9" s="4" t="str">
        <x:v>CANDIDATA PARA CONTRASTE</x:v>
      </x:c>
      <x:c r="N9" s="12" t="n">
        <x:f>COUNTIF('26_Mapa_universos'!$A$5:$A$33,A9)-1</x:f>
        <x:v>0</x:v>
      </x:c>
      <x:c r="O9" s="12" t="n">
        <x:f>COUNTBLANK(C9:H9)</x:f>
        <x:v>0</x:v>
      </x:c>
    </x:row>
    <x:row r="10" ht="47" customHeight="1">
      <x:c r="A10" s="4" t="str">
        <x:v>CYO-06</x:v>
      </x:c>
      <x:c r="B10" s="4" t="str">
        <x:v>Gobierno</x:v>
      </x:c>
      <x:c r="C10" s="4" t="str">
        <x:v>Evaluación de proveedor o dependencia externa</x:v>
      </x:c>
      <x:c r="D10" s="4" t="str">
        <x:v>Servicio, componente o proveedor delimitado</x:v>
      </x:c>
      <x:c r="E10" s="4" t="str">
        <x:v>Adquisición, renovación o cambio</x:v>
      </x:c>
      <x:c r="F10" s="4" t="str">
        <x:v>Adquisiciones y propietario del riesgo</x:v>
      </x:c>
      <x:c r="G10" s="4" t="str">
        <x:v>Certificado no extiende confianza a toda la cadena</x:v>
      </x:c>
      <x:c r="H10" s="4" t="str">
        <x:v>Condiciones, evidencias y riesgos para la admisión</x:v>
      </x:c>
      <x:c r="I10" s="4" t="str">
        <x:v>Valorar dependencia, garantías verificables y responsabilidad</x:v>
      </x:c>
      <x:c r="J10" s="4" t="str">
        <x:v>Una dependencia no evaluada puede trasladar riesgo al servicio.</x:v>
      </x:c>
      <x:c r="K10" s="4" t="str">
        <x:v>R035</x:v>
      </x:c>
      <x:c r="L10" s="4" t="str">
        <x:v>IV: transferencia y tratamiento; NICE OG-WRL-017 como contraste</x:v>
      </x:c>
      <x:c r="M10" s="4" t="str">
        <x:v>CANDIDATA PARA CONTRASTE</x:v>
      </x:c>
      <x:c r="N10" s="12" t="n">
        <x:f>COUNTIF('26_Mapa_universos'!$A$5:$A$33,A10)-1</x:f>
        <x:v>0</x:v>
      </x:c>
      <x:c r="O10" s="12" t="n">
        <x:f>COUNTBLANK(C10:H10)</x:f>
        <x:v>0</x:v>
      </x:c>
    </x:row>
    <x:row r="11" ht="47" customHeight="1">
      <x:c r="A11" s="4" t="str">
        <x:v>CYO-07</x:v>
      </x:c>
      <x:c r="B11" s="4" t="str">
        <x:v>Evaluación y respuesta</x:v>
      </x:c>
      <x:c r="C11" s="4" t="str">
        <x:v>Informe de triaje de una alerta</x:v>
      </x:c>
      <x:c r="D11" s="4" t="str">
        <x:v>Alerta y evidencias de un episodio</x:v>
      </x:c>
      <x:c r="E11" s="4" t="str">
        <x:v>Recepción o revisión fundada</x:v>
      </x:c>
      <x:c r="F11" s="4" t="str">
        <x:v>Analista responsable y supervisor</x:v>
      </x:c>
      <x:c r="G11" s="4" t="str">
        <x:v>No ejecuta contención; IA es apoyo opcional declarado</x:v>
      </x:c>
      <x:c r="H11" s="4" t="str">
        <x:v>Clasificación fundada, escalado o insuficiencia delimitada</x:v>
      </x:c>
      <x:c r="I11" s="4" t="str">
        <x:v>Contrastar señales, calidad de evidencia y contexto de servicio</x:v>
      </x:c>
      <x:c r="J11" s="4" t="str">
        <x:v>Ausencia de señal puede confundirse con ausencia de actividad.</x:v>
      </x:c>
      <x:c r="K11" s="4" t="str">
        <x:v>R033</x:v>
      </x:c>
      <x:c r="L11" s="4" t="str">
        <x:v>IV: SOC, correlación y gestión de incidentes</x:v>
      </x:c>
      <x:c r="M11" s="4" t="str">
        <x:v>CANDIDATA PARA CONTRASTE</x:v>
      </x:c>
      <x:c r="N11" s="12" t="n">
        <x:f>COUNTIF('26_Mapa_universos'!$A$5:$A$33,A11)-1</x:f>
        <x:v>0</x:v>
      </x:c>
      <x:c r="O11" s="12" t="n">
        <x:f>COUNTBLANK(C11:H11)</x:f>
        <x:v>0</x:v>
      </x:c>
    </x:row>
    <x:row r="12" ht="47" customHeight="1">
      <x:c r="A12" s="4" t="str">
        <x:v>CYO-08</x:v>
      </x:c>
      <x:c r="B12" s="4" t="str">
        <x:v>Evaluación y respuesta</x:v>
      </x:c>
      <x:c r="C12" s="4" t="str">
        <x:v>Informe de inteligencia de amenazas</x:v>
      </x:c>
      <x:c r="D12" s="4" t="str">
        <x:v>Pregunta de inteligencia y destinatario</x:v>
      </x:c>
      <x:c r="E12" s="4" t="str">
        <x:v>Solicitud o revisión de amenazas</x:v>
      </x:c>
      <x:c r="F12" s="4" t="str">
        <x:v>Analista y destinatario legitimado</x:v>
      </x:c>
      <x:c r="G12" s="4" t="str">
        <x:v>Confianza analítica no demuestra autoría ni predice como hecho</x:v>
      </x:c>
      <x:c r="H12" s="4" t="str">
        <x:v>Fuentes, evaluación, incertidumbre y límites comunicados</x:v>
      </x:c>
      <x:c r="I12" s="4" t="str">
        <x:v>Relacionar fuentes y contexto con una pregunta profesional</x:v>
      </x:c>
      <x:c r="J12" s="4" t="str">
        <x:v>Una atribución no sostenida puede orientar una defensa equivocada.</x:v>
      </x:c>
      <x:c r="K12" s="4" t="str">
        <x:v>R033</x:v>
      </x:c>
      <x:c r="L12" s="4" t="str">
        <x:v>IV: inteligencia de amenazas</x:v>
      </x:c>
      <x:c r="M12" s="4" t="str">
        <x:v>CANDIDATA PARA CONTRASTE</x:v>
      </x:c>
      <x:c r="N12" s="12" t="n">
        <x:f>COUNTIF('26_Mapa_universos'!$A$5:$A$33,A12)-1</x:f>
        <x:v>0</x:v>
      </x:c>
      <x:c r="O12" s="12" t="n">
        <x:f>COUNTBLANK(C12:H12)</x:f>
        <x:v>0</x:v>
      </x:c>
    </x:row>
    <x:row r="13" ht="47" customHeight="1">
      <x:c r="A13" s="4" t="str">
        <x:v>CYO-09</x:v>
      </x:c>
      <x:c r="B13" s="4" t="str">
        <x:v>Evaluación y respuesta</x:v>
      </x:c>
      <x:c r="C13" s="4" t="str">
        <x:v>Plan de respuesta a incidente</x:v>
      </x:c>
      <x:c r="D13" s="4" t="str">
        <x:v>Incidente y servicios afectados</x:v>
      </x:c>
      <x:c r="E13" s="4" t="str">
        <x:v>Incidente admitido en el alcance</x:v>
      </x:c>
      <x:c r="F13" s="4" t="str">
        <x:v>Coordinador y autoridad de intervención</x:v>
      </x:c>
      <x:c r="G13" s="4" t="str">
        <x:v>Plan, aprobación y ejecución permanecen separados</x:v>
      </x:c>
      <x:c r="H13" s="4" t="str">
        <x:v>Opciones, efectos previstos, permisos y condiciones de parada</x:v>
      </x:c>
      <x:c r="I13" s="4" t="str">
        <x:v>Planificar contención y recuperación considerando efectos laterales</x:v>
      </x:c>
      <x:c r="J13" s="4" t="str">
        <x:v>Una medida puede interrumpir más de lo que protege.</x:v>
      </x:c>
      <x:c r="K13" s="4" t="str">
        <x:v>R033</x:v>
      </x:c>
      <x:c r="L13" s="4" t="str">
        <x:v>IV: respuesta; R035 balance de tratamiento</x:v>
      </x:c>
      <x:c r="M13" s="4" t="str">
        <x:v>CANDIDATA PARA CONTRASTE</x:v>
      </x:c>
      <x:c r="N13" s="12" t="n">
        <x:f>COUNTIF('26_Mapa_universos'!$A$5:$A$33,A13)-1</x:f>
        <x:v>0</x:v>
      </x:c>
      <x:c r="O13" s="12" t="n">
        <x:f>COUNTBLANK(C13:H13)</x:f>
        <x:v>0</x:v>
      </x:c>
    </x:row>
    <x:row r="14" ht="47" customHeight="1">
      <x:c r="A14" s="4" t="str">
        <x:v>CYO-10</x:v>
      </x:c>
      <x:c r="B14" s="4" t="str">
        <x:v>Evaluación y respuesta</x:v>
      </x:c>
      <x:c r="C14" s="4" t="str">
        <x:v>Informe forense y expediente de evidencia</x:v>
      </x:c>
      <x:c r="D14" s="4" t="str">
        <x:v>Fuentes digitales identificadas</x:v>
      </x:c>
      <x:c r="E14" s="4" t="str">
        <x:v>Encargo investigador o preservación</x:v>
      </x:c>
      <x:c r="F14" s="4" t="str">
        <x:v>Analista forense y custodio</x:v>
      </x:c>
      <x:c r="G14" s="4" t="str">
        <x:v>No decide culpabilidad ni admisibilidad judicial</x:v>
      </x:c>
      <x:c r="H14" s="4" t="str">
        <x:v>Adquisición, integridad, transformación, análisis y límites trazados</x:v>
      </x:c>
      <x:c r="I14" s="4" t="str">
        <x:v>Separar original, copia, transformación, observación e interpretación</x:v>
      </x:c>
      <x:c r="J14" s="4" t="str">
        <x:v>Perder procedencia impide sostener una conclusión con esa evidencia.</x:v>
      </x:c>
      <x:c r="K14" s="4" t="str">
        <x:v>R033</x:v>
      </x:c>
      <x:c r="L14" s="4" t="str">
        <x:v>IV: DFIR y cadena de custodia</x:v>
      </x:c>
      <x:c r="M14" s="4" t="str">
        <x:v>CANDIDATA PARA CONTRASTE</x:v>
      </x:c>
      <x:c r="N14" s="12" t="n">
        <x:f>COUNTIF('26_Mapa_universos'!$A$5:$A$33,A14)-1</x:f>
        <x:v>0</x:v>
      </x:c>
      <x:c r="O14" s="12" t="n">
        <x:f>COUNTBLANK(C14:H14)</x:f>
        <x:v>0</x:v>
      </x:c>
    </x:row>
    <x:row r="15" ht="47" customHeight="1">
      <x:c r="A15" s="4" t="str">
        <x:v>CYO-11</x:v>
      </x:c>
      <x:c r="B15" s="4" t="str">
        <x:v>Evaluación y respuesta</x:v>
      </x:c>
      <x:c r="C15" s="4" t="str">
        <x:v>Informe de preparación y prueba de recuperación</x:v>
      </x:c>
      <x:c r="D15" s="4" t="str">
        <x:v>Servicio, copias y plan de continuidad</x:v>
      </x:c>
      <x:c r="E15" s="4" t="str">
        <x:v>Ensayo o revisión programada</x:v>
      </x:c>
      <x:c r="F15" s="4" t="str">
        <x:v>Continuidad y propietario del servicio</x:v>
      </x:c>
      <x:c r="G15" s="4" t="str">
        <x:v>Ensayo no acredita restauración de un incidente real</x:v>
      </x:c>
      <x:c r="H15" s="4" t="str">
        <x:v>Resultados del ensayo frente a requisitos y carencias</x:v>
      </x:c>
      <x:c r="I15" s="4" t="str">
        <x:v>Ensayar recuperación con dependencias, objetivos y límites</x:v>
      </x:c>
      <x:c r="J15" s="4" t="str">
        <x:v>Una copia existente puede resultar inútil al necesitar recuperación.</x:v>
      </x:c>
      <x:c r="K15" s="4" t="str">
        <x:v>R033</x:v>
      </x:c>
      <x:c r="L15" s="4" t="str">
        <x:v>IV: BCP/DRP, RPO y RTO</x:v>
      </x:c>
      <x:c r="M15" s="4" t="str">
        <x:v>CANDIDATA PARA CONTRASTE</x:v>
      </x:c>
      <x:c r="N15" s="12" t="n">
        <x:f>COUNTIF('26_Mapa_universos'!$A$5:$A$33,A15)-1</x:f>
        <x:v>0</x:v>
      </x:c>
      <x:c r="O15" s="12" t="n">
        <x:f>COUNTBLANK(C15:H15)</x:f>
        <x:v>0</x:v>
      </x:c>
    </x:row>
    <x:row r="16" ht="47" customHeight="1">
      <x:c r="A16" s="4" t="str">
        <x:v>CYO-12</x:v>
      </x:c>
      <x:c r="B16" s="4" t="str">
        <x:v>Ingeniería</x:v>
      </x:c>
      <x:c r="C16" s="4" t="str">
        <x:v>Expediente de cambio y mantenimiento seguro</x:v>
      </x:c>
      <x:c r="D16" s="4" t="str">
        <x:v>Activo, configuración y cambio</x:v>
      </x:c>
      <x:c r="E16" s="4" t="str">
        <x:v>Alta, mantenimiento, cambio o retirada</x:v>
      </x:c>
      <x:c r="F16" s="4" t="str">
        <x:v>Operación y propietario del cambio</x:v>
      </x:c>
      <x:c r="G16" s="4" t="str">
        <x:v>Cambio registrado no acredita efecto; crisis tiene mando CYO-24</x:v>
      </x:c>
      <x:c r="H16" s="4" t="str">
        <x:v>Estado previo, actuación autorizada, comprobación y residual</x:v>
      </x:c>
      <x:c r="I16" s="4" t="str">
        <x:v>Comprender ejecución y aislamiento; comprobar el efecto del cambio</x:v>
      </x:c>
      <x:c r="J16" s="4" t="str">
        <x:v>Documentar una configuración deseada no demuestra la efectiva.</x:v>
      </x:c>
      <x:c r="K16" s="4" t="str">
        <x:v>R025</x:v>
      </x:c>
      <x:c r="L16" s="4" t="str">
        <x:v>IV: sistemas operativos; R019 configuración segura</x:v>
      </x:c>
      <x:c r="M16" s="4" t="str">
        <x:v>CANDIDATA PARA CONTRASTE</x:v>
      </x:c>
      <x:c r="N16" s="12" t="n">
        <x:f>COUNTIF('26_Mapa_universos'!$A$5:$A$33,A16)-1</x:f>
        <x:v>0</x:v>
      </x:c>
      <x:c r="O16" s="12" t="n">
        <x:f>COUNTBLANK(C16:H16)</x:f>
        <x:v>0</x:v>
      </x:c>
    </x:row>
    <x:row r="17" ht="47" customHeight="1">
      <x:c r="A17" s="4" t="str">
        <x:v>CYO-13</x:v>
      </x:c>
      <x:c r="B17" s="4" t="str">
        <x:v>Ingeniería</x:v>
      </x:c>
      <x:c r="C17" s="4" t="str">
        <x:v>Dictamen de protección criptográfica</x:v>
      </x:c>
      <x:c r="D17" s="4" t="str">
        <x:v>Datos, claves y protocolo</x:v>
      </x:c>
      <x:c r="E17" s="4" t="str">
        <x:v>Diseño o revisión de protección</x:v>
      </x:c>
      <x:c r="F17" s="4" t="str">
        <x:v>Responsable criptográfico y del servicio</x:v>
      </x:c>
      <x:c r="G17" s="4" t="str">
        <x:v>Cifrar no acredita por sí solo autenticidad ni custodia de claves</x:v>
      </x:c>
      <x:c r="H17" s="4" t="str">
        <x:v>Propiedades, supuestos, ciclo de claves y límites identificados</x:v>
      </x:c>
      <x:c r="I17" s="4" t="str">
        <x:v>Elegir y analizar construcciones según la propiedad necesaria</x:v>
      </x:c>
      <x:c r="J17" s="4" t="str">
        <x:v>Confundir hash, firma y cifrado puede dejar sin garantía el objetivo.</x:v>
      </x:c>
      <x:c r="K17" s="4" t="str">
        <x:v>R007</x:v>
      </x:c>
      <x:c r="L17" s="4" t="str">
        <x:v>IV: cifrado, autenticación, hash y firma</x:v>
      </x:c>
      <x:c r="M17" s="4" t="str">
        <x:v>CANDIDATA PARA CONTRASTE</x:v>
      </x:c>
      <x:c r="N17" s="12" t="n">
        <x:f>COUNTIF('26_Mapa_universos'!$A$5:$A$33,A17)-1</x:f>
        <x:v>0</x:v>
      </x:c>
      <x:c r="O17" s="12" t="n">
        <x:f>COUNTBLANK(C17:H17)</x:f>
        <x:v>0</x:v>
      </x:c>
    </x:row>
    <x:row r="18" ht="47" customHeight="1">
      <x:c r="A18" s="4" t="str">
        <x:v>CYO-14</x:v>
      </x:c>
      <x:c r="B18" s="4" t="str">
        <x:v>Ciberfísico</x:v>
      </x:c>
      <x:c r="C18" s="4" t="str">
        <x:v>Dictamen de seguridad de cambio OT</x:v>
      </x:c>
      <x:c r="D18" s="4" t="str">
        <x:v>Proceso físico y sistema de control</x:v>
      </x:c>
      <x:c r="E18" s="4" t="str">
        <x:v>Cambio o hallazgo con efecto físico</x:v>
      </x:c>
      <x:c r="F18" s="4" t="str">
        <x:v>Ingeniería OT, operación y autoridad de seguridad física</x:v>
      </x:c>
      <x:c r="G18" s="4" t="str">
        <x:v>Prueba en planta exige autorización propia</x:v>
      </x:c>
      <x:c r="H18" s="4" t="str">
        <x:v>Dependencias físicas, riesgos y condiciones de intervención</x:v>
      </x:c>
      <x:c r="I18" s="4" t="str">
        <x:v>Analizar cascadas y compatibilidad entre seguridad y operación</x:v>
      </x:c>
      <x:c r="J18" s="4" t="str">
        <x:v>Una respuesta digital puede afectar a la continuidad o al proceso físico.</x:v>
      </x:c>
      <x:c r="K18" s="4" t="str">
        <x:v>R036</x:v>
      </x:c>
      <x:c r="L18" s="4" t="str">
        <x:v>IV: infraestructuras e interdependencias</x:v>
      </x:c>
      <x:c r="M18" s="4" t="str">
        <x:v>CANDIDATA PARA CONTRASTE</x:v>
      </x:c>
      <x:c r="N18" s="12" t="n">
        <x:f>COUNTIF('26_Mapa_universos'!$A$5:$A$33,A18)-1</x:f>
        <x:v>0</x:v>
      </x:c>
      <x:c r="O18" s="12" t="n">
        <x:f>COUNTBLANK(C18:H18)</x:f>
        <x:v>0</x:v>
      </x:c>
    </x:row>
    <x:row r="19" ht="47" customHeight="1">
      <x:c r="A19" s="4" t="str">
        <x:v>CYO-15</x:v>
      </x:c>
      <x:c r="B19" s="4" t="str">
        <x:v>Gobierno</x:v>
      </x:c>
      <x:c r="C19" s="4" t="str">
        <x:v>Evaluación de admisibilidad de un uso de IA</x:v>
      </x:c>
      <x:c r="D19" s="4" t="str">
        <x:v>Propósito, sistema, datos, actores y organización</x:v>
      </x:c>
      <x:c r="E19" s="4" t="str">
        <x:v>Nuevo uso o cambio material</x:v>
      </x:c>
      <x:c r="F19" s="4" t="str">
        <x:v>Propietario del uso y autoridad humana de admisión</x:v>
      </x:c>
      <x:c r="G19" s="4" t="str">
        <x:v>Validez técnica de CYO-23 no concede permiso; no habilita autonomía</x:v>
      </x:c>
      <x:c r="H19" s="4" t="str">
        <x:v>Evidencias, límites, supervisión y decisión humana atribuida</x:v>
      </x:c>
      <x:c r="I19" s="4" t="str">
        <x:v>Juzgar adecuación al uso con afectados, alternativas y límites</x:v>
      </x:c>
      <x:c r="J19" s="4" t="str">
        <x:v>Un modelo técnicamente válido puede ser improcedente para ese uso.</x:v>
      </x:c>
      <x:c r="K19" s="4" t="str">
        <x:v>M003</x:v>
      </x:c>
      <x:c r="L19" s="4" t="str">
        <x:v>CLO: confianza, ética y evaluación; R037 gobierno</x:v>
      </x:c>
      <x:c r="M19" s="4" t="str">
        <x:v>CANDIDATA PARA CONTRASTE</x:v>
      </x:c>
      <x:c r="N19" s="12" t="n">
        <x:f>COUNTIF('26_Mapa_universos'!$A$5:$A$33,A19)-1</x:f>
        <x:v>0</x:v>
      </x:c>
      <x:c r="O19" s="12" t="n">
        <x:f>COUNTBLANK(C19:H19)</x:f>
        <x:v>0</x:v>
      </x:c>
    </x:row>
    <x:row r="20" ht="47" customHeight="1">
      <x:c r="A20" s="4" t="str">
        <x:v>CYO-16</x:v>
      </x:c>
      <x:c r="B20" s="4" t="str">
        <x:v>Gobierno</x:v>
      </x:c>
      <x:c r="C20" s="4" t="str">
        <x:v>Informe de auditoría de controles</x:v>
      </x:c>
      <x:c r="D20" s="4" t="str">
        <x:v>Sistema y criterios aplicables</x:v>
      </x:c>
      <x:c r="E20" s="4" t="str">
        <x:v>Encargo de evaluación con independencia declarada</x:v>
      </x:c>
      <x:c r="F20" s="4" t="str">
        <x:v>Auditor con mandato y destinatario</x:v>
      </x:c>
      <x:c r="G20" s="4" t="str">
        <x:v>No equivale a certificación acreditada ni subsanación</x:v>
      </x:c>
      <x:c r="H20" s="4" t="str">
        <x:v>Evidencias, hallazgos, contradicciones y alcance comunicados</x:v>
      </x:c>
      <x:c r="I20" s="4" t="str">
        <x:v>Planificar pruebas y sostener conclusiones frente a criterios</x:v>
      </x:c>
      <x:c r="J20" s="4" t="str">
        <x:v>Una comprobación superficial puede ocultar un incumplimiento material.</x:v>
      </x:c>
      <x:c r="K20" s="4" t="str">
        <x:v>R032</x:v>
      </x:c>
      <x:c r="L20" s="4" t="str">
        <x:v>II/IV: auditoría y evidencia</x:v>
      </x:c>
      <x:c r="M20" s="4" t="str">
        <x:v>CANDIDATA PARA CONTRASTE</x:v>
      </x:c>
      <x:c r="N20" s="12" t="n">
        <x:f>COUNTIF('26_Mapa_universos'!$A$5:$A$33,A20)-1</x:f>
        <x:v>0</x:v>
      </x:c>
      <x:c r="O20" s="12" t="n">
        <x:f>COUNTBLANK(C20:H20)</x:f>
        <x:v>0</x:v>
      </x:c>
    </x:row>
    <x:row r="21" ht="47" customHeight="1">
      <x:c r="A21" s="4" t="str">
        <x:v>CYO-17</x:v>
      </x:c>
      <x:c r="B21" s="4" t="str">
        <x:v>Gobierno</x:v>
      </x:c>
      <x:c r="C21" s="4" t="str">
        <x:v>Dictamen de aplicabilidad jurídica y privacidad</x:v>
      </x:c>
      <x:c r="D21" s="4" t="str">
        <x:v>Entidad, actividad, tratamiento y jurisdicción</x:v>
      </x:c>
      <x:c r="E21" s="4" t="str">
        <x:v>Uso, incidente o cambio regulatorio</x:v>
      </x:c>
      <x:c r="F21" s="4" t="str">
        <x:v>Asesoría jurídica y privacidad competentes</x:v>
      </x:c>
      <x:c r="G21" s="4" t="str">
        <x:v>La IA no confiere habilitación jurídica ni crea una base legal</x:v>
      </x:c>
      <x:c r="H21" s="4" t="str">
        <x:v>Aplicabilidad, incertidumbres y remisión a autoridad competente</x:v>
      </x:c>
      <x:c r="I21" s="4" t="str">
        <x:v>Distinguir regla aplicable, supuesto y autoridad</x:v>
      </x:c>
      <x:c r="J21" s="4" t="str">
        <x:v>Importar una obligación por analogía puede producir un consejo improcedente.</x:v>
      </x:c>
      <x:c r="K21" s="4" t="str">
        <x:v>R012</x:v>
      </x:c>
      <x:c r="L21" s="4" t="str">
        <x:v>IV: derecho; textos vigentes concretos requieren examen propio</x:v>
      </x:c>
      <x:c r="M21" s="4" t="str">
        <x:v>CANDIDATA PARA CONTRASTE</x:v>
      </x:c>
      <x:c r="N21" s="12" t="n">
        <x:f>COUNTIF('26_Mapa_universos'!$A$5:$A$33,A21)-1</x:f>
        <x:v>0</x:v>
      </x:c>
      <x:c r="O21" s="12" t="n">
        <x:f>COUNTBLANK(C21:H21)</x:f>
        <x:v>0</x:v>
      </x:c>
    </x:row>
    <x:row r="22" ht="47" customHeight="1">
      <x:c r="A22" s="4" t="str">
        <x:v>CYO-18</x:v>
      </x:c>
      <x:c r="B22" s="4" t="str">
        <x:v>Conocimiento</x:v>
      </x:c>
      <x:c r="C22" s="4" t="str">
        <x:v>Dictamen de diseño o revisión formativa</x:v>
      </x:c>
      <x:c r="D22" s="4" t="str">
        <x:v>Programa y necesidades profesionales</x:v>
      </x:c>
      <x:c r="E22" s="4" t="str">
        <x:v>Nueva formación o revisión de eficacia</x:v>
      </x:c>
      <x:c r="F22" s="4" t="str">
        <x:v>Responsable curricular y profesional</x:v>
      </x:c>
      <x:c r="G22" s="4" t="str">
        <x:v>Diseñar no demuestra aprendizaje individual</x:v>
      </x:c>
      <x:c r="H22" s="4" t="str">
        <x:v>Objetivos, progresión, práctica y evaluación trazados</x:v>
      </x:c>
      <x:c r="I22" s="4" t="str">
        <x:v>Diseñar aprendizaje que permita justificar decisiones y sus consecuencias</x:v>
      </x:c>
      <x:c r="J22" s="4" t="str">
        <x:v>Un temario sin práctica evaluada no acredita juicio profesional.</x:v>
      </x:c>
      <x:c r="K22" s="4" t="str">
        <x:v>R040</x:v>
      </x:c>
      <x:c r="L22" s="4" t="str">
        <x:v>II/IV/VII.A: integración y evaluación; NICE OG-WRL-003/004</x:v>
      </x:c>
      <x:c r="M22" s="4" t="str">
        <x:v>CANDIDATA PARA CONTRASTE</x:v>
      </x:c>
      <x:c r="N22" s="12" t="n">
        <x:f>COUNTIF('26_Mapa_universos'!$A$5:$A$33,A22)-1</x:f>
        <x:v>0</x:v>
      </x:c>
      <x:c r="O22" s="12" t="n">
        <x:f>COUNTBLANK(C22:H22)</x:f>
        <x:v>0</x:v>
      </x:c>
    </x:row>
    <x:row r="23" ht="47" customHeight="1">
      <x:c r="A23" s="4" t="str">
        <x:v>CYO-19</x:v>
      </x:c>
      <x:c r="B23" s="4" t="str">
        <x:v>Conocimiento</x:v>
      </x:c>
      <x:c r="C23" s="4" t="str">
        <x:v>Resultado de investigación evaluable</x:v>
      </x:c>
      <x:c r="D23" s="4" t="str">
        <x:v>Pregunta delimitada de ciberseguridad</x:v>
      </x:c>
      <x:c r="E23" s="4" t="str">
        <x:v>Necesidad de conocimiento o contraste</x:v>
      </x:c>
      <x:c r="F23" s="4" t="str">
        <x:v>Investigador y revisor</x:v>
      </x:c>
      <x:c r="G23" s="4" t="str">
        <x:v>Resultado nuevo no actualiza por sí solo el dominio</x:v>
      </x:c>
      <x:c r="H23" s="4" t="str">
        <x:v>Pregunta, método, resultados, límites y revisión documentados</x:v>
      </x:c>
      <x:c r="I23" s="4" t="str">
        <x:v>Contrastar hipótesis y comunicar validez y límites</x:v>
      </x:c>
      <x:c r="J23" s="4" t="str">
        <x:v>Adoptar una novedad sin evaluar evidencia puede degradar el dominio.</x:v>
      </x:c>
      <x:c r="K23" s="4" t="str">
        <x:v>W016</x:v>
      </x:c>
      <x:c r="L23" s="4" t="str">
        <x:v>Learning outcomes: método y lectura crítica; R040</x:v>
      </x:c>
      <x:c r="M23" s="4" t="str">
        <x:v>CANDIDATA PARA CONTRASTE</x:v>
      </x:c>
      <x:c r="N23" s="12" t="n">
        <x:f>COUNTIF('26_Mapa_universos'!$A$5:$A$33,A23)-1</x:f>
        <x:v>0</x:v>
      </x:c>
      <x:c r="O23" s="12" t="n">
        <x:f>COUNTBLANK(C23:H23)</x:f>
        <x:v>0</x:v>
      </x:c>
    </x:row>
    <x:row r="24" ht="47" customHeight="1">
      <x:c r="A24" s="4" t="str">
        <x:v>CYO-20</x:v>
      </x:c>
      <x:c r="B24" s="4" t="str">
        <x:v>Frontera condicionada</x:v>
      </x:c>
      <x:c r="C24" s="4" t="str">
        <x:v>Expediente de investigación de ciberdelito</x:v>
      </x:c>
      <x:c r="D24" s="4" t="str">
        <x:v>Hechos y evidencia bajo mandato legal</x:v>
      </x:c>
      <x:c r="E24" s="4" t="str">
        <x:v>Encargo de autoridad investigadora</x:v>
      </x:c>
      <x:c r="F24" s="4" t="str">
        <x:v>Autoridad legal y equipo habilitado</x:v>
      </x:c>
      <x:c r="G24" s="4" t="str">
        <x:v>Frontera institucional; no competencia asumida por este dominio</x:v>
      </x:c>
      <x:c r="H24" s="4" t="str">
        <x:v>Entrega conforme al mandato o bloqueo por falta de habilitación</x:v>
      </x:c>
      <x:c r="I24" s="4" t="str">
        <x:v>Distinguir análisis técnico, investigación legal y atribución</x:v>
      </x:c>
      <x:c r="J24" s="4" t="str">
        <x:v>Confundir un indicio técnico con culpabilidad excede la competencia.</x:v>
      </x:c>
      <x:c r="K24" s="4" t="str">
        <x:v>R012</x:v>
      </x:c>
      <x:c r="L24" s="4" t="str">
        <x:v>Ancla educativa jurídica; NICE IN-WRL-001 aporta el rol profesional</x:v>
      </x:c>
      <x:c r="M24" s="4" t="str">
        <x:v>FRONTERA CONDICIONADA</x:v>
      </x:c>
      <x:c r="N24" s="12" t="n">
        <x:f>COUNTIF('26_Mapa_universos'!$A$5:$A$33,A24)-1</x:f>
        <x:v>0</x:v>
      </x:c>
      <x:c r="O24" s="12" t="n">
        <x:f>COUNTBLANK(C24:H24)</x:f>
        <x:v>0</x:v>
      </x:c>
    </x:row>
    <x:row r="25" ht="47" customHeight="1">
      <x:c r="A25" s="4" t="str">
        <x:v>CYO-21</x:v>
      </x:c>
      <x:c r="B25" s="4" t="str">
        <x:v>Gobierno</x:v>
      </x:c>
      <x:c r="C25" s="4" t="str">
        <x:v>Expediente de autorización para operar</x:v>
      </x:c>
      <x:c r="D25" s="4" t="str">
        <x:v>Sistema y riesgo institucional</x:v>
      </x:c>
      <x:c r="E25" s="4" t="str">
        <x:v>Puesta en servicio o renovación</x:v>
      </x:c>
      <x:c r="F25" s="4" t="str">
        <x:v>Autoridad que puede aceptar ese riesgo</x:v>
      </x:c>
      <x:c r="G25" s="4" t="str">
        <x:v>Acceso individual y evaluación técnica no autorizan el sistema</x:v>
      </x:c>
      <x:c r="H25" s="4" t="str">
        <x:v>Decisión institucional, condiciones, vigencia y responsable</x:v>
      </x:c>
      <x:c r="I25" s="4" t="str">
        <x:v>Integrar dictámenes conservando quién acepta qué riesgo</x:v>
      </x:c>
      <x:c r="J25" s="4" t="str">
        <x:v>Una suma de informes no sustituye una decisión de autorización.</x:v>
      </x:c>
      <x:c r="K25" s="4" t="str">
        <x:v>R037</x:v>
      </x:c>
      <x:c r="L25" s="4" t="str">
        <x:v>IV: gobierno; NICE OG-WRL-013 distingue autoridad</x:v>
      </x:c>
      <x:c r="M25" s="4" t="str">
        <x:v>CANDIDATA PARA CONTRASTE</x:v>
      </x:c>
      <x:c r="N25" s="12" t="n">
        <x:f>COUNTIF('26_Mapa_universos'!$A$5:$A$33,A25)-1</x:f>
        <x:v>0</x:v>
      </x:c>
      <x:c r="O25" s="12" t="n">
        <x:f>COUNTBLANK(C25:H25)</x:f>
        <x:v>0</x:v>
      </x:c>
    </x:row>
    <x:row r="26" ht="47" customHeight="1">
      <x:c r="A26" s="4" t="str">
        <x:v>CYO-22</x:v>
      </x:c>
      <x:c r="B26" s="4" t="str">
        <x:v>Conocimiento</x:v>
      </x:c>
      <x:c r="C26" s="4" t="str">
        <x:v>Informe de actividad formativa y evaluación</x:v>
      </x:c>
      <x:c r="D26" s="4" t="str">
        <x:v>Actividad, personas y objetivos</x:v>
      </x:c>
      <x:c r="E26" s="4" t="str">
        <x:v>Actividad del programa aprobado</x:v>
      </x:c>
      <x:c r="F26" s="4" t="str">
        <x:v>Docente y responsable evaluador</x:v>
      </x:c>
      <x:c r="G26" s="4" t="str">
        <x:v>Asistencia no acredita aprendizaje ni permiso profesional</x:v>
      </x:c>
      <x:c r="H26" s="4" t="str">
        <x:v>Actuación observada, evaluación y retroalimentación documentadas</x:v>
      </x:c>
      <x:c r="I26" s="4" t="str">
        <x:v>Observar desempeño, justificar juicio y corregir carencias</x:v>
      </x:c>
      <x:c r="J26" s="4" t="str">
        <x:v>Una acreditación sin evidencia puede ocultar incapacidad para reconocer consecuencias.</x:v>
      </x:c>
      <x:c r="K26" s="4" t="str">
        <x:v>R038</x:v>
      </x:c>
      <x:c r="L26" s="4" t="str">
        <x:v>II/IV/VII.A: proyecto formativo, tutores y memoria; M001</x:v>
      </x:c>
      <x:c r="M26" s="4" t="str">
        <x:v>CANDIDATA PARA CONTRASTE</x:v>
      </x:c>
      <x:c r="N26" s="12" t="n">
        <x:f>COUNTIF('26_Mapa_universos'!$A$5:$A$33,A26)-1</x:f>
        <x:v>0</x:v>
      </x:c>
      <x:c r="O26" s="12" t="n">
        <x:f>COUNTBLANK(C26:H26)</x:f>
        <x:v>0</x:v>
      </x:c>
    </x:row>
    <x:row r="27" ht="47" customHeight="1">
      <x:c r="A27" s="4" t="str">
        <x:v>CYO-23</x:v>
      </x:c>
      <x:c r="B27" s="4" t="str">
        <x:v>Evaluación de IA</x:v>
      </x:c>
      <x:c r="C27" s="4" t="str">
        <x:v>Informe de validez y seguridad técnica de IA</x:v>
      </x:c>
      <x:c r="D27" s="4" t="str">
        <x:v>Modelo, datos, configuración y uso declarado</x:v>
      </x:c>
      <x:c r="E27" s="4" t="str">
        <x:v>Evaluación de una candidata o cambio</x:v>
      </x:c>
      <x:c r="F27" s="4" t="str">
        <x:v>Evaluador técnico y responsable de validación</x:v>
      </x:c>
      <x:c r="G27" s="4" t="str">
        <x:v>No autoriza uso ni incorpora modelo al motor normativo SV</x:v>
      </x:c>
      <x:c r="H27" s="4" t="str">
        <x:v>Método, cobertura, errores, robustez y límites vinculados al corte</x:v>
      </x:c>
      <x:c r="I27" s="4" t="str">
        <x:v>Diseñar contrastes y juzgar generalización, ataques, errores y recursos</x:v>
      </x:c>
      <x:c r="J27" s="4" t="str">
        <x:v>Una buena métrica puede ocultar contaminación de datos o fallos relevantes para el uso.</x:v>
      </x:c>
      <x:c r="K27" s="4" t="str">
        <x:v>M002</x:v>
      </x:c>
      <x:c r="L27" s="4" t="str">
        <x:v>CLO: extracción de características y evaluación; M003 robustez; M004 rendimiento</x:v>
      </x:c>
      <x:c r="M27" s="4" t="str">
        <x:v>CANDIDATA PARA CONTRASTE</x:v>
      </x:c>
      <x:c r="N27" s="12" t="n">
        <x:f>COUNTIF('26_Mapa_universos'!$A$5:$A$33,A27)-1</x:f>
        <x:v>0</x:v>
      </x:c>
      <x:c r="O27" s="12" t="n">
        <x:f>COUNTBLANK(C27:H27)</x:f>
        <x:v>0</x:v>
      </x:c>
    </x:row>
    <x:row r="28" ht="47" customHeight="1">
      <x:c r="A28" s="4" t="str">
        <x:v>CYO-24</x:v>
      </x:c>
      <x:c r="B28" s="4" t="str">
        <x:v>Evaluación y respuesta</x:v>
      </x:c>
      <x:c r="C28" s="4" t="str">
        <x:v>Expediente de ejecución y cierre de respuesta</x:v>
      </x:c>
      <x:c r="D28" s="4" t="str">
        <x:v>Intervenciones y estado efectivo del incidente</x:v>
      </x:c>
      <x:c r="E28" s="4" t="str">
        <x:v>Plan aprobado y permiso de actuación</x:v>
      </x:c>
      <x:c r="F28" s="4" t="str">
        <x:v>Mando del incidente y operadores autorizados</x:v>
      </x:c>
      <x:c r="G28" s="4" t="str">
        <x:v>Se cataloga la función humana; aquí no se autoriza ejecutar</x:v>
      </x:c>
      <x:c r="H28" s="4" t="str">
        <x:v>Acciones, efectos, evidencia, excepciones y cierre o transferencia</x:v>
      </x:c>
      <x:c r="I28" s="4" t="str">
        <x:v>Comprobar qué ocurrió tras actuar y conservar responsabilidad</x:v>
      </x:c>
      <x:c r="J28" s="4" t="str">
        <x:v>Confundir plan con efecto puede declarar contenido un incidente activo.</x:v>
      </x:c>
      <x:c r="K28" s="4" t="str">
        <x:v>R033</x:v>
      </x:c>
      <x:c r="L28" s="4" t="str">
        <x:v>IV: ciclo de respuesta y coordinación</x:v>
      </x:c>
      <x:c r="M28" s="4" t="str">
        <x:v>CANDIDATA PARA CONTRASTE</x:v>
      </x:c>
      <x:c r="N28" s="12" t="n">
        <x:f>COUNTIF('26_Mapa_universos'!$A$5:$A$33,A28)-1</x:f>
        <x:v>0</x:v>
      </x:c>
      <x:c r="O28" s="12" t="n">
        <x:f>COUNTBLANK(C28:H28)</x:f>
        <x:v>0</x:v>
      </x:c>
    </x:row>
    <x:row r="29" ht="47" customHeight="1">
      <x:c r="A29" s="4" t="str">
        <x:v>CYO-25</x:v>
      </x:c>
      <x:c r="B29" s="4" t="str">
        <x:v>Evaluación y respuesta</x:v>
      </x:c>
      <x:c r="C29" s="4" t="str">
        <x:v>Informe de restauración y retorno al servicio</x:v>
      </x:c>
      <x:c r="D29" s="4" t="str">
        <x:v>Servicio restaurado después de un suceso</x:v>
      </x:c>
      <x:c r="E29" s="4" t="str">
        <x:v>Recuperación autorizada</x:v>
      </x:c>
      <x:c r="F29" s="4" t="str">
        <x:v>Propietario del servicio y continuidad</x:v>
      </x:c>
      <x:c r="G29" s="4" t="str">
        <x:v>Copia recuperada no equivale a retorno seguro autorizado</x:v>
      </x:c>
      <x:c r="H29" s="4" t="str">
        <x:v>Integridad, dependencias, objetivos y decisión de retorno trazados</x:v>
      </x:c>
      <x:c r="I29" s="4" t="str">
        <x:v>Verificar estado recuperado y justificar condiciones de retorno</x:v>
      </x:c>
      <x:c r="J29" s="4" t="str">
        <x:v>Reabrir sin verificar dependencias puede reproducir el fallo o perder datos.</x:v>
      </x:c>
      <x:c r="K29" s="4" t="str">
        <x:v>R033</x:v>
      </x:c>
      <x:c r="L29" s="4" t="str">
        <x:v>IV: recuperación; R036 dependencias</x:v>
      </x:c>
      <x:c r="M29" s="4" t="str">
        <x:v>CANDIDATA PARA CONTRASTE</x:v>
      </x:c>
      <x:c r="N29" s="12" t="n">
        <x:f>COUNTIF('26_Mapa_universos'!$A$5:$A$33,A29)-1</x:f>
        <x:v>0</x:v>
      </x:c>
      <x:c r="O29" s="12" t="n">
        <x:f>COUNTBLANK(C29:H29)</x:f>
        <x:v>0</x:v>
      </x:c>
    </x:row>
    <x:row r="30" ht="47" customHeight="1">
      <x:c r="A30" s="4" t="str">
        <x:v>CYO-26</x:v>
      </x:c>
      <x:c r="B30" s="4" t="str">
        <x:v>Evaluación y respuesta</x:v>
      </x:c>
      <x:c r="C30" s="4" t="str">
        <x:v>Expediente de tratamiento de vulnerabilidad</x:v>
      </x:c>
      <x:c r="D30" s="4" t="str">
        <x:v>Hallazgo y activos afectados en contexto</x:v>
      </x:c>
      <x:c r="E30" s="4" t="str">
        <x:v>Vulnerabilidad comunicada o revisión de aplicabilidad</x:v>
      </x:c>
      <x:c r="F30" s="4" t="str">
        <x:v>Gestión de vulnerabilidades y propietario del cambio</x:v>
      </x:c>
      <x:c r="G30" s="4" t="str">
        <x:v>CVSS no equivale a riesgo local; tratar no es sólo detectar</x:v>
      </x:c>
      <x:c r="H30" s="4" t="str">
        <x:v>Aplicabilidad, prioridad fundada, tratamiento y verificación o aceptación atribuida</x:v>
      </x:c>
      <x:c r="I30" s="4" t="str">
        <x:v>Relacionar evidencia técnica, exposición, impacto y coste de corrección</x:v>
      </x:c>
      <x:c r="J30" s="4" t="str">
        <x:v>Priorizar por una cifra aislada puede desplazar un riesgo más relevante.</x:v>
      </x:c>
      <x:c r="K30" s="4" t="str">
        <x:v>R035</x:v>
      </x:c>
      <x:c r="L30" s="4" t="str">
        <x:v>IV: tratamiento; R034 hallazgos; NICE PD-WRL-007</x:v>
      </x:c>
      <x:c r="M30" s="4" t="str">
        <x:v>CANDIDATA PARA CONTRASTE</x:v>
      </x:c>
      <x:c r="N30" s="12" t="n">
        <x:f>COUNTIF('26_Mapa_universos'!$A$5:$A$33,A30)-1</x:f>
        <x:v>0</x:v>
      </x:c>
      <x:c r="O30" s="12" t="n">
        <x:f>COUNTBLANK(C30:H30)</x:f>
        <x:v>0</x:v>
      </x:c>
    </x:row>
    <x:row r="31" ht="47" customHeight="1">
      <x:c r="A31" s="4" t="str">
        <x:v>CYO-27</x:v>
      </x:c>
      <x:c r="B31" s="4" t="str">
        <x:v>Evaluación y respuesta</x:v>
      </x:c>
      <x:c r="C31" s="4" t="str">
        <x:v>Informe de cobertura y validación de detección</x:v>
      </x:c>
      <x:c r="D31" s="4" t="str">
        <x:v>Telemetría, lógica y escenarios delimitados</x:v>
      </x:c>
      <x:c r="E31" s="4" t="str">
        <x:v>Nueva detección o cambio de fuentes</x:v>
      </x:c>
      <x:c r="F31" s="4" t="str">
        <x:v>Ingeniería de detección y responsable del SOC</x:v>
      </x:c>
      <x:c r="G31" s="4" t="str">
        <x:v>No equivale al juicio de una alerta ni exige eBPF/P4</x:v>
      </x:c>
      <x:c r="H31" s="4" t="str">
        <x:v>Cobertura ensayada, puntos ciegos y limitaciones registradas</x:v>
      </x:c>
      <x:c r="I31" s="4" t="str">
        <x:v>Justificar observabilidad y comprobar detectabilidad y carga</x:v>
      </x:c>
      <x:c r="J31" s="4" t="str">
        <x:v>Un detector correcto puede ser ineficaz si no recibe la evidencia necesaria.</x:v>
      </x:c>
      <x:c r="K31" s="4" t="str">
        <x:v>R033</x:v>
      </x:c>
      <x:c r="L31" s="4" t="str">
        <x:v>IV: SIEM, correlación y detección; R029 red</x:v>
      </x:c>
      <x:c r="M31" s="4" t="str">
        <x:v>CANDIDATA PARA CONTRASTE</x:v>
      </x:c>
      <x:c r="N31" s="12" t="n">
        <x:f>COUNTIF('26_Mapa_universos'!$A$5:$A$33,A31)-1</x:f>
        <x:v>0</x:v>
      </x:c>
      <x:c r="O31" s="12" t="n">
        <x:f>COUNTBLANK(C31:H31)</x:f>
        <x:v>0</x:v>
      </x:c>
    </x:row>
    <x:row r="32" ht="47" customHeight="1">
      <x:c r="A32" s="4" t="str">
        <x:v>CYO-28</x:v>
      </x:c>
      <x:c r="B32" s="4" t="str">
        <x:v>Evaluación y respuesta</x:v>
      </x:c>
      <x:c r="C32" s="4" t="str">
        <x:v>Informe de búsqueda de amenazas por hipótesis</x:v>
      </x:c>
      <x:c r="D32" s="4" t="str">
        <x:v>Entorno y pregunta de hunting</x:v>
      </x:c>
      <x:c r="E32" s="4" t="str">
        <x:v>Hipótesis fundada; no precisa alerta previa</x:v>
      </x:c>
      <x:c r="F32" s="4" t="str">
        <x:v>Equipo de hunting y titular del alcance</x:v>
      </x:c>
      <x:c r="G32" s="4" t="str">
        <x:v>Ausencia de hallazgo no demuestra ausencia universal de compromiso</x:v>
      </x:c>
      <x:c r="H32" s="4" t="str">
        <x:v>Hipótesis contrastada, evidencias, alcance y cuestiones abiertas</x:v>
      </x:c>
      <x:c r="I32" s="4" t="str">
        <x:v>Investigar actividad que puede eludir controles con hipótesis comprobables</x:v>
      </x:c>
      <x:c r="J32" s="4" t="str">
        <x:v>Limitarse a las alertas omite amenazas fuera de su cobertura.</x:v>
      </x:c>
      <x:c r="K32" s="4" t="str">
        <x:v>R033</x:v>
      </x:c>
      <x:c r="L32" s="4" t="str">
        <x:v>IV: tema 6 hunting; G009 contraste</x:v>
      </x:c>
      <x:c r="M32" s="4" t="str">
        <x:v>CANDIDATA PARA CONTRASTE</x:v>
      </x:c>
      <x:c r="N32" s="12" t="n">
        <x:f>COUNTIF('26_Mapa_universos'!$A$5:$A$33,A32)-1</x:f>
        <x:v>0</x:v>
      </x:c>
      <x:c r="O32" s="12" t="n">
        <x:f>COUNTBLANK(C32:H32)</x:f>
        <x:v>0</x:v>
      </x:c>
    </x:row>
    <x:row r="33" ht="47" customHeight="1">
      <x:c r="A33" s="4" t="str">
        <x:v>CYO-29</x:v>
      </x:c>
      <x:c r="B33" s="4" t="str">
        <x:v>Gobierno</x:v>
      </x:c>
      <x:c r="C33" s="4" t="str">
        <x:v>Política corporativa gobernada de usos de IA</x:v>
      </x:c>
      <x:c r="D33" s="4" t="str">
        <x:v>Cartera de usos, datos y responsabilidades</x:v>
      </x:c>
      <x:c r="E33" s="4" t="str">
        <x:v>Política nueva, revisión o Shadow AI detectada</x:v>
      </x:c>
      <x:c r="F33" s="4" t="str">
        <x:v>Dirección y responsables de gobierno</x:v>
      </x:c>
      <x:c r="G33" s="4" t="str">
        <x:v>Política general no admite automáticamente cada uso</x:v>
      </x:c>
      <x:c r="H33" s="4" t="str">
        <x:v>Usos, prohibiciones, responsables, revisión y control de cambios documentados</x:v>
      </x:c>
      <x:c r="I33" s="4" t="str">
        <x:v>Traducir objetivos y responsabilidades en reglas de uso revisables</x:v>
      </x:c>
      <x:c r="J33" s="4" t="str">
        <x:v>Una política sin inventario puede dejar usos reales fuera de supervisión.</x:v>
      </x:c>
      <x:c r="K33" s="4" t="str">
        <x:v>R037</x:v>
      </x:c>
      <x:c r="L33" s="4" t="str">
        <x:v>IV: gobierno; M003 ética; AN-02 especificidad IA</x:v>
      </x:c>
      <x:c r="M33" s="4" t="str">
        <x:v>CANDIDATA PARA CONTRASTE</x:v>
      </x:c>
      <x:c r="N33" s="12" t="n">
        <x:f>COUNTIF('26_Mapa_universos'!$A$5:$A$33,A33)-1</x:f>
        <x:v>0</x:v>
      </x:c>
      <x:c r="O33" s="12" t="n">
        <x:f>COUNTBLANK(C33:H33)</x:f>
        <x:v>0</x:v>
      </x:c>
    </x:row>
  </x:sheetData>
  <x:mergeCells>
    <x:mergeCell ref="A1:D1"/>
    <x:mergeCell ref="A2:F2"/>
  </x:mergeCells>
  <x:conditionalFormatting sqref="N5:N33">
    <x:cfRule type="expression" dxfId="9" priority="1">
      <x:formula>N5&gt;0</x:formula>
    </x:cfRule>
  </x:conditionalFormatting>
  <x:conditionalFormatting sqref="O5:O33">
    <x:cfRule type="expression" dxfId="10" priority="2">
      <x:formula>O5&gt;0</x:formula>
    </x:cfRule>
  </x:conditionalFormatting>
  <x:pageMargins left="0.7" right="0.7" top="0.75" bottom="0.75" header="0.3" footer="0.3"/>
  <x:tableParts count="1">
    <x:tablePart xmlns:r="http://schemas.openxmlformats.org/officeDocument/2006/relationships" r:id="R51d034162a2a44b5"/>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6" hidden="0" customWidth="1"/>
    <x:col min="4" max="4" width="18" hidden="0" customWidth="1"/>
    <x:col min="5" max="5" width="77" hidden="0" customWidth="1"/>
    <x:col min="6" max="6" width="85" hidden="0" customWidth="1"/>
    <x:col min="7" max="7" width="91" hidden="0" customWidth="1"/>
    <x:col min="8" max="8" width="12" hidden="0" customWidth="1"/>
    <x:col min="9" max="9" width="61" hidden="0" customWidth="1"/>
    <x:col min="10" max="10" width="63" hidden="0" customWidth="1"/>
    <x:col min="11" max="11" width="18" hidden="0" customWidth="1"/>
    <x:col min="12" max="12" width="18" hidden="0" customWidth="1"/>
  </x:cols>
  <x:sheetData>
    <x:row r="1" ht="35" customHeight="1">
      <x:c r="A1" s="6" t="str">
        <x:v>APRENDIZAJE → PRODUCTO · trazas candidatas</x:v>
      </x:c>
      <x:c r="B1" s="6"/>
      <x:c r="C1" s="6"/>
      <x:c r="D1" s="6"/>
      <x:c r="E1" s="6"/>
      <x:c r="F1" s="6"/>
      <x:c r="G1" s="6"/>
      <x:c r="H1" s="6"/>
      <x:c r="I1" s="6"/>
      <x:c r="J1" s="6"/>
      <x:c r="K1" s="6"/>
      <x:c r="L1" s="6"/>
    </x:row>
    <x:row r="2" ht="52" customHeight="1">
      <x:c r="A2" s="8" t="str">
        <x:v>Toda asignatura, decisión complementaria y necesidad humana tiene destino o reserva. Cobertura por unidad inventariada; no prueba exhaustividad de cada contenido del temario ni aptitud profesional.</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Traza</x:v>
      </x:c>
      <x:c r="B4" s="10" t="str">
        <x:v>Unidad</x:v>
      </x:c>
      <x:c r="C4" s="10" t="str">
        <x:v>Clase</x:v>
      </x:c>
      <x:c r="D4" s="10" t="str">
        <x:v>Destino</x:v>
      </x:c>
      <x:c r="E4" s="10" t="str">
        <x:v>Conocimiento necesario</x:v>
      </x:c>
      <x:c r="F4" s="10" t="str">
        <x:v>Saber hacer</x:v>
      </x:c>
      <x:c r="G4" s="10" t="str">
        <x:v>Consecuencia / límite</x:v>
      </x:c>
      <x:c r="H4" s="10" t="str">
        <x:v>Fuente</x:v>
      </x:c>
      <x:c r="I4" s="10" t="str">
        <x:v>Localizador</x:v>
      </x:c>
      <x:c r="J4" s="10" t="str">
        <x:v>Estatuto</x:v>
      </x:c>
      <x:c r="K4" s="10" t="str">
        <x:v>Destino inválido</x:v>
      </x:c>
      <x:c r="L4" s="10" t="str">
        <x:v>Fuente inválida</x:v>
      </x:c>
    </x:row>
    <x:row r="5" ht="47" customHeight="1">
      <x:c r="A5" s="4" t="str">
        <x:v>TC-001</x:v>
      </x:c>
      <x:c r="B5" s="4" t="str">
        <x:v>URJC-01</x:v>
      </x:c>
      <x:c r="C5" s="4" t="str">
        <x:v>ASIGNATURA</x:v>
      </x:c>
      <x:c r="D5" s="4" t="str">
        <x:v>TRANSVERSAL</x:v>
      </x:c>
      <x:c r="E5" s="4" t="str">
        <x:v>Electromagnetismo; circuitos; semiconductores; lógica digital.</x:v>
      </x:c>
      <x:c r="F5" s="4" t="str">
        <x:v>Resolver circuitos y analizar máquinas de estados.</x:v>
      </x:c>
      <x:c r="G5" s="4" t="str">
        <x:v>Sin esta base puede faltar capacidad para comprender o justificar el conocimiento aplicado; no añade un universo.</x:v>
      </x:c>
      <x:c r="H5" s="4" t="str">
        <x:v>R001</x:v>
      </x:c>
      <x:c r="I5" s="4" t="str">
        <x:v>II; III (códigos); IV; actividad académica según guía</x:v>
      </x:c>
      <x:c r="J5" s="4" t="str">
        <x:v>ANCLA EDUCATIVA; ENLACE PROPUESTO</x:v>
      </x:c>
      <x:c r="K5" s="12" t="n">
        <x:f>IF(OR(D5="TRANSVERSAL",D5="RESERVA",COUNTIF('26_Mapa_universos'!$A$5:$A$33,D5)=1),0,1)</x:f>
        <x:v>0</x:v>
      </x:c>
      <x:c r="L5" s="12" t="n">
        <x:f>IF(COUNTIF('21_Fuentes_educativas'!$A$5:$A$188,H5)+COUNTIF('01_Fuentes'!$A$5:$A$40,H5)=1,0,1)</x:f>
        <x:v>0</x:v>
      </x:c>
    </x:row>
    <x:row r="6" ht="47" customHeight="1">
      <x:c r="A6" s="4" t="str">
        <x:v>TC-002</x:v>
      </x:c>
      <x:c r="B6" s="4" t="str">
        <x:v>URJC-02</x:v>
      </x:c>
      <x:c r="C6" s="4" t="str">
        <x:v>ASIGNATURA</x:v>
      </x:c>
      <x:c r="D6" s="4" t="str">
        <x:v>CYO-01</x:v>
      </x:c>
      <x:c r="E6" s="4" t="str">
        <x:v>Principios de seguridad; sistemas; amenazas; personas y economía.</x:v>
      </x:c>
      <x:c r="F6" s="4" t="str">
        <x:v>Distinguir riesgo, amenaza y vulnerabilidad en un contexto.</x:v>
      </x:c>
      <x:c r="G6" s="4" t="str">
        <x:v>Sin esta base puede faltar capacidad para comprender o justificar el juicio exigido por CYO-01.</x:v>
      </x:c>
      <x:c r="H6" s="4" t="str">
        <x:v>R002</x:v>
      </x:c>
      <x:c r="I6" s="4" t="str">
        <x:v>II; III (códigos); IV; actividad académica según guía</x:v>
      </x:c>
      <x:c r="J6" s="4" t="str">
        <x:v>ANCLA EDUCATIVA; ENLACE PROPUESTO</x:v>
      </x:c>
      <x:c r="K6" s="12" t="n">
        <x:f>IF(OR(D6="TRANSVERSAL",D6="RESERVA",COUNTIF('26_Mapa_universos'!$A$5:$A$33,D6)=1),0,1)</x:f>
        <x:v>0</x:v>
      </x:c>
      <x:c r="L6" s="12" t="n">
        <x:f>IF(COUNTIF('21_Fuentes_educativas'!$A$5:$A$188,H6)+COUNTIF('01_Fuentes'!$A$5:$A$40,H6)=1,0,1)</x:f>
        <x:v>0</x:v>
      </x:c>
    </x:row>
    <x:row r="7" ht="47" customHeight="1">
      <x:c r="A7" s="4" t="str">
        <x:v>TC-003</x:v>
      </x:c>
      <x:c r="B7" s="4" t="str">
        <x:v>URJC-02</x:v>
      </x:c>
      <x:c r="C7" s="4" t="str">
        <x:v>ASIGNATURA</x:v>
      </x:c>
      <x:c r="D7" s="4" t="str">
        <x:v>CYO-02</x:v>
      </x:c>
      <x:c r="E7" s="4" t="str">
        <x:v>Principios de seguridad; sistemas; amenazas; personas y economía.</x:v>
      </x:c>
      <x:c r="F7" s="4" t="str">
        <x:v>Distinguir riesgo, amenaza y vulnerabilidad en un contexto.</x:v>
      </x:c>
      <x:c r="G7" s="4" t="str">
        <x:v>Sin esta base puede faltar capacidad para comprender o justificar el juicio exigido por CYO-02.</x:v>
      </x:c>
      <x:c r="H7" s="4" t="str">
        <x:v>R002</x:v>
      </x:c>
      <x:c r="I7" s="4" t="str">
        <x:v>II; III (códigos); IV; actividad académica según guía</x:v>
      </x:c>
      <x:c r="J7" s="4" t="str">
        <x:v>ANCLA EDUCATIVA; ENLACE PROPUESTO</x:v>
      </x:c>
      <x:c r="K7" s="12" t="n">
        <x:f>IF(OR(D7="TRANSVERSAL",D7="RESERVA",COUNTIF('26_Mapa_universos'!$A$5:$A$33,D7)=1),0,1)</x:f>
        <x:v>0</x:v>
      </x:c>
      <x:c r="L7" s="12" t="n">
        <x:f>IF(COUNTIF('21_Fuentes_educativas'!$A$5:$A$188,H7)+COUNTIF('01_Fuentes'!$A$5:$A$40,H7)=1,0,1)</x:f>
        <x:v>0</x:v>
      </x:c>
    </x:row>
    <x:row r="8" ht="47" customHeight="1">
      <x:c r="A8" s="4" t="str">
        <x:v>TC-004</x:v>
      </x:c>
      <x:c r="B8" s="4" t="str">
        <x:v>URJC-03</x:v>
      </x:c>
      <x:c r="C8" s="4" t="str">
        <x:v>ASIGNATURA</x:v>
      </x:c>
      <x:c r="D8" s="4" t="str">
        <x:v>CYO-05</x:v>
      </x:c>
      <x:c r="E8" s="4" t="str">
        <x:v>Tipos; control; punteros; memoria; funciones y ficheros.</x:v>
      </x:c>
      <x:c r="F8" s="4" t="str">
        <x:v>Construir programas y comprobar su comportamiento.</x:v>
      </x:c>
      <x:c r="G8" s="4" t="str">
        <x:v>Sin esta base puede faltar capacidad para comprender o justificar el juicio exigido por CYO-05.</x:v>
      </x:c>
      <x:c r="H8" s="4" t="str">
        <x:v>R003</x:v>
      </x:c>
      <x:c r="I8" s="4" t="str">
        <x:v>II; III (códigos); IV; actividad académica según guía</x:v>
      </x:c>
      <x:c r="J8" s="4" t="str">
        <x:v>ANCLA EDUCATIVA; ENLACE PROPUESTO</x:v>
      </x:c>
      <x:c r="K8" s="12" t="n">
        <x:f>IF(OR(D8="TRANSVERSAL",D8="RESERVA",COUNTIF('26_Mapa_universos'!$A$5:$A$33,D8)=1),0,1)</x:f>
        <x:v>0</x:v>
      </x:c>
      <x:c r="L8" s="12" t="n">
        <x:f>IF(COUNTIF('21_Fuentes_educativas'!$A$5:$A$188,H8)+COUNTIF('01_Fuentes'!$A$5:$A$40,H8)=1,0,1)</x:f>
        <x:v>0</x:v>
      </x:c>
    </x:row>
    <x:row r="9" ht="47" customHeight="1">
      <x:c r="A9" s="4" t="str">
        <x:v>TC-005</x:v>
      </x:c>
      <x:c r="B9" s="4" t="str">
        <x:v>URJC-04</x:v>
      </x:c>
      <x:c r="C9" s="4" t="str">
        <x:v>ASIGNATURA</x:v>
      </x:c>
      <x:c r="D9" s="4" t="str">
        <x:v>TRANSVERSAL</x:v>
      </x:c>
      <x:c r="E9" s="4" t="str">
        <x:v>Lógica proposicional y de primer orden; deducción; tipos.</x:v>
      </x:c>
      <x:c r="F9" s="4" t="str">
        <x:v>Formalizar razonamientos y comprobar su corrección.</x:v>
      </x:c>
      <x:c r="G9" s="4" t="str">
        <x:v>Sin esta base puede faltar capacidad para comprender o justificar el conocimiento aplicado; no añade un universo.</x:v>
      </x:c>
      <x:c r="H9" s="4" t="str">
        <x:v>R004</x:v>
      </x:c>
      <x:c r="I9" s="4" t="str">
        <x:v>II; III (códigos); IV; actividad académica según guía</x:v>
      </x:c>
      <x:c r="J9" s="4" t="str">
        <x:v>ANCLA EDUCATIVA; ENLACE PROPUESTO</x:v>
      </x:c>
      <x:c r="K9" s="12" t="n">
        <x:f>IF(OR(D9="TRANSVERSAL",D9="RESERVA",COUNTIF('26_Mapa_universos'!$A$5:$A$33,D9)=1),0,1)</x:f>
        <x:v>0</x:v>
      </x:c>
      <x:c r="L9" s="12" t="n">
        <x:f>IF(COUNTIF('21_Fuentes_educativas'!$A$5:$A$188,H9)+COUNTIF('01_Fuentes'!$A$5:$A$40,H9)=1,0,1)</x:f>
        <x:v>0</x:v>
      </x:c>
    </x:row>
    <x:row r="10" ht="47" customHeight="1">
      <x:c r="A10" s="4" t="str">
        <x:v>TC-006</x:v>
      </x:c>
      <x:c r="B10" s="4" t="str">
        <x:v>URJC-05</x:v>
      </x:c>
      <x:c r="C10" s="4" t="str">
        <x:v>ASIGNATURA</x:v>
      </x:c>
      <x:c r="D10" s="4" t="str">
        <x:v>TRANSVERSAL</x:v>
      </x:c>
      <x:c r="E10" s="4" t="str">
        <x:v>Álgebra lineal; aritmética modular; combinatoria; grafos.</x:v>
      </x:c>
      <x:c r="F10" s="4" t="str">
        <x:v>Resolver sistemas y usar estructuras discretas.</x:v>
      </x:c>
      <x:c r="G10" s="4" t="str">
        <x:v>Sin esta base puede faltar capacidad para comprender o justificar el conocimiento aplicado; no añade un universo.</x:v>
      </x:c>
      <x:c r="H10" s="4" t="str">
        <x:v>R005</x:v>
      </x:c>
      <x:c r="I10" s="4" t="str">
        <x:v>II; III (códigos); IV; actividad académica según guía</x:v>
      </x:c>
      <x:c r="J10" s="4" t="str">
        <x:v>ANCLA EDUCATIVA; ENLACE PROPUESTO</x:v>
      </x:c>
      <x:c r="K10" s="12" t="n">
        <x:f>IF(OR(D10="TRANSVERSAL",D10="RESERVA",COUNTIF('26_Mapa_universos'!$A$5:$A$33,D10)=1),0,1)</x:f>
        <x:v>0</x:v>
      </x:c>
      <x:c r="L10" s="12" t="n">
        <x:f>IF(COUNTIF('21_Fuentes_educativas'!$A$5:$A$188,H10)+COUNTIF('01_Fuentes'!$A$5:$A$40,H10)=1,0,1)</x:f>
        <x:v>0</x:v>
      </x:c>
    </x:row>
    <x:row r="11" ht="47" customHeight="1">
      <x:c r="A11" s="4" t="str">
        <x:v>TC-007</x:v>
      </x:c>
      <x:c r="B11" s="4" t="str">
        <x:v>URJC-06</x:v>
      </x:c>
      <x:c r="C11" s="4" t="str">
        <x:v>ASIGNATURA</x:v>
      </x:c>
      <x:c r="D11" s="4" t="str">
        <x:v>TRANSVERSAL</x:v>
      </x:c>
      <x:c r="E11" s="4" t="str">
        <x:v>Funciones; límites; derivadas; integrales; sucesiones y series.</x:v>
      </x:c>
      <x:c r="F11" s="4" t="str">
        <x:v>Analizar modelos de variación y resolver problemas progresivos.</x:v>
      </x:c>
      <x:c r="G11" s="4" t="str">
        <x:v>Sin esta base puede faltar capacidad para comprender o justificar el conocimiento aplicado; no añade un universo.</x:v>
      </x:c>
      <x:c r="H11" s="4" t="str">
        <x:v>R006</x:v>
      </x:c>
      <x:c r="I11" s="4" t="str">
        <x:v>II; III (códigos); IV; actividad académica según guía</x:v>
      </x:c>
      <x:c r="J11" s="4" t="str">
        <x:v>ANCLA EDUCATIVA; ENLACE PROPUESTO</x:v>
      </x:c>
      <x:c r="K11" s="12" t="n">
        <x:f>IF(OR(D11="TRANSVERSAL",D11="RESERVA",COUNTIF('26_Mapa_universos'!$A$5:$A$33,D11)=1),0,1)</x:f>
        <x:v>0</x:v>
      </x:c>
      <x:c r="L11" s="12" t="n">
        <x:f>IF(COUNTIF('21_Fuentes_educativas'!$A$5:$A$188,H11)+COUNTIF('01_Fuentes'!$A$5:$A$40,H11)=1,0,1)</x:f>
        <x:v>0</x:v>
      </x:c>
    </x:row>
    <x:row r="12" ht="47" customHeight="1">
      <x:c r="A12" s="4" t="str">
        <x:v>TC-008</x:v>
      </x:c>
      <x:c r="B12" s="4" t="str">
        <x:v>URJC-07</x:v>
      </x:c>
      <x:c r="C12" s="4" t="str">
        <x:v>ASIGNATURA</x:v>
      </x:c>
      <x:c r="D12" s="4" t="str">
        <x:v>CYO-13</x:v>
      </x:c>
      <x:c r="E12" s="4" t="str">
        <x:v>Seguridad demostrable; cifrado; hash/MAC; firma; secretos.</x:v>
      </x:c>
      <x:c r="F12" s="4" t="str">
        <x:v>Contrastar construcciones criptográficas y su implementación.</x:v>
      </x:c>
      <x:c r="G12" s="4" t="str">
        <x:v>Sin esta base puede faltar capacidad para comprender o justificar el juicio exigido por CYO-13.</x:v>
      </x:c>
      <x:c r="H12" s="4" t="str">
        <x:v>R007</x:v>
      </x:c>
      <x:c r="I12" s="4" t="str">
        <x:v>II; III (códigos); IV; actividad académica según guía</x:v>
      </x:c>
      <x:c r="J12" s="4" t="str">
        <x:v>ANCLA EDUCATIVA; ENLACE PROPUESTO</x:v>
      </x:c>
      <x:c r="K12" s="12" t="n">
        <x:f>IF(OR(D12="TRANSVERSAL",D12="RESERVA",COUNTIF('26_Mapa_universos'!$A$5:$A$33,D12)=1),0,1)</x:f>
        <x:v>0</x:v>
      </x:c>
      <x:c r="L12" s="12" t="n">
        <x:f>IF(COUNTIF('21_Fuentes_educativas'!$A$5:$A$188,H12)+COUNTIF('01_Fuentes'!$A$5:$A$40,H12)=1,0,1)</x:f>
        <x:v>0</x:v>
      </x:c>
    </x:row>
    <x:row r="13" ht="47" customHeight="1">
      <x:c r="A13" s="4" t="str">
        <x:v>TC-009</x:v>
      </x:c>
      <x:c r="B13" s="4" t="str">
        <x:v>URJC-08</x:v>
      </x:c>
      <x:c r="C13" s="4" t="str">
        <x:v>ASIGNATURA</x:v>
      </x:c>
      <x:c r="D13" s="4" t="str">
        <x:v>CYO-01</x:v>
      </x:c>
      <x:c r="E13" s="4" t="str">
        <x:v>Dimensiones de seguridad; políticas públicas; amenazas globales.</x:v>
      </x:c>
      <x:c r="F13" s="4" t="str">
        <x:v>Analizar contexto, actores e instrumentos de intervención.</x:v>
      </x:c>
      <x:c r="G13" s="4" t="str">
        <x:v>Sin esta base puede faltar capacidad para comprender o justificar el juicio exigido por CYO-01.</x:v>
      </x:c>
      <x:c r="H13" s="4" t="str">
        <x:v>R008</x:v>
      </x:c>
      <x:c r="I13" s="4" t="str">
        <x:v>II; III (códigos); IV; actividad académica según guía</x:v>
      </x:c>
      <x:c r="J13" s="4" t="str">
        <x:v>ANCLA EDUCATIVA; ENLACE PROPUESTO</x:v>
      </x:c>
      <x:c r="K13" s="12" t="n">
        <x:f>IF(OR(D13="TRANSVERSAL",D13="RESERVA",COUNTIF('26_Mapa_universos'!$A$5:$A$33,D13)=1),0,1)</x:f>
        <x:v>0</x:v>
      </x:c>
      <x:c r="L13" s="12" t="n">
        <x:f>IF(COUNTIF('21_Fuentes_educativas'!$A$5:$A$188,H13)+COUNTIF('01_Fuentes'!$A$5:$A$40,H13)=1,0,1)</x:f>
        <x:v>0</x:v>
      </x:c>
    </x:row>
    <x:row r="14" ht="47" customHeight="1">
      <x:c r="A14" s="4" t="str">
        <x:v>TC-010</x:v>
      </x:c>
      <x:c r="B14" s="4" t="str">
        <x:v>URJC-08</x:v>
      </x:c>
      <x:c r="C14" s="4" t="str">
        <x:v>ASIGNATURA</x:v>
      </x:c>
      <x:c r="D14" s="4" t="str">
        <x:v>CYO-29</x:v>
      </x:c>
      <x:c r="E14" s="4" t="str">
        <x:v>Dimensiones de seguridad; políticas públicas; amenazas globales.</x:v>
      </x:c>
      <x:c r="F14" s="4" t="str">
        <x:v>Analizar contexto, actores e instrumentos de intervención.</x:v>
      </x:c>
      <x:c r="G14" s="4" t="str">
        <x:v>Sin esta base puede faltar capacidad para comprender o justificar el juicio exigido por CYO-29.</x:v>
      </x:c>
      <x:c r="H14" s="4" t="str">
        <x:v>R008</x:v>
      </x:c>
      <x:c r="I14" s="4" t="str">
        <x:v>II; III (códigos); IV; actividad académica según guía</x:v>
      </x:c>
      <x:c r="J14" s="4" t="str">
        <x:v>ANCLA EDUCATIVA; ENLACE PROPUESTO</x:v>
      </x:c>
      <x:c r="K14" s="12" t="n">
        <x:f>IF(OR(D14="TRANSVERSAL",D14="RESERVA",COUNTIF('26_Mapa_universos'!$A$5:$A$33,D14)=1),0,1)</x:f>
        <x:v>0</x:v>
      </x:c>
      <x:c r="L14" s="12" t="n">
        <x:f>IF(COUNTIF('21_Fuentes_educativas'!$A$5:$A$188,H14)+COUNTIF('01_Fuentes'!$A$5:$A$40,H14)=1,0,1)</x:f>
        <x:v>0</x:v>
      </x:c>
    </x:row>
    <x:row r="15" ht="47" customHeight="1">
      <x:c r="A15" s="4" t="str">
        <x:v>TC-011</x:v>
      </x:c>
      <x:c r="B15" s="4" t="str">
        <x:v>URJC-09</x:v>
      </x:c>
      <x:c r="C15" s="4" t="str">
        <x:v>ASIGNATURA</x:v>
      </x:c>
      <x:c r="D15" s="4" t="str">
        <x:v>TRANSVERSAL</x:v>
      </x:c>
      <x:c r="E15" s="4" t="str">
        <x:v>Descripción de datos; probabilidad; Bayes; estimación y contraste.</x:v>
      </x:c>
      <x:c r="F15" s="4" t="str">
        <x:v>Razonar bajo incertidumbre y explicar límites de una estimación.</x:v>
      </x:c>
      <x:c r="G15" s="4" t="str">
        <x:v>Sin esta base puede faltar capacidad para comprender o justificar el conocimiento aplicado; no añade un universo.</x:v>
      </x:c>
      <x:c r="H15" s="4" t="str">
        <x:v>R009</x:v>
      </x:c>
      <x:c r="I15" s="4" t="str">
        <x:v>II; III (códigos); IV; actividad académica según guía</x:v>
      </x:c>
      <x:c r="J15" s="4" t="str">
        <x:v>ANCLA EDUCATIVA; ENLACE PROPUESTO</x:v>
      </x:c>
      <x:c r="K15" s="12" t="n">
        <x:f>IF(OR(D15="TRANSVERSAL",D15="RESERVA",COUNTIF('26_Mapa_universos'!$A$5:$A$33,D15)=1),0,1)</x:f>
        <x:v>0</x:v>
      </x:c>
      <x:c r="L15" s="12" t="n">
        <x:f>IF(COUNTIF('21_Fuentes_educativas'!$A$5:$A$188,H15)+COUNTIF('01_Fuentes'!$A$5:$A$40,H15)=1,0,1)</x:f>
        <x:v>0</x:v>
      </x:c>
    </x:row>
    <x:row r="16" ht="47" customHeight="1">
      <x:c r="A16" s="4" t="str">
        <x:v>TC-012</x:v>
      </x:c>
      <x:c r="B16" s="4" t="str">
        <x:v>URJC-10</x:v>
      </x:c>
      <x:c r="C16" s="4" t="str">
        <x:v>ASIGNATURA</x:v>
      </x:c>
      <x:c r="D16" s="4" t="str">
        <x:v>CYO-05</x:v>
      </x:c>
      <x:c r="E16" s="4" t="str">
        <x:v>Tipos abstractos; estructuras lineales, árboles, grafos y mapas.</x:v>
      </x:c>
      <x:c r="F16" s="4" t="str">
        <x:v>Especificar e implementar estructuras y utilizarlas en programas.</x:v>
      </x:c>
      <x:c r="G16" s="4" t="str">
        <x:v>Sin esta base puede faltar capacidad para comprender o justificar el juicio exigido por CYO-05.</x:v>
      </x:c>
      <x:c r="H16" s="4" t="str">
        <x:v>R010</x:v>
      </x:c>
      <x:c r="I16" s="4" t="str">
        <x:v>II; III (códigos); IV; actividad académica según guía</x:v>
      </x:c>
      <x:c r="J16" s="4" t="str">
        <x:v>ANCLA EDUCATIVA; ENLACE PROPUESTO</x:v>
      </x:c>
      <x:c r="K16" s="12" t="n">
        <x:f>IF(OR(D16="TRANSVERSAL",D16="RESERVA",COUNTIF('26_Mapa_universos'!$A$5:$A$33,D16)=1),0,1)</x:f>
        <x:v>0</x:v>
      </x:c>
      <x:c r="L16" s="12" t="n">
        <x:f>IF(COUNTIF('21_Fuentes_educativas'!$A$5:$A$188,H16)+COUNTIF('01_Fuentes'!$A$5:$A$40,H16)=1,0,1)</x:f>
        <x:v>0</x:v>
      </x:c>
    </x:row>
    <x:row r="17" ht="47" customHeight="1">
      <x:c r="A17" s="4" t="str">
        <x:v>TC-013</x:v>
      </x:c>
      <x:c r="B17" s="4" t="str">
        <x:v>URJC-11</x:v>
      </x:c>
      <x:c r="C17" s="4" t="str">
        <x:v>ASIGNATURA</x:v>
      </x:c>
      <x:c r="D17" s="4" t="str">
        <x:v>CYO-01</x:v>
      </x:c>
      <x:c r="E17" s="4" t="str">
        <x:v>Organización; optimización; decisión multicriterio; proyectos; calidad.</x:v>
      </x:c>
      <x:c r="F17" s="4" t="str">
        <x:v>Formular problemas de decisión y aplicar métodos cuantitativos.</x:v>
      </x:c>
      <x:c r="G17" s="4" t="str">
        <x:v>Sin esta base puede faltar capacidad para comprender o justificar el juicio exigido por CYO-01.</x:v>
      </x:c>
      <x:c r="H17" s="4" t="str">
        <x:v>R011</x:v>
      </x:c>
      <x:c r="I17" s="4" t="str">
        <x:v>II; III (códigos); IV; actividad académica según guía</x:v>
      </x:c>
      <x:c r="J17" s="4" t="str">
        <x:v>ANCLA EDUCATIVA; ENLACE PROPUESTO</x:v>
      </x:c>
      <x:c r="K17" s="12" t="n">
        <x:f>IF(OR(D17="TRANSVERSAL",D17="RESERVA",COUNTIF('26_Mapa_universos'!$A$5:$A$33,D17)=1),0,1)</x:f>
        <x:v>0</x:v>
      </x:c>
      <x:c r="L17" s="12" t="n">
        <x:f>IF(COUNTIF('21_Fuentes_educativas'!$A$5:$A$188,H17)+COUNTIF('01_Fuentes'!$A$5:$A$40,H17)=1,0,1)</x:f>
        <x:v>0</x:v>
      </x:c>
    </x:row>
    <x:row r="18" ht="47" customHeight="1">
      <x:c r="A18" s="4" t="str">
        <x:v>TC-014</x:v>
      </x:c>
      <x:c r="B18" s="4" t="str">
        <x:v>URJC-12</x:v>
      </x:c>
      <x:c r="C18" s="4" t="str">
        <x:v>ASIGNATURA</x:v>
      </x:c>
      <x:c r="D18" s="4" t="str">
        <x:v>CYO-17</x:v>
      </x:c>
      <x:c r="E18" s="4" t="str">
        <x:v>Regulación; privacidad; responsabilidades; ética; licencias.</x:v>
      </x:c>
      <x:c r="F18" s="4" t="str">
        <x:v>Distinguir obligaciones, sujetos y límites del ejercicio profesional.</x:v>
      </x:c>
      <x:c r="G18" s="4" t="str">
        <x:v>Sin esta base puede faltar capacidad para comprender o justificar el juicio exigido por CYO-17.</x:v>
      </x:c>
      <x:c r="H18" s="4" t="str">
        <x:v>R012</x:v>
      </x:c>
      <x:c r="I18" s="4" t="str">
        <x:v>II; III (códigos); IV; actividad académica según guía</x:v>
      </x:c>
      <x:c r="J18" s="4" t="str">
        <x:v>ANCLA EDUCATIVA; ENLACE PROPUESTO</x:v>
      </x:c>
      <x:c r="K18" s="12" t="n">
        <x:f>IF(OR(D18="TRANSVERSAL",D18="RESERVA",COUNTIF('26_Mapa_universos'!$A$5:$A$33,D18)=1),0,1)</x:f>
        <x:v>0</x:v>
      </x:c>
      <x:c r="L18" s="12" t="n">
        <x:f>IF(COUNTIF('21_Fuentes_educativas'!$A$5:$A$188,H18)+COUNTIF('01_Fuentes'!$A$5:$A$40,H18)=1,0,1)</x:f>
        <x:v>0</x:v>
      </x:c>
    </x:row>
    <x:row r="19" ht="47" customHeight="1">
      <x:c r="A19" s="4" t="str">
        <x:v>TC-015</x:v>
      </x:c>
      <x:c r="B19" s="4" t="str">
        <x:v>URJC-12</x:v>
      </x:c>
      <x:c r="C19" s="4" t="str">
        <x:v>ASIGNATURA</x:v>
      </x:c>
      <x:c r="D19" s="4" t="str">
        <x:v>CYO-20</x:v>
      </x:c>
      <x:c r="E19" s="4" t="str">
        <x:v>Regulación; privacidad; responsabilidades; ética; licencias.</x:v>
      </x:c>
      <x:c r="F19" s="4" t="str">
        <x:v>Distinguir obligaciones, sujetos y límites del ejercicio profesional.</x:v>
      </x:c>
      <x:c r="G19" s="4" t="str">
        <x:v>Sin esta base puede faltar capacidad para comprender o justificar el juicio exigido por CYO-20.</x:v>
      </x:c>
      <x:c r="H19" s="4" t="str">
        <x:v>R012</x:v>
      </x:c>
      <x:c r="I19" s="4" t="str">
        <x:v>II; III (códigos); IV; actividad académica según guía</x:v>
      </x:c>
      <x:c r="J19" s="4" t="str">
        <x:v>ANCLA EDUCATIVA; ENLACE PROPUESTO</x:v>
      </x:c>
      <x:c r="K19" s="12" t="n">
        <x:f>IF(OR(D19="TRANSVERSAL",D19="RESERVA",COUNTIF('26_Mapa_universos'!$A$5:$A$33,D19)=1),0,1)</x:f>
        <x:v>0</x:v>
      </x:c>
      <x:c r="L19" s="12" t="n">
        <x:f>IF(COUNTIF('21_Fuentes_educativas'!$A$5:$A$188,H19)+COUNTIF('01_Fuentes'!$A$5:$A$40,H19)=1,0,1)</x:f>
        <x:v>0</x:v>
      </x:c>
    </x:row>
    <x:row r="20" ht="47" customHeight="1">
      <x:c r="A20" s="4" t="str">
        <x:v>TC-016</x:v>
      </x:c>
      <x:c r="B20" s="4" t="str">
        <x:v>URJC-12</x:v>
      </x:c>
      <x:c r="C20" s="4" t="str">
        <x:v>ASIGNATURA</x:v>
      </x:c>
      <x:c r="D20" s="4" t="str">
        <x:v>CYO-29</x:v>
      </x:c>
      <x:c r="E20" s="4" t="str">
        <x:v>Regulación; privacidad; responsabilidades; ética; licencias.</x:v>
      </x:c>
      <x:c r="F20" s="4" t="str">
        <x:v>Distinguir obligaciones, sujetos y límites del ejercicio profesional.</x:v>
      </x:c>
      <x:c r="G20" s="4" t="str">
        <x:v>Sin esta base puede faltar capacidad para comprender o justificar el juicio exigido por CYO-29.</x:v>
      </x:c>
      <x:c r="H20" s="4" t="str">
        <x:v>R012</x:v>
      </x:c>
      <x:c r="I20" s="4" t="str">
        <x:v>II; III (códigos); IV; actividad académica según guía</x:v>
      </x:c>
      <x:c r="J20" s="4" t="str">
        <x:v>ANCLA EDUCATIVA; ENLACE PROPUESTO</x:v>
      </x:c>
      <x:c r="K20" s="12" t="n">
        <x:f>IF(OR(D20="TRANSVERSAL",D20="RESERVA",COUNTIF('26_Mapa_universos'!$A$5:$A$33,D20)=1),0,1)</x:f>
        <x:v>0</x:v>
      </x:c>
      <x:c r="L20" s="12" t="n">
        <x:f>IF(COUNTIF('21_Fuentes_educativas'!$A$5:$A$188,H20)+COUNTIF('01_Fuentes'!$A$5:$A$40,H20)=1,0,1)</x:f>
        <x:v>0</x:v>
      </x:c>
    </x:row>
    <x:row r="21" ht="47" customHeight="1">
      <x:c r="A21" s="4" t="str">
        <x:v>TC-017</x:v>
      </x:c>
      <x:c r="B21" s="4" t="str">
        <x:v>URJC-13</x:v>
      </x:c>
      <x:c r="C21" s="4" t="str">
        <x:v>ASIGNATURA</x:v>
      </x:c>
      <x:c r="D21" s="4" t="str">
        <x:v>CYO-05</x:v>
      </x:c>
      <x:c r="E21" s="4" t="str">
        <x:v>Orientación a objetos; Java; UML; excepciones; concurrencia; pruebas.</x:v>
      </x:c>
      <x:c r="F21" s="4" t="str">
        <x:v>Diseñar y programar aplicaciones orientadas a objetos.</x:v>
      </x:c>
      <x:c r="G21" s="4" t="str">
        <x:v>Sin esta base puede faltar capacidad para comprender o justificar el juicio exigido por CYO-05.</x:v>
      </x:c>
      <x:c r="H21" s="4" t="str">
        <x:v>R013</x:v>
      </x:c>
      <x:c r="I21" s="4" t="str">
        <x:v>II; III (códigos); IV; actividad académica según guía</x:v>
      </x:c>
      <x:c r="J21" s="4" t="str">
        <x:v>ANCLA EDUCATIVA; ENLACE PROPUESTO</x:v>
      </x:c>
      <x:c r="K21" s="12" t="n">
        <x:f>IF(OR(D21="TRANSVERSAL",D21="RESERVA",COUNTIF('26_Mapa_universos'!$A$5:$A$33,D21)=1),0,1)</x:f>
        <x:v>0</x:v>
      </x:c>
      <x:c r="L21" s="12" t="n">
        <x:f>IF(COUNTIF('21_Fuentes_educativas'!$A$5:$A$188,H21)+COUNTIF('01_Fuentes'!$A$5:$A$40,H21)=1,0,1)</x:f>
        <x:v>0</x:v>
      </x:c>
    </x:row>
    <x:row r="22" ht="47" customHeight="1">
      <x:c r="A22" s="4" t="str">
        <x:v>TC-018</x:v>
      </x:c>
      <x:c r="B22" s="4" t="str">
        <x:v>URJC-14</x:v>
      </x:c>
      <x:c r="C22" s="4" t="str">
        <x:v>ASIGNATURA</x:v>
      </x:c>
      <x:c r="D22" s="4" t="str">
        <x:v>CYO-02</x:v>
      </x:c>
      <x:c r="E22" s="4" t="str">
        <x:v>Redes por capas; protocolos; rutas; congestión; comunicaciones.</x:v>
      </x:c>
      <x:c r="F22" s="4" t="str">
        <x:v>Diseñar una red atendiendo a coste, prestaciones, necesidades y seguridad.</x:v>
      </x:c>
      <x:c r="G22" s="4" t="str">
        <x:v>Sin esta base puede faltar capacidad para comprender o justificar el juicio exigido por CYO-02.</x:v>
      </x:c>
      <x:c r="H22" s="4" t="str">
        <x:v>R014</x:v>
      </x:c>
      <x:c r="I22" s="4" t="str">
        <x:v>II; III (códigos); IV; actividad académica según guía</x:v>
      </x:c>
      <x:c r="J22" s="4" t="str">
        <x:v>ANCLA EDUCATIVA; ENLACE PROPUESTO</x:v>
      </x:c>
      <x:c r="K22" s="12" t="n">
        <x:f>IF(OR(D22="TRANSVERSAL",D22="RESERVA",COUNTIF('26_Mapa_universos'!$A$5:$A$33,D22)=1),0,1)</x:f>
        <x:v>0</x:v>
      </x:c>
      <x:c r="L22" s="12" t="n">
        <x:f>IF(COUNTIF('21_Fuentes_educativas'!$A$5:$A$188,H22)+COUNTIF('01_Fuentes'!$A$5:$A$40,H22)=1,0,1)</x:f>
        <x:v>0</x:v>
      </x:c>
    </x:row>
    <x:row r="23" ht="47" customHeight="1">
      <x:c r="A23" s="4" t="str">
        <x:v>TC-019</x:v>
      </x:c>
      <x:c r="B23" s="4" t="str">
        <x:v>URJC-14</x:v>
      </x:c>
      <x:c r="C23" s="4" t="str">
        <x:v>ASIGNATURA</x:v>
      </x:c>
      <x:c r="D23" s="4" t="str">
        <x:v>CYO-27</x:v>
      </x:c>
      <x:c r="E23" s="4" t="str">
        <x:v>Redes por capas; protocolos; rutas; congestión; comunicaciones.</x:v>
      </x:c>
      <x:c r="F23" s="4" t="str">
        <x:v>Diseñar una red atendiendo a coste, prestaciones, necesidades y seguridad.</x:v>
      </x:c>
      <x:c r="G23" s="4" t="str">
        <x:v>Sin esta base puede faltar capacidad para comprender o justificar el juicio exigido por CYO-27.</x:v>
      </x:c>
      <x:c r="H23" s="4" t="str">
        <x:v>R014</x:v>
      </x:c>
      <x:c r="I23" s="4" t="str">
        <x:v>II; III (códigos); IV; actividad académica según guía</x:v>
      </x:c>
      <x:c r="J23" s="4" t="str">
        <x:v>ANCLA EDUCATIVA; ENLACE PROPUESTO</x:v>
      </x:c>
      <x:c r="K23" s="12" t="n">
        <x:f>IF(OR(D23="TRANSVERSAL",D23="RESERVA",COUNTIF('26_Mapa_universos'!$A$5:$A$33,D23)=1),0,1)</x:f>
        <x:v>0</x:v>
      </x:c>
      <x:c r="L23" s="12" t="n">
        <x:f>IF(COUNTIF('21_Fuentes_educativas'!$A$5:$A$188,H23)+COUNTIF('01_Fuentes'!$A$5:$A$40,H23)=1,0,1)</x:f>
        <x:v>0</x:v>
      </x:c>
    </x:row>
    <x:row r="24" ht="47" customHeight="1">
      <x:c r="A24" s="4" t="str">
        <x:v>TC-020</x:v>
      </x:c>
      <x:c r="B24" s="4" t="str">
        <x:v>URJC-15</x:v>
      </x:c>
      <x:c r="C24" s="4" t="str">
        <x:v>ASIGNATURA</x:v>
      </x:c>
      <x:c r="D24" s="4" t="str">
        <x:v>CYO-04</x:v>
      </x:c>
      <x:c r="E24" s="4" t="str">
        <x:v>Reconocimiento; técnicas de ataque; vulnerabilidades y explotación.</x:v>
      </x:c>
      <x:c r="F24" s="4" t="str">
        <x:v>Analizar técnicas ofensivas dentro de un entorno autorizado.</x:v>
      </x:c>
      <x:c r="G24" s="4" t="str">
        <x:v>Sin esta base puede faltar capacidad para comprender o justificar el juicio exigido por CYO-04.</x:v>
      </x:c>
      <x:c r="H24" s="4" t="str">
        <x:v>R015</x:v>
      </x:c>
      <x:c r="I24" s="4" t="str">
        <x:v>II; III (códigos); IV; actividad académica según guía</x:v>
      </x:c>
      <x:c r="J24" s="4" t="str">
        <x:v>ANCLA EDUCATIVA; ENLACE PROPUESTO</x:v>
      </x:c>
      <x:c r="K24" s="12" t="n">
        <x:f>IF(OR(D24="TRANSVERSAL",D24="RESERVA",COUNTIF('26_Mapa_universos'!$A$5:$A$33,D24)=1),0,1)</x:f>
        <x:v>0</x:v>
      </x:c>
      <x:c r="L24" s="12" t="n">
        <x:f>IF(COUNTIF('21_Fuentes_educativas'!$A$5:$A$188,H24)+COUNTIF('01_Fuentes'!$A$5:$A$40,H24)=1,0,1)</x:f>
        <x:v>0</x:v>
      </x:c>
    </x:row>
    <x:row r="25" ht="47" customHeight="1">
      <x:c r="A25" s="4" t="str">
        <x:v>TC-021</x:v>
      </x:c>
      <x:c r="B25" s="4" t="str">
        <x:v>URJC-16</x:v>
      </x:c>
      <x:c r="C25" s="4" t="str">
        <x:v>ASIGNATURA</x:v>
      </x:c>
      <x:c r="D25" s="4" t="str">
        <x:v>CYO-02</x:v>
      </x:c>
      <x:c r="E25" s="4" t="str">
        <x:v>Modelos de datos; diseño conceptual y lógico; SQL.</x:v>
      </x:c>
      <x:c r="F25" s="4" t="str">
        <x:v>Diseñar y consultar bases de datos.</x:v>
      </x:c>
      <x:c r="G25" s="4" t="str">
        <x:v>Sin esta base puede faltar capacidad para comprender o justificar el juicio exigido por CYO-02.</x:v>
      </x:c>
      <x:c r="H25" s="4" t="str">
        <x:v>R016</x:v>
      </x:c>
      <x:c r="I25" s="4" t="str">
        <x:v>II; III (códigos); IV; actividad académica según guía</x:v>
      </x:c>
      <x:c r="J25" s="4" t="str">
        <x:v>ANCLA EDUCATIVA; ENLACE PROPUESTO</x:v>
      </x:c>
      <x:c r="K25" s="12" t="n">
        <x:f>IF(OR(D25="TRANSVERSAL",D25="RESERVA",COUNTIF('26_Mapa_universos'!$A$5:$A$33,D25)=1),0,1)</x:f>
        <x:v>0</x:v>
      </x:c>
      <x:c r="L25" s="12" t="n">
        <x:f>IF(COUNTIF('21_Fuentes_educativas'!$A$5:$A$188,H25)+COUNTIF('01_Fuentes'!$A$5:$A$40,H25)=1,0,1)</x:f>
        <x:v>0</x:v>
      </x:c>
    </x:row>
    <x:row r="26" ht="47" customHeight="1">
      <x:c r="A26" s="4" t="str">
        <x:v>TC-022</x:v>
      </x:c>
      <x:c r="B26" s="4" t="str">
        <x:v>URJC-16</x:v>
      </x:c>
      <x:c r="C26" s="4" t="str">
        <x:v>ASIGNATURA</x:v>
      </x:c>
      <x:c r="D26" s="4" t="str">
        <x:v>CYO-12</x:v>
      </x:c>
      <x:c r="E26" s="4" t="str">
        <x:v>Modelos de datos; diseño conceptual y lógico; SQL.</x:v>
      </x:c>
      <x:c r="F26" s="4" t="str">
        <x:v>Diseñar y consultar bases de datos.</x:v>
      </x:c>
      <x:c r="G26" s="4" t="str">
        <x:v>Sin esta base puede faltar capacidad para comprender o justificar el juicio exigido por CYO-12.</x:v>
      </x:c>
      <x:c r="H26" s="4" t="str">
        <x:v>R016</x:v>
      </x:c>
      <x:c r="I26" s="4" t="str">
        <x:v>II; III (códigos); IV; actividad académica según guía</x:v>
      </x:c>
      <x:c r="J26" s="4" t="str">
        <x:v>ANCLA EDUCATIVA; ENLACE PROPUESTO</x:v>
      </x:c>
      <x:c r="K26" s="12" t="n">
        <x:f>IF(OR(D26="TRANSVERSAL",D26="RESERVA",COUNTIF('26_Mapa_universos'!$A$5:$A$33,D26)=1),0,1)</x:f>
        <x:v>0</x:v>
      </x:c>
      <x:c r="L26" s="12" t="n">
        <x:f>IF(COUNTIF('21_Fuentes_educativas'!$A$5:$A$188,H26)+COUNTIF('01_Fuentes'!$A$5:$A$40,H26)=1,0,1)</x:f>
        <x:v>0</x:v>
      </x:c>
    </x:row>
    <x:row r="27" ht="47" customHeight="1">
      <x:c r="A27" s="4" t="str">
        <x:v>TC-023</x:v>
      </x:c>
      <x:c r="B27" s="4" t="str">
        <x:v>URJC-17</x:v>
      </x:c>
      <x:c r="C27" s="4" t="str">
        <x:v>ASIGNATURA</x:v>
      </x:c>
      <x:c r="D27" s="4" t="str">
        <x:v>CYO-05</x:v>
      </x:c>
      <x:c r="E27" s="4" t="str">
        <x:v>Cliente y servidor web; despliegue; vulnerabilidades; herramientas de IA generativa.</x:v>
      </x:c>
      <x:c r="F27" s="4" t="str">
        <x:v>Construir, probar y proteger una aplicación web.</x:v>
      </x:c>
      <x:c r="G27" s="4" t="str">
        <x:v>Sin esta base puede faltar capacidad para comprender o justificar el juicio exigido por CYO-05.</x:v>
      </x:c>
      <x:c r="H27" s="4" t="str">
        <x:v>R017</x:v>
      </x:c>
      <x:c r="I27" s="4" t="str">
        <x:v>II; III (códigos); IV; actividad académica según guía</x:v>
      </x:c>
      <x:c r="J27" s="4" t="str">
        <x:v>ANCLA EDUCATIVA; ENLACE PROPUESTO</x:v>
      </x:c>
      <x:c r="K27" s="12" t="n">
        <x:f>IF(OR(D27="TRANSVERSAL",D27="RESERVA",COUNTIF('26_Mapa_universos'!$A$5:$A$33,D27)=1),0,1)</x:f>
        <x:v>0</x:v>
      </x:c>
      <x:c r="L27" s="12" t="n">
        <x:f>IF(COUNTIF('21_Fuentes_educativas'!$A$5:$A$188,H27)+COUNTIF('01_Fuentes'!$A$5:$A$40,H27)=1,0,1)</x:f>
        <x:v>0</x:v>
      </x:c>
    </x:row>
    <x:row r="28" ht="47" customHeight="1">
      <x:c r="A28" s="4" t="str">
        <x:v>TC-024</x:v>
      </x:c>
      <x:c r="B28" s="4" t="str">
        <x:v>URJC-18</x:v>
      </x:c>
      <x:c r="C28" s="4" t="str">
        <x:v>ASIGNATURA</x:v>
      </x:c>
      <x:c r="D28" s="4" t="str">
        <x:v>CYO-02</x:v>
      </x:c>
      <x:c r="E28" s="4" t="str">
        <x:v>Procesador; representación; ensamblador; camino de datos y control.</x:v>
      </x:c>
      <x:c r="F28" s="4" t="str">
        <x:v>Relacionar ejecución de instrucciones con estructura del computador.</x:v>
      </x:c>
      <x:c r="G28" s="4" t="str">
        <x:v>Sin esta base puede faltar capacidad para comprender o justificar el juicio exigido por CYO-02.</x:v>
      </x:c>
      <x:c r="H28" s="4" t="str">
        <x:v>R018</x:v>
      </x:c>
      <x:c r="I28" s="4" t="str">
        <x:v>II; III (códigos); IV; actividad académica según guía</x:v>
      </x:c>
      <x:c r="J28" s="4" t="str">
        <x:v>ANCLA EDUCATIVA; ENLACE PROPUESTO</x:v>
      </x:c>
      <x:c r="K28" s="12" t="n">
        <x:f>IF(OR(D28="TRANSVERSAL",D28="RESERVA",COUNTIF('26_Mapa_universos'!$A$5:$A$33,D28)=1),0,1)</x:f>
        <x:v>0</x:v>
      </x:c>
      <x:c r="L28" s="12" t="n">
        <x:f>IF(COUNTIF('21_Fuentes_educativas'!$A$5:$A$188,H28)+COUNTIF('01_Fuentes'!$A$5:$A$40,H28)=1,0,1)</x:f>
        <x:v>0</x:v>
      </x:c>
    </x:row>
    <x:row r="29" ht="47" customHeight="1">
      <x:c r="A29" s="4" t="str">
        <x:v>TC-025</x:v>
      </x:c>
      <x:c r="B29" s="4" t="str">
        <x:v>URJC-18</x:v>
      </x:c>
      <x:c r="C29" s="4" t="str">
        <x:v>ASIGNATURA</x:v>
      </x:c>
      <x:c r="D29" s="4" t="str">
        <x:v>CYO-12</x:v>
      </x:c>
      <x:c r="E29" s="4" t="str">
        <x:v>Procesador; representación; ensamblador; camino de datos y control.</x:v>
      </x:c>
      <x:c r="F29" s="4" t="str">
        <x:v>Relacionar ejecución de instrucciones con estructura del computador.</x:v>
      </x:c>
      <x:c r="G29" s="4" t="str">
        <x:v>Sin esta base puede faltar capacidad para comprender o justificar el juicio exigido por CYO-12.</x:v>
      </x:c>
      <x:c r="H29" s="4" t="str">
        <x:v>R018</x:v>
      </x:c>
      <x:c r="I29" s="4" t="str">
        <x:v>II; III (códigos); IV; actividad académica según guía</x:v>
      </x:c>
      <x:c r="J29" s="4" t="str">
        <x:v>ANCLA EDUCATIVA; ENLACE PROPUESTO</x:v>
      </x:c>
      <x:c r="K29" s="12" t="n">
        <x:f>IF(OR(D29="TRANSVERSAL",D29="RESERVA",COUNTIF('26_Mapa_universos'!$A$5:$A$33,D29)=1),0,1)</x:f>
        <x:v>0</x:v>
      </x:c>
      <x:c r="L29" s="12" t="n">
        <x:f>IF(COUNTIF('21_Fuentes_educativas'!$A$5:$A$188,H29)+COUNTIF('01_Fuentes'!$A$5:$A$40,H29)=1,0,1)</x:f>
        <x:v>0</x:v>
      </x:c>
    </x:row>
    <x:row r="30" ht="47" customHeight="1">
      <x:c r="A30" s="4" t="str">
        <x:v>TC-026</x:v>
      </x:c>
      <x:c r="B30" s="4" t="str">
        <x:v>URJC-19</x:v>
      </x:c>
      <x:c r="C30" s="4" t="str">
        <x:v>ASIGNATURA</x:v>
      </x:c>
      <x:c r="D30" s="4" t="str">
        <x:v>CYO-02</x:v>
      </x:c>
      <x:c r="E30" s="4" t="str">
        <x:v>Protección perimetral; segmentación; detección; VPN; redes inalámbricas.</x:v>
      </x:c>
      <x:c r="F30" s="4" t="str">
        <x:v>Configurar y analizar mecanismos de protección de redes.</x:v>
      </x:c>
      <x:c r="G30" s="4" t="str">
        <x:v>Sin esta base puede faltar capacidad para comprender o justificar el juicio exigido por CYO-02.</x:v>
      </x:c>
      <x:c r="H30" s="4" t="str">
        <x:v>R019</x:v>
      </x:c>
      <x:c r="I30" s="4" t="str">
        <x:v>II; III (códigos); IV; actividad académica según guía</x:v>
      </x:c>
      <x:c r="J30" s="4" t="str">
        <x:v>ANCLA EDUCATIVA; ENLACE PROPUESTO</x:v>
      </x:c>
      <x:c r="K30" s="12" t="n">
        <x:f>IF(OR(D30="TRANSVERSAL",D30="RESERVA",COUNTIF('26_Mapa_universos'!$A$5:$A$33,D30)=1),0,1)</x:f>
        <x:v>0</x:v>
      </x:c>
      <x:c r="L30" s="12" t="n">
        <x:f>IF(COUNTIF('21_Fuentes_educativas'!$A$5:$A$188,H30)+COUNTIF('01_Fuentes'!$A$5:$A$40,H30)=1,0,1)</x:f>
        <x:v>0</x:v>
      </x:c>
    </x:row>
    <x:row r="31" ht="47" customHeight="1">
      <x:c r="A31" s="4" t="str">
        <x:v>TC-027</x:v>
      </x:c>
      <x:c r="B31" s="4" t="str">
        <x:v>URJC-19</x:v>
      </x:c>
      <x:c r="C31" s="4" t="str">
        <x:v>ASIGNATURA</x:v>
      </x:c>
      <x:c r="D31" s="4" t="str">
        <x:v>CYO-03</x:v>
      </x:c>
      <x:c r="E31" s="4" t="str">
        <x:v>Protección perimetral; segmentación; detección; VPN; redes inalámbricas.</x:v>
      </x:c>
      <x:c r="F31" s="4" t="str">
        <x:v>Configurar y analizar mecanismos de protección de redes.</x:v>
      </x:c>
      <x:c r="G31" s="4" t="str">
        <x:v>Sin esta base puede faltar capacidad para comprender o justificar el juicio exigido por CYO-03.</x:v>
      </x:c>
      <x:c r="H31" s="4" t="str">
        <x:v>R019</x:v>
      </x:c>
      <x:c r="I31" s="4" t="str">
        <x:v>II; III (códigos); IV; actividad académica según guía</x:v>
      </x:c>
      <x:c r="J31" s="4" t="str">
        <x:v>ANCLA EDUCATIVA; ENLACE PROPUESTO</x:v>
      </x:c>
      <x:c r="K31" s="12" t="n">
        <x:f>IF(OR(D31="TRANSVERSAL",D31="RESERVA",COUNTIF('26_Mapa_universos'!$A$5:$A$33,D31)=1),0,1)</x:f>
        <x:v>0</x:v>
      </x:c>
      <x:c r="L31" s="12" t="n">
        <x:f>IF(COUNTIF('21_Fuentes_educativas'!$A$5:$A$188,H31)+COUNTIF('01_Fuentes'!$A$5:$A$40,H31)=1,0,1)</x:f>
        <x:v>0</x:v>
      </x:c>
    </x:row>
    <x:row r="32" ht="47" customHeight="1">
      <x:c r="A32" s="4" t="str">
        <x:v>TC-028</x:v>
      </x:c>
      <x:c r="B32" s="4" t="str">
        <x:v>URJC-19</x:v>
      </x:c>
      <x:c r="C32" s="4" t="str">
        <x:v>ASIGNATURA</x:v>
      </x:c>
      <x:c r="D32" s="4" t="str">
        <x:v>CYO-12</x:v>
      </x:c>
      <x:c r="E32" s="4" t="str">
        <x:v>Protección perimetral; segmentación; detección; VPN; redes inalámbricas.</x:v>
      </x:c>
      <x:c r="F32" s="4" t="str">
        <x:v>Configurar y analizar mecanismos de protección de redes.</x:v>
      </x:c>
      <x:c r="G32" s="4" t="str">
        <x:v>Sin esta base puede faltar capacidad para comprender o justificar el juicio exigido por CYO-12.</x:v>
      </x:c>
      <x:c r="H32" s="4" t="str">
        <x:v>R019</x:v>
      </x:c>
      <x:c r="I32" s="4" t="str">
        <x:v>II; III (códigos); IV; actividad académica según guía</x:v>
      </x:c>
      <x:c r="J32" s="4" t="str">
        <x:v>ANCLA EDUCATIVA; ENLACE PROPUESTO</x:v>
      </x:c>
      <x:c r="K32" s="12" t="n">
        <x:f>IF(OR(D32="TRANSVERSAL",D32="RESERVA",COUNTIF('26_Mapa_universos'!$A$5:$A$33,D32)=1),0,1)</x:f>
        <x:v>0</x:v>
      </x:c>
      <x:c r="L32" s="12" t="n">
        <x:f>IF(COUNTIF('21_Fuentes_educativas'!$A$5:$A$188,H32)+COUNTIF('01_Fuentes'!$A$5:$A$40,H32)=1,0,1)</x:f>
        <x:v>0</x:v>
      </x:c>
    </x:row>
    <x:row r="33" ht="47" customHeight="1">
      <x:c r="A33" s="4" t="str">
        <x:v>TC-029</x:v>
      </x:c>
      <x:c r="B33" s="4" t="str">
        <x:v>URJC-19</x:v>
      </x:c>
      <x:c r="C33" s="4" t="str">
        <x:v>ASIGNATURA</x:v>
      </x:c>
      <x:c r="D33" s="4" t="str">
        <x:v>CYO-27</x:v>
      </x:c>
      <x:c r="E33" s="4" t="str">
        <x:v>Protección perimetral; segmentación; detección; VPN; redes inalámbricas.</x:v>
      </x:c>
      <x:c r="F33" s="4" t="str">
        <x:v>Configurar y analizar mecanismos de protección de redes.</x:v>
      </x:c>
      <x:c r="G33" s="4" t="str">
        <x:v>Sin esta base puede faltar capacidad para comprender o justificar el juicio exigido por CYO-27.</x:v>
      </x:c>
      <x:c r="H33" s="4" t="str">
        <x:v>R019</x:v>
      </x:c>
      <x:c r="I33" s="4" t="str">
        <x:v>II; III (códigos); IV; actividad académica según guía</x:v>
      </x:c>
      <x:c r="J33" s="4" t="str">
        <x:v>ANCLA EDUCATIVA; ENLACE PROPUESTO</x:v>
      </x:c>
      <x:c r="K33" s="12" t="n">
        <x:f>IF(OR(D33="TRANSVERSAL",D33="RESERVA",COUNTIF('26_Mapa_universos'!$A$5:$A$33,D33)=1),0,1)</x:f>
        <x:v>0</x:v>
      </x:c>
      <x:c r="L33" s="12" t="n">
        <x:f>IF(COUNTIF('21_Fuentes_educativas'!$A$5:$A$188,H33)+COUNTIF('01_Fuentes'!$A$5:$A$40,H33)=1,0,1)</x:f>
        <x:v>0</x:v>
      </x:c>
    </x:row>
    <x:row r="34" ht="47" customHeight="1">
      <x:c r="A34" s="4" t="str">
        <x:v>TC-030</x:v>
      </x:c>
      <x:c r="B34" s="4" t="str">
        <x:v>URJC-20</x:v>
      </x:c>
      <x:c r="C34" s="4" t="str">
        <x:v>ASIGNATURA</x:v>
      </x:c>
      <x:c r="D34" s="4" t="str">
        <x:v>TRANSVERSAL</x:v>
      </x:c>
      <x:c r="E34" s="4" t="str">
        <x:v>Competencia en idioma moderno.</x:v>
      </x:c>
      <x:c r="F34" s="4" t="str">
        <x:v>Comprender y comunicar información en otra lengua.</x:v>
      </x:c>
      <x:c r="G34" s="4" t="str">
        <x:v>Formación transversal identificada; no se adjudica una capacidad técnica específica ni un nuevo universo.</x:v>
      </x:c>
      <x:c r="H34" s="4" t="str">
        <x:v>R020</x:v>
      </x:c>
      <x:c r="I34" s="4" t="str">
        <x:v>II; III (códigos); IV; actividad académica según guía</x:v>
      </x:c>
      <x:c r="J34" s="4" t="str">
        <x:v>ANCLA EDUCATIVA; ENLACE PROPUESTO</x:v>
      </x:c>
      <x:c r="K34" s="12" t="n">
        <x:f>IF(OR(D34="TRANSVERSAL",D34="RESERVA",COUNTIF('26_Mapa_universos'!$A$5:$A$33,D34)=1),0,1)</x:f>
        <x:v>0</x:v>
      </x:c>
      <x:c r="L34" s="12" t="n">
        <x:f>IF(COUNTIF('21_Fuentes_educativas'!$A$5:$A$188,H34)+COUNTIF('01_Fuentes'!$A$5:$A$40,H34)=1,0,1)</x:f>
        <x:v>0</x:v>
      </x:c>
    </x:row>
    <x:row r="35" ht="47" customHeight="1">
      <x:c r="A35" s="4" t="str">
        <x:v>TC-031</x:v>
      </x:c>
      <x:c r="B35" s="4" t="str">
        <x:v>URJC-21</x:v>
      </x:c>
      <x:c r="C35" s="4" t="str">
        <x:v>ASIGNATURA</x:v>
      </x:c>
      <x:c r="D35" s="4" t="str">
        <x:v>CYO-02</x:v>
      </x:c>
      <x:c r="E35" s="4" t="str">
        <x:v>Arquitectura del computador; memoria; rendimiento y organización.</x:v>
      </x:c>
      <x:c r="F35" s="4" t="str">
        <x:v>Analizar efectos de la arquitectura en la ejecución y prestaciones.</x:v>
      </x:c>
      <x:c r="G35" s="4" t="str">
        <x:v>Sin esta base puede faltar capacidad para comprender o justificar el juicio exigido por CYO-02.</x:v>
      </x:c>
      <x:c r="H35" s="4" t="str">
        <x:v>R021</x:v>
      </x:c>
      <x:c r="I35" s="4" t="str">
        <x:v>II; III (códigos); IV; actividad académica según guía</x:v>
      </x:c>
      <x:c r="J35" s="4" t="str">
        <x:v>ANCLA EDUCATIVA; ENLACE PROPUESTO</x:v>
      </x:c>
      <x:c r="K35" s="12" t="n">
        <x:f>IF(OR(D35="TRANSVERSAL",D35="RESERVA",COUNTIF('26_Mapa_universos'!$A$5:$A$33,D35)=1),0,1)</x:f>
        <x:v>0</x:v>
      </x:c>
      <x:c r="L35" s="12" t="n">
        <x:f>IF(COUNTIF('21_Fuentes_educativas'!$A$5:$A$188,H35)+COUNTIF('01_Fuentes'!$A$5:$A$40,H35)=1,0,1)</x:f>
        <x:v>0</x:v>
      </x:c>
    </x:row>
    <x:row r="36" ht="47" customHeight="1">
      <x:c r="A36" s="4" t="str">
        <x:v>TC-032</x:v>
      </x:c>
      <x:c r="B36" s="4" t="str">
        <x:v>URJC-21</x:v>
      </x:c>
      <x:c r="C36" s="4" t="str">
        <x:v>ASIGNATURA</x:v>
      </x:c>
      <x:c r="D36" s="4" t="str">
        <x:v>CYO-12</x:v>
      </x:c>
      <x:c r="E36" s="4" t="str">
        <x:v>Arquitectura del computador; memoria; rendimiento y organización.</x:v>
      </x:c>
      <x:c r="F36" s="4" t="str">
        <x:v>Analizar efectos de la arquitectura en la ejecución y prestaciones.</x:v>
      </x:c>
      <x:c r="G36" s="4" t="str">
        <x:v>Sin esta base puede faltar capacidad para comprender o justificar el juicio exigido por CYO-12.</x:v>
      </x:c>
      <x:c r="H36" s="4" t="str">
        <x:v>R021</x:v>
      </x:c>
      <x:c r="I36" s="4" t="str">
        <x:v>II; III (códigos); IV; actividad académica según guía</x:v>
      </x:c>
      <x:c r="J36" s="4" t="str">
        <x:v>ANCLA EDUCATIVA; ENLACE PROPUESTO</x:v>
      </x:c>
      <x:c r="K36" s="12" t="n">
        <x:f>IF(OR(D36="TRANSVERSAL",D36="RESERVA",COUNTIF('26_Mapa_universos'!$A$5:$A$33,D36)=1),0,1)</x:f>
        <x:v>0</x:v>
      </x:c>
      <x:c r="L36" s="12" t="n">
        <x:f>IF(COUNTIF('21_Fuentes_educativas'!$A$5:$A$188,H36)+COUNTIF('01_Fuentes'!$A$5:$A$40,H36)=1,0,1)</x:f>
        <x:v>0</x:v>
      </x:c>
    </x:row>
    <x:row r="37" ht="47" customHeight="1">
      <x:c r="A37" s="4" t="str">
        <x:v>TC-033</x:v>
      </x:c>
      <x:c r="B37" s="4" t="str">
        <x:v>URJC-22</x:v>
      </x:c>
      <x:c r="C37" s="4" t="str">
        <x:v>ASIGNATURA</x:v>
      </x:c>
      <x:c r="D37" s="4" t="str">
        <x:v>CYO-05</x:v>
      </x:c>
      <x:c r="E37" s="4" t="str">
        <x:v>Complejidad; diseño y análisis de algoritmos.</x:v>
      </x:c>
      <x:c r="F37" s="4" t="str">
        <x:v>Justificar corrección, recursos y adecuación de algoritmos.</x:v>
      </x:c>
      <x:c r="G37" s="4" t="str">
        <x:v>Sin esta base puede faltar capacidad para comprender o justificar el juicio exigido por CYO-05.</x:v>
      </x:c>
      <x:c r="H37" s="4" t="str">
        <x:v>R022</x:v>
      </x:c>
      <x:c r="I37" s="4" t="str">
        <x:v>II; III (códigos); IV; actividad académica según guía</x:v>
      </x:c>
      <x:c r="J37" s="4" t="str">
        <x:v>ANCLA EDUCATIVA; ENLACE PROPUESTO</x:v>
      </x:c>
      <x:c r="K37" s="12" t="n">
        <x:f>IF(OR(D37="TRANSVERSAL",D37="RESERVA",COUNTIF('26_Mapa_universos'!$A$5:$A$33,D37)=1),0,1)</x:f>
        <x:v>0</x:v>
      </x:c>
      <x:c r="L37" s="12" t="n">
        <x:f>IF(COUNTIF('21_Fuentes_educativas'!$A$5:$A$188,H37)+COUNTIF('01_Fuentes'!$A$5:$A$40,H37)=1,0,1)</x:f>
        <x:v>0</x:v>
      </x:c>
    </x:row>
    <x:row r="38" ht="47" customHeight="1">
      <x:c r="A38" s="4" t="str">
        <x:v>TC-034</x:v>
      </x:c>
      <x:c r="B38" s="4" t="str">
        <x:v>URJC-22</x:v>
      </x:c>
      <x:c r="C38" s="4" t="str">
        <x:v>ASIGNATURA</x:v>
      </x:c>
      <x:c r="D38" s="4" t="str">
        <x:v>CYO-23</x:v>
      </x:c>
      <x:c r="E38" s="4" t="str">
        <x:v>Complejidad; diseño y análisis de algoritmos.</x:v>
      </x:c>
      <x:c r="F38" s="4" t="str">
        <x:v>Justificar corrección, recursos y adecuación de algoritmos.</x:v>
      </x:c>
      <x:c r="G38" s="4" t="str">
        <x:v>Sin esta base puede faltar capacidad para comprender o justificar el juicio exigido por CYO-23.</x:v>
      </x:c>
      <x:c r="H38" s="4" t="str">
        <x:v>R022</x:v>
      </x:c>
      <x:c r="I38" s="4" t="str">
        <x:v>II; III (códigos); IV; actividad académica según guía</x:v>
      </x:c>
      <x:c r="J38" s="4" t="str">
        <x:v>ANCLA EDUCATIVA; ENLACE PROPUESTO</x:v>
      </x:c>
      <x:c r="K38" s="12" t="n">
        <x:f>IF(OR(D38="TRANSVERSAL",D38="RESERVA",COUNTIF('26_Mapa_universos'!$A$5:$A$33,D38)=1),0,1)</x:f>
        <x:v>0</x:v>
      </x:c>
      <x:c r="L38" s="12" t="n">
        <x:f>IF(COUNTIF('21_Fuentes_educativas'!$A$5:$A$188,H38)+COUNTIF('01_Fuentes'!$A$5:$A$40,H38)=1,0,1)</x:f>
        <x:v>0</x:v>
      </x:c>
    </x:row>
    <x:row r="39" ht="47" customHeight="1">
      <x:c r="A39" s="4" t="str">
        <x:v>TC-035</x:v>
      </x:c>
      <x:c r="B39" s="4" t="str">
        <x:v>URJC-23</x:v>
      </x:c>
      <x:c r="C39" s="4" t="str">
        <x:v>ASIGNATURA</x:v>
      </x:c>
      <x:c r="D39" s="4" t="str">
        <x:v>CYO-05</x:v>
      </x:c>
      <x:c r="E39" s="4" t="str">
        <x:v>Procesos; ciclos de vida; metodologías y planificación de software en ciberseguridad.</x:v>
      </x:c>
      <x:c r="F39" s="4" t="str">
        <x:v>Organizar la resolución de problemas y proyectos de software en grupo.</x:v>
      </x:c>
      <x:c r="G39" s="4" t="str">
        <x:v>Sin esta base puede faltar capacidad para comprender o justificar el juicio exigido por CYO-05.</x:v>
      </x:c>
      <x:c r="H39" s="4" t="str">
        <x:v>R023</x:v>
      </x:c>
      <x:c r="I39" s="4" t="str">
        <x:v>II; III (códigos); IV; actividad académica según guía</x:v>
      </x:c>
      <x:c r="J39" s="4" t="str">
        <x:v>ANCLA EDUCATIVA; ENLACE PROPUESTO</x:v>
      </x:c>
      <x:c r="K39" s="12" t="n">
        <x:f>IF(OR(D39="TRANSVERSAL",D39="RESERVA",COUNTIF('26_Mapa_universos'!$A$5:$A$33,D39)=1),0,1)</x:f>
        <x:v>0</x:v>
      </x:c>
      <x:c r="L39" s="12" t="n">
        <x:f>IF(COUNTIF('21_Fuentes_educativas'!$A$5:$A$188,H39)+COUNTIF('01_Fuentes'!$A$5:$A$40,H39)=1,0,1)</x:f>
        <x:v>0</x:v>
      </x:c>
    </x:row>
    <x:row r="40" ht="47" customHeight="1">
      <x:c r="A40" s="4" t="str">
        <x:v>TC-036</x:v>
      </x:c>
      <x:c r="B40" s="4" t="str">
        <x:v>URJC-23</x:v>
      </x:c>
      <x:c r="C40" s="4" t="str">
        <x:v>ASIGNATURA</x:v>
      </x:c>
      <x:c r="D40" s="4" t="str">
        <x:v>CYO-18</x:v>
      </x:c>
      <x:c r="E40" s="4" t="str">
        <x:v>Procesos; ciclos de vida; metodologías y planificación de software en ciberseguridad.</x:v>
      </x:c>
      <x:c r="F40" s="4" t="str">
        <x:v>Organizar la resolución de problemas y proyectos de software en grupo.</x:v>
      </x:c>
      <x:c r="G40" s="4" t="str">
        <x:v>Sin esta base puede faltar capacidad para comprender o justificar el juicio exigido por CYO-18.</x:v>
      </x:c>
      <x:c r="H40" s="4" t="str">
        <x:v>R023</x:v>
      </x:c>
      <x:c r="I40" s="4" t="str">
        <x:v>II; III (códigos); IV; actividad académica según guía</x:v>
      </x:c>
      <x:c r="J40" s="4" t="str">
        <x:v>ANCLA EDUCATIVA; ENLACE PROPUESTO</x:v>
      </x:c>
      <x:c r="K40" s="12" t="n">
        <x:f>IF(OR(D40="TRANSVERSAL",D40="RESERVA",COUNTIF('26_Mapa_universos'!$A$5:$A$33,D40)=1),0,1)</x:f>
        <x:v>0</x:v>
      </x:c>
      <x:c r="L40" s="12" t="n">
        <x:f>IF(COUNTIF('21_Fuentes_educativas'!$A$5:$A$188,H40)+COUNTIF('01_Fuentes'!$A$5:$A$40,H40)=1,0,1)</x:f>
        <x:v>0</x:v>
      </x:c>
    </x:row>
    <x:row r="41" ht="47" customHeight="1">
      <x:c r="A41" s="4" t="str">
        <x:v>TC-037</x:v>
      </x:c>
      <x:c r="B41" s="4" t="str">
        <x:v>URJC-24</x:v>
      </x:c>
      <x:c r="C41" s="4" t="str">
        <x:v>ASIGNATURA</x:v>
      </x:c>
      <x:c r="D41" s="4" t="str">
        <x:v>CYO-03</x:v>
      </x:c>
      <x:c r="E41" s="4" t="str">
        <x:v>Protección en SGBD; acceso; confidencialidad; recuperación; auditoría.</x:v>
      </x:c>
      <x:c r="F41" s="4" t="str">
        <x:v>Administrar controles y evaluar la protección de bases de datos.</x:v>
      </x:c>
      <x:c r="G41" s="4" t="str">
        <x:v>Sin esta base puede faltar capacidad para comprender o justificar el juicio exigido por CYO-03.</x:v>
      </x:c>
      <x:c r="H41" s="4" t="str">
        <x:v>R024</x:v>
      </x:c>
      <x:c r="I41" s="4" t="str">
        <x:v>II; III (códigos); IV; actividad académica según guía</x:v>
      </x:c>
      <x:c r="J41" s="4" t="str">
        <x:v>ANCLA EDUCATIVA; ENLACE PROPUESTO</x:v>
      </x:c>
      <x:c r="K41" s="12" t="n">
        <x:f>IF(OR(D41="TRANSVERSAL",D41="RESERVA",COUNTIF('26_Mapa_universos'!$A$5:$A$33,D41)=1),0,1)</x:f>
        <x:v>0</x:v>
      </x:c>
      <x:c r="L41" s="12" t="n">
        <x:f>IF(COUNTIF('21_Fuentes_educativas'!$A$5:$A$188,H41)+COUNTIF('01_Fuentes'!$A$5:$A$40,H41)=1,0,1)</x:f>
        <x:v>0</x:v>
      </x:c>
    </x:row>
    <x:row r="42" ht="47" customHeight="1">
      <x:c r="A42" s="4" t="str">
        <x:v>TC-038</x:v>
      </x:c>
      <x:c r="B42" s="4" t="str">
        <x:v>URJC-24</x:v>
      </x:c>
      <x:c r="C42" s="4" t="str">
        <x:v>ASIGNATURA</x:v>
      </x:c>
      <x:c r="D42" s="4" t="str">
        <x:v>CYO-13</x:v>
      </x:c>
      <x:c r="E42" s="4" t="str">
        <x:v>Protección en SGBD; acceso; confidencialidad; recuperación; auditoría.</x:v>
      </x:c>
      <x:c r="F42" s="4" t="str">
        <x:v>Administrar controles y evaluar la protección de bases de datos.</x:v>
      </x:c>
      <x:c r="G42" s="4" t="str">
        <x:v>Sin esta base puede faltar capacidad para comprender o justificar el juicio exigido por CYO-13.</x:v>
      </x:c>
      <x:c r="H42" s="4" t="str">
        <x:v>R024</x:v>
      </x:c>
      <x:c r="I42" s="4" t="str">
        <x:v>II; III (códigos); IV; actividad académica según guía</x:v>
      </x:c>
      <x:c r="J42" s="4" t="str">
        <x:v>ANCLA EDUCATIVA; ENLACE PROPUESTO</x:v>
      </x:c>
      <x:c r="K42" s="12" t="n">
        <x:f>IF(OR(D42="TRANSVERSAL",D42="RESERVA",COUNTIF('26_Mapa_universos'!$A$5:$A$33,D42)=1),0,1)</x:f>
        <x:v>0</x:v>
      </x:c>
      <x:c r="L42" s="12" t="n">
        <x:f>IF(COUNTIF('21_Fuentes_educativas'!$A$5:$A$188,H42)+COUNTIF('01_Fuentes'!$A$5:$A$40,H42)=1,0,1)</x:f>
        <x:v>0</x:v>
      </x:c>
    </x:row>
    <x:row r="43" ht="47" customHeight="1">
      <x:c r="A43" s="4" t="str">
        <x:v>TC-039</x:v>
      </x:c>
      <x:c r="B43" s="4" t="str">
        <x:v>URJC-24</x:v>
      </x:c>
      <x:c r="C43" s="4" t="str">
        <x:v>ASIGNATURA</x:v>
      </x:c>
      <x:c r="D43" s="4" t="str">
        <x:v>CYO-17</x:v>
      </x:c>
      <x:c r="E43" s="4" t="str">
        <x:v>Protección en SGBD; acceso; confidencialidad; recuperación; auditoría.</x:v>
      </x:c>
      <x:c r="F43" s="4" t="str">
        <x:v>Administrar controles y evaluar la protección de bases de datos.</x:v>
      </x:c>
      <x:c r="G43" s="4" t="str">
        <x:v>Sin esta base puede faltar capacidad para comprender o justificar el juicio exigido por CYO-17.</x:v>
      </x:c>
      <x:c r="H43" s="4" t="str">
        <x:v>R024</x:v>
      </x:c>
      <x:c r="I43" s="4" t="str">
        <x:v>II; III (códigos); IV; actividad académica según guía</x:v>
      </x:c>
      <x:c r="J43" s="4" t="str">
        <x:v>ANCLA EDUCATIVA; ENLACE PROPUESTO</x:v>
      </x:c>
      <x:c r="K43" s="12" t="n">
        <x:f>IF(OR(D43="TRANSVERSAL",D43="RESERVA",COUNTIF('26_Mapa_universos'!$A$5:$A$33,D43)=1),0,1)</x:f>
        <x:v>0</x:v>
      </x:c>
      <x:c r="L43" s="12" t="n">
        <x:f>IF(COUNTIF('21_Fuentes_educativas'!$A$5:$A$188,H43)+COUNTIF('01_Fuentes'!$A$5:$A$40,H43)=1,0,1)</x:f>
        <x:v>0</x:v>
      </x:c>
    </x:row>
    <x:row r="44" ht="47" customHeight="1">
      <x:c r="A44" s="4" t="str">
        <x:v>TC-040</x:v>
      </x:c>
      <x:c r="B44" s="4" t="str">
        <x:v>URJC-25</x:v>
      </x:c>
      <x:c r="C44" s="4" t="str">
        <x:v>ASIGNATURA</x:v>
      </x:c>
      <x:c r="D44" s="4" t="str">
        <x:v>CYO-12</x:v>
      </x:c>
      <x:c r="E44" s="4" t="str">
        <x:v>Procesos; memoria; ficheros; concurrencia; administración.</x:v>
      </x:c>
      <x:c r="F44" s="4" t="str">
        <x:v>Comprender y utilizar mecanismos del sistema operativo.</x:v>
      </x:c>
      <x:c r="G44" s="4" t="str">
        <x:v>Sin esta base puede faltar capacidad para comprender o justificar el juicio exigido por CYO-12.</x:v>
      </x:c>
      <x:c r="H44" s="4" t="str">
        <x:v>R025</x:v>
      </x:c>
      <x:c r="I44" s="4" t="str">
        <x:v>II; III (códigos); IV; actividad académica según guía</x:v>
      </x:c>
      <x:c r="J44" s="4" t="str">
        <x:v>ANCLA EDUCATIVA; ENLACE PROPUESTO</x:v>
      </x:c>
      <x:c r="K44" s="12" t="n">
        <x:f>IF(OR(D44="TRANSVERSAL",D44="RESERVA",COUNTIF('26_Mapa_universos'!$A$5:$A$33,D44)=1),0,1)</x:f>
        <x:v>0</x:v>
      </x:c>
      <x:c r="L44" s="12" t="n">
        <x:f>IF(COUNTIF('21_Fuentes_educativas'!$A$5:$A$188,H44)+COUNTIF('01_Fuentes'!$A$5:$A$40,H44)=1,0,1)</x:f>
        <x:v>0</x:v>
      </x:c>
    </x:row>
    <x:row r="45" ht="47" customHeight="1">
      <x:c r="A45" s="4" t="str">
        <x:v>TC-041</x:v>
      </x:c>
      <x:c r="B45" s="4" t="str">
        <x:v>URJC-25</x:v>
      </x:c>
      <x:c r="C45" s="4" t="str">
        <x:v>ASIGNATURA</x:v>
      </x:c>
      <x:c r="D45" s="4" t="str">
        <x:v>CYO-27</x:v>
      </x:c>
      <x:c r="E45" s="4" t="str">
        <x:v>Procesos; memoria; ficheros; concurrencia; administración.</x:v>
      </x:c>
      <x:c r="F45" s="4" t="str">
        <x:v>Comprender y utilizar mecanismos del sistema operativo.</x:v>
      </x:c>
      <x:c r="G45" s="4" t="str">
        <x:v>Sin esta base puede faltar capacidad para comprender o justificar el juicio exigido por CYO-27.</x:v>
      </x:c>
      <x:c r="H45" s="4" t="str">
        <x:v>R025</x:v>
      </x:c>
      <x:c r="I45" s="4" t="str">
        <x:v>II; III (códigos); IV; actividad académica según guía</x:v>
      </x:c>
      <x:c r="J45" s="4" t="str">
        <x:v>ANCLA EDUCATIVA; ENLACE PROPUESTO</x:v>
      </x:c>
      <x:c r="K45" s="12" t="n">
        <x:f>IF(OR(D45="TRANSVERSAL",D45="RESERVA",COUNTIF('26_Mapa_universos'!$A$5:$A$33,D45)=1),0,1)</x:f>
        <x:v>0</x:v>
      </x:c>
      <x:c r="L45" s="12" t="n">
        <x:f>IF(COUNTIF('21_Fuentes_educativas'!$A$5:$A$188,H45)+COUNTIF('01_Fuentes'!$A$5:$A$40,H45)=1,0,1)</x:f>
        <x:v>0</x:v>
      </x:c>
    </x:row>
    <x:row r="46" ht="47" customHeight="1">
      <x:c r="A46" s="4" t="str">
        <x:v>TC-042</x:v>
      </x:c>
      <x:c r="B46" s="4" t="str">
        <x:v>URJC-26</x:v>
      </x:c>
      <x:c r="C46" s="4" t="str">
        <x:v>ASIGNATURA</x:v>
      </x:c>
      <x:c r="D46" s="4" t="str">
        <x:v>CYO-15</x:v>
      </x:c>
      <x:c r="E46" s="4" t="str">
        <x:v>Agentes; búsqueda multiagente; redes bayesianas; decisión; aprendizaje probabilístico, inductivo y por refuerzo.</x:v>
      </x:c>
      <x:c r="F46" s="4" t="str">
        <x:v>Resolver problemas, consultar modelos y desarrollar soluciones basadas en datos.</x:v>
      </x:c>
      <x:c r="G46" s="4" t="str">
        <x:v>Sin esta base puede faltar capacidad para comprender o justificar el juicio exigido por CYO-15.</x:v>
      </x:c>
      <x:c r="H46" s="4" t="str">
        <x:v>R026</x:v>
      </x:c>
      <x:c r="I46" s="4" t="str">
        <x:v>II; III (códigos); IV; actividad académica según guía</x:v>
      </x:c>
      <x:c r="J46" s="4" t="str">
        <x:v>ANCLA EDUCATIVA; ENLACE PROPUESTO</x:v>
      </x:c>
      <x:c r="K46" s="12" t="n">
        <x:f>IF(OR(D46="TRANSVERSAL",D46="RESERVA",COUNTIF('26_Mapa_universos'!$A$5:$A$33,D46)=1),0,1)</x:f>
        <x:v>0</x:v>
      </x:c>
      <x:c r="L46" s="12" t="n">
        <x:f>IF(COUNTIF('21_Fuentes_educativas'!$A$5:$A$188,H46)+COUNTIF('01_Fuentes'!$A$5:$A$40,H46)=1,0,1)</x:f>
        <x:v>0</x:v>
      </x:c>
    </x:row>
    <x:row r="47" ht="47" customHeight="1">
      <x:c r="A47" s="4" t="str">
        <x:v>TC-043</x:v>
      </x:c>
      <x:c r="B47" s="4" t="str">
        <x:v>URJC-26</x:v>
      </x:c>
      <x:c r="C47" s="4" t="str">
        <x:v>ASIGNATURA</x:v>
      </x:c>
      <x:c r="D47" s="4" t="str">
        <x:v>CYO-23</x:v>
      </x:c>
      <x:c r="E47" s="4" t="str">
        <x:v>Agentes; búsqueda multiagente; redes bayesianas; decisión; aprendizaje probabilístico, inductivo y por refuerzo.</x:v>
      </x:c>
      <x:c r="F47" s="4" t="str">
        <x:v>Resolver problemas, consultar modelos y desarrollar soluciones basadas en datos.</x:v>
      </x:c>
      <x:c r="G47" s="4" t="str">
        <x:v>Sin esta base puede faltar capacidad para comprender o justificar el juicio exigido por CYO-23.</x:v>
      </x:c>
      <x:c r="H47" s="4" t="str">
        <x:v>R026</x:v>
      </x:c>
      <x:c r="I47" s="4" t="str">
        <x:v>II; III (códigos); IV; actividad académica según guía</x:v>
      </x:c>
      <x:c r="J47" s="4" t="str">
        <x:v>ANCLA EDUCATIVA; ENLACE PROPUESTO</x:v>
      </x:c>
      <x:c r="K47" s="12" t="n">
        <x:f>IF(OR(D47="TRANSVERSAL",D47="RESERVA",COUNTIF('26_Mapa_universos'!$A$5:$A$33,D47)=1),0,1)</x:f>
        <x:v>0</x:v>
      </x:c>
      <x:c r="L47" s="12" t="n">
        <x:f>IF(COUNTIF('21_Fuentes_educativas'!$A$5:$A$188,H47)+COUNTIF('01_Fuentes'!$A$5:$A$40,H47)=1,0,1)</x:f>
        <x:v>0</x:v>
      </x:c>
    </x:row>
    <x:row r="48" ht="47" customHeight="1">
      <x:c r="A48" s="4" t="str">
        <x:v>TC-044</x:v>
      </x:c>
      <x:c r="B48" s="4" t="str">
        <x:v>URJC-27</x:v>
      </x:c>
      <x:c r="C48" s="4" t="str">
        <x:v>ASIGNATURA</x:v>
      </x:c>
      <x:c r="D48" s="4" t="str">
        <x:v>CYO-04</x:v>
      </x:c>
      <x:c r="E48" s="4" t="str">
        <x:v>Taxonomía de malware; propagación; análisis; amenazas dirigidas.</x:v>
      </x:c>
      <x:c r="F48" s="4" t="str">
        <x:v>Analizar muestras y razonar sobre mecanismos de protección.</x:v>
      </x:c>
      <x:c r="G48" s="4" t="str">
        <x:v>Sin esta base puede faltar capacidad para comprender o justificar el juicio exigido por CYO-04.</x:v>
      </x:c>
      <x:c r="H48" s="4" t="str">
        <x:v>R027</x:v>
      </x:c>
      <x:c r="I48" s="4" t="str">
        <x:v>II; III (códigos); IV; actividad académica según guía</x:v>
      </x:c>
      <x:c r="J48" s="4" t="str">
        <x:v>ANCLA EDUCATIVA; ENLACE PROPUESTO</x:v>
      </x:c>
      <x:c r="K48" s="12" t="n">
        <x:f>IF(OR(D48="TRANSVERSAL",D48="RESERVA",COUNTIF('26_Mapa_universos'!$A$5:$A$33,D48)=1),0,1)</x:f>
        <x:v>0</x:v>
      </x:c>
      <x:c r="L48" s="12" t="n">
        <x:f>IF(COUNTIF('21_Fuentes_educativas'!$A$5:$A$188,H48)+COUNTIF('01_Fuentes'!$A$5:$A$40,H48)=1,0,1)</x:f>
        <x:v>0</x:v>
      </x:c>
    </x:row>
    <x:row r="49" ht="47" customHeight="1">
      <x:c r="A49" s="4" t="str">
        <x:v>TC-045</x:v>
      </x:c>
      <x:c r="B49" s="4" t="str">
        <x:v>URJC-27</x:v>
      </x:c>
      <x:c r="C49" s="4" t="str">
        <x:v>ASIGNATURA</x:v>
      </x:c>
      <x:c r="D49" s="4" t="str">
        <x:v>CYO-08</x:v>
      </x:c>
      <x:c r="E49" s="4" t="str">
        <x:v>Taxonomía de malware; propagación; análisis; amenazas dirigidas.</x:v>
      </x:c>
      <x:c r="F49" s="4" t="str">
        <x:v>Analizar muestras y razonar sobre mecanismos de protección.</x:v>
      </x:c>
      <x:c r="G49" s="4" t="str">
        <x:v>Sin esta base puede faltar capacidad para comprender o justificar el juicio exigido por CYO-08.</x:v>
      </x:c>
      <x:c r="H49" s="4" t="str">
        <x:v>R027</x:v>
      </x:c>
      <x:c r="I49" s="4" t="str">
        <x:v>II; III (códigos); IV; actividad académica según guía</x:v>
      </x:c>
      <x:c r="J49" s="4" t="str">
        <x:v>ANCLA EDUCATIVA; ENLACE PROPUESTO</x:v>
      </x:c>
      <x:c r="K49" s="12" t="n">
        <x:f>IF(OR(D49="TRANSVERSAL",D49="RESERVA",COUNTIF('26_Mapa_universos'!$A$5:$A$33,D49)=1),0,1)</x:f>
        <x:v>0</x:v>
      </x:c>
      <x:c r="L49" s="12" t="n">
        <x:f>IF(COUNTIF('21_Fuentes_educativas'!$A$5:$A$188,H49)+COUNTIF('01_Fuentes'!$A$5:$A$40,H49)=1,0,1)</x:f>
        <x:v>0</x:v>
      </x:c>
    </x:row>
    <x:row r="50" ht="47" customHeight="1">
      <x:c r="A50" s="4" t="str">
        <x:v>TC-046</x:v>
      </x:c>
      <x:c r="B50" s="4" t="str">
        <x:v>URJC-27</x:v>
      </x:c>
      <x:c r="C50" s="4" t="str">
        <x:v>ASIGNATURA</x:v>
      </x:c>
      <x:c r="D50" s="4" t="str">
        <x:v>CYO-10</x:v>
      </x:c>
      <x:c r="E50" s="4" t="str">
        <x:v>Taxonomía de malware; propagación; análisis; amenazas dirigidas.</x:v>
      </x:c>
      <x:c r="F50" s="4" t="str">
        <x:v>Analizar muestras y razonar sobre mecanismos de protección.</x:v>
      </x:c>
      <x:c r="G50" s="4" t="str">
        <x:v>Sin esta base puede faltar capacidad para comprender o justificar el juicio exigido por CYO-10.</x:v>
      </x:c>
      <x:c r="H50" s="4" t="str">
        <x:v>R027</x:v>
      </x:c>
      <x:c r="I50" s="4" t="str">
        <x:v>II; III (códigos); IV; actividad académica según guía</x:v>
      </x:c>
      <x:c r="J50" s="4" t="str">
        <x:v>ANCLA EDUCATIVA; ENLACE PROPUESTO</x:v>
      </x:c>
      <x:c r="K50" s="12" t="n">
        <x:f>IF(OR(D50="TRANSVERSAL",D50="RESERVA",COUNTIF('26_Mapa_universos'!$A$5:$A$33,D50)=1),0,1)</x:f>
        <x:v>0</x:v>
      </x:c>
      <x:c r="L50" s="12" t="n">
        <x:f>IF(COUNTIF('21_Fuentes_educativas'!$A$5:$A$188,H50)+COUNTIF('01_Fuentes'!$A$5:$A$40,H50)=1,0,1)</x:f>
        <x:v>0</x:v>
      </x:c>
    </x:row>
    <x:row r="51" ht="47" customHeight="1">
      <x:c r="A51" s="4" t="str">
        <x:v>TC-047</x:v>
      </x:c>
      <x:c r="B51" s="4" t="str">
        <x:v>URJC-28</x:v>
      </x:c>
      <x:c r="C51" s="4" t="str">
        <x:v>ASIGNATURA</x:v>
      </x:c>
      <x:c r="D51" s="4" t="str">
        <x:v>CYO-04</x:v>
      </x:c>
      <x:c r="E51" s="4" t="str">
        <x:v>Desarrollo seguro; debilidades; análisis y verificación del software.</x:v>
      </x:c>
      <x:c r="F51" s="4" t="str">
        <x:v>Aplicar métodos de prevención y detección de defectos de seguridad.</x:v>
      </x:c>
      <x:c r="G51" s="4" t="str">
        <x:v>Sin esta base puede faltar capacidad para comprender o justificar el juicio exigido por CYO-04.</x:v>
      </x:c>
      <x:c r="H51" s="4" t="str">
        <x:v>R028</x:v>
      </x:c>
      <x:c r="I51" s="4" t="str">
        <x:v>II; III (códigos); IV; actividad académica según guía</x:v>
      </x:c>
      <x:c r="J51" s="4" t="str">
        <x:v>ANCLA EDUCATIVA; ENLACE PROPUESTO</x:v>
      </x:c>
      <x:c r="K51" s="12" t="n">
        <x:f>IF(OR(D51="TRANSVERSAL",D51="RESERVA",COUNTIF('26_Mapa_universos'!$A$5:$A$33,D51)=1),0,1)</x:f>
        <x:v>0</x:v>
      </x:c>
      <x:c r="L51" s="12" t="n">
        <x:f>IF(COUNTIF('21_Fuentes_educativas'!$A$5:$A$188,H51)+COUNTIF('01_Fuentes'!$A$5:$A$40,H51)=1,0,1)</x:f>
        <x:v>0</x:v>
      </x:c>
    </x:row>
    <x:row r="52" ht="47" customHeight="1">
      <x:c r="A52" s="4" t="str">
        <x:v>TC-048</x:v>
      </x:c>
      <x:c r="B52" s="4" t="str">
        <x:v>URJC-28</x:v>
      </x:c>
      <x:c r="C52" s="4" t="str">
        <x:v>ASIGNATURA</x:v>
      </x:c>
      <x:c r="D52" s="4" t="str">
        <x:v>CYO-05</x:v>
      </x:c>
      <x:c r="E52" s="4" t="str">
        <x:v>Desarrollo seguro; debilidades; análisis y verificación del software.</x:v>
      </x:c>
      <x:c r="F52" s="4" t="str">
        <x:v>Aplicar métodos de prevención y detección de defectos de seguridad.</x:v>
      </x:c>
      <x:c r="G52" s="4" t="str">
        <x:v>Sin esta base puede faltar capacidad para comprender o justificar el juicio exigido por CYO-05.</x:v>
      </x:c>
      <x:c r="H52" s="4" t="str">
        <x:v>R028</x:v>
      </x:c>
      <x:c r="I52" s="4" t="str">
        <x:v>II; III (códigos); IV; actividad académica según guía</x:v>
      </x:c>
      <x:c r="J52" s="4" t="str">
        <x:v>ANCLA EDUCATIVA; ENLACE PROPUESTO</x:v>
      </x:c>
      <x:c r="K52" s="12" t="n">
        <x:f>IF(OR(D52="TRANSVERSAL",D52="RESERVA",COUNTIF('26_Mapa_universos'!$A$5:$A$33,D52)=1),0,1)</x:f>
        <x:v>0</x:v>
      </x:c>
      <x:c r="L52" s="12" t="n">
        <x:f>IF(COUNTIF('21_Fuentes_educativas'!$A$5:$A$188,H52)+COUNTIF('01_Fuentes'!$A$5:$A$40,H52)=1,0,1)</x:f>
        <x:v>0</x:v>
      </x:c>
    </x:row>
    <x:row r="53" ht="47" customHeight="1">
      <x:c r="A53" s="4" t="str">
        <x:v>TC-049</x:v>
      </x:c>
      <x:c r="B53" s="4" t="str">
        <x:v>URJC-29</x:v>
      </x:c>
      <x:c r="C53" s="4" t="str">
        <x:v>ASIGNATURA</x:v>
      </x:c>
      <x:c r="D53" s="4" t="str">
        <x:v>CYO-02</x:v>
      </x:c>
      <x:c r="E53" s="4" t="str">
        <x:v>Redes avanzadas; tráfico; nube; virtualización; SDN.</x:v>
      </x:c>
      <x:c r="F53" s="4" t="str">
        <x:v>Analizar y configurar redes y servicios avanzados.</x:v>
      </x:c>
      <x:c r="G53" s="4" t="str">
        <x:v>Sin esta base puede faltar capacidad para comprender o justificar el juicio exigido por CYO-02.</x:v>
      </x:c>
      <x:c r="H53" s="4" t="str">
        <x:v>R029</x:v>
      </x:c>
      <x:c r="I53" s="4" t="str">
        <x:v>II; III (códigos); IV; actividad académica según guía</x:v>
      </x:c>
      <x:c r="J53" s="4" t="str">
        <x:v>ANCLA EDUCATIVA; ENLACE PROPUESTO</x:v>
      </x:c>
      <x:c r="K53" s="12" t="n">
        <x:f>IF(OR(D53="TRANSVERSAL",D53="RESERVA",COUNTIF('26_Mapa_universos'!$A$5:$A$33,D53)=1),0,1)</x:f>
        <x:v>0</x:v>
      </x:c>
      <x:c r="L53" s="12" t="n">
        <x:f>IF(COUNTIF('21_Fuentes_educativas'!$A$5:$A$188,H53)+COUNTIF('01_Fuentes'!$A$5:$A$40,H53)=1,0,1)</x:f>
        <x:v>0</x:v>
      </x:c>
    </x:row>
    <x:row r="54" ht="47" customHeight="1">
      <x:c r="A54" s="4" t="str">
        <x:v>TC-050</x:v>
      </x:c>
      <x:c r="B54" s="4" t="str">
        <x:v>URJC-29</x:v>
      </x:c>
      <x:c r="C54" s="4" t="str">
        <x:v>ASIGNATURA</x:v>
      </x:c>
      <x:c r="D54" s="4" t="str">
        <x:v>CYO-06</x:v>
      </x:c>
      <x:c r="E54" s="4" t="str">
        <x:v>Redes avanzadas; tráfico; nube; virtualización; SDN.</x:v>
      </x:c>
      <x:c r="F54" s="4" t="str">
        <x:v>Analizar y configurar redes y servicios avanzados.</x:v>
      </x:c>
      <x:c r="G54" s="4" t="str">
        <x:v>Sin esta base puede faltar capacidad para comprender o justificar el juicio exigido por CYO-06.</x:v>
      </x:c>
      <x:c r="H54" s="4" t="str">
        <x:v>R029</x:v>
      </x:c>
      <x:c r="I54" s="4" t="str">
        <x:v>II; III (códigos); IV; actividad académica según guía</x:v>
      </x:c>
      <x:c r="J54" s="4" t="str">
        <x:v>ANCLA EDUCATIVA; ENLACE PROPUESTO</x:v>
      </x:c>
      <x:c r="K54" s="12" t="n">
        <x:f>IF(OR(D54="TRANSVERSAL",D54="RESERVA",COUNTIF('26_Mapa_universos'!$A$5:$A$33,D54)=1),0,1)</x:f>
        <x:v>0</x:v>
      </x:c>
      <x:c r="L54" s="12" t="n">
        <x:f>IF(COUNTIF('21_Fuentes_educativas'!$A$5:$A$188,H54)+COUNTIF('01_Fuentes'!$A$5:$A$40,H54)=1,0,1)</x:f>
        <x:v>0</x:v>
      </x:c>
    </x:row>
    <x:row r="55" ht="47" customHeight="1">
      <x:c r="A55" s="4" t="str">
        <x:v>TC-051</x:v>
      </x:c>
      <x:c r="B55" s="4" t="str">
        <x:v>URJC-29</x:v>
      </x:c>
      <x:c r="C55" s="4" t="str">
        <x:v>ASIGNATURA</x:v>
      </x:c>
      <x:c r="D55" s="4" t="str">
        <x:v>CYO-27</x:v>
      </x:c>
      <x:c r="E55" s="4" t="str">
        <x:v>Redes avanzadas; tráfico; nube; virtualización; SDN.</x:v>
      </x:c>
      <x:c r="F55" s="4" t="str">
        <x:v>Analizar y configurar redes y servicios avanzados.</x:v>
      </x:c>
      <x:c r="G55" s="4" t="str">
        <x:v>Sin esta base puede faltar capacidad para comprender o justificar el juicio exigido por CYO-27.</x:v>
      </x:c>
      <x:c r="H55" s="4" t="str">
        <x:v>R029</x:v>
      </x:c>
      <x:c r="I55" s="4" t="str">
        <x:v>II; III (códigos); IV; actividad académica según guía</x:v>
      </x:c>
      <x:c r="J55" s="4" t="str">
        <x:v>ANCLA EDUCATIVA; ENLACE PROPUESTO</x:v>
      </x:c>
      <x:c r="K55" s="12" t="n">
        <x:f>IF(OR(D55="TRANSVERSAL",D55="RESERVA",COUNTIF('26_Mapa_universos'!$A$5:$A$33,D55)=1),0,1)</x:f>
        <x:v>0</x:v>
      </x:c>
      <x:c r="L55" s="12" t="n">
        <x:f>IF(COUNTIF('21_Fuentes_educativas'!$A$5:$A$188,H55)+COUNTIF('01_Fuentes'!$A$5:$A$40,H55)=1,0,1)</x:f>
        <x:v>0</x:v>
      </x:c>
    </x:row>
    <x:row r="56" ht="47" customHeight="1">
      <x:c r="A56" s="4" t="str">
        <x:v>TC-052</x:v>
      </x:c>
      <x:c r="B56" s="4" t="str">
        <x:v>URJC-30</x:v>
      </x:c>
      <x:c r="C56" s="4" t="str">
        <x:v>ASIGNATURA</x:v>
      </x:c>
      <x:c r="D56" s="4" t="str">
        <x:v>CYO-01</x:v>
      </x:c>
      <x:c r="E56" s="4" t="str">
        <x:v>Organización; sistemas transaccionales; OLAP; ETL; datos incompletos; recomendación y aprendizaje.</x:v>
      </x:c>
      <x:c r="F56" s="4" t="str">
        <x:v>Analizar impacto y seleccionar, implementar y gestionar sistemas de información.</x:v>
      </x:c>
      <x:c r="G56" s="4" t="str">
        <x:v>Sin esta base puede faltar capacidad para comprender o justificar el juicio exigido por CYO-01.</x:v>
      </x:c>
      <x:c r="H56" s="4" t="str">
        <x:v>R030</x:v>
      </x:c>
      <x:c r="I56" s="4" t="str">
        <x:v>II; III (códigos); IV; actividad académica según guía</x:v>
      </x:c>
      <x:c r="J56" s="4" t="str">
        <x:v>ANCLA EDUCATIVA; ENLACE PROPUESTO</x:v>
      </x:c>
      <x:c r="K56" s="12" t="n">
        <x:f>IF(OR(D56="TRANSVERSAL",D56="RESERVA",COUNTIF('26_Mapa_universos'!$A$5:$A$33,D56)=1),0,1)</x:f>
        <x:v>0</x:v>
      </x:c>
      <x:c r="L56" s="12" t="n">
        <x:f>IF(COUNTIF('21_Fuentes_educativas'!$A$5:$A$188,H56)+COUNTIF('01_Fuentes'!$A$5:$A$40,H56)=1,0,1)</x:f>
        <x:v>0</x:v>
      </x:c>
    </x:row>
    <x:row r="57" ht="47" customHeight="1">
      <x:c r="A57" s="4" t="str">
        <x:v>TC-053</x:v>
      </x:c>
      <x:c r="B57" s="4" t="str">
        <x:v>URJC-30</x:v>
      </x:c>
      <x:c r="C57" s="4" t="str">
        <x:v>ASIGNATURA</x:v>
      </x:c>
      <x:c r="D57" s="4" t="str">
        <x:v>CYO-06</x:v>
      </x:c>
      <x:c r="E57" s="4" t="str">
        <x:v>Organización; sistemas transaccionales; OLAP; ETL; datos incompletos; recomendación y aprendizaje.</x:v>
      </x:c>
      <x:c r="F57" s="4" t="str">
        <x:v>Analizar impacto y seleccionar, implementar y gestionar sistemas de información.</x:v>
      </x:c>
      <x:c r="G57" s="4" t="str">
        <x:v>Sin esta base puede faltar capacidad para comprender o justificar el juicio exigido por CYO-06.</x:v>
      </x:c>
      <x:c r="H57" s="4" t="str">
        <x:v>R030</x:v>
      </x:c>
      <x:c r="I57" s="4" t="str">
        <x:v>II; III (códigos); IV; actividad académica según guía</x:v>
      </x:c>
      <x:c r="J57" s="4" t="str">
        <x:v>ANCLA EDUCATIVA; ENLACE PROPUESTO</x:v>
      </x:c>
      <x:c r="K57" s="12" t="n">
        <x:f>IF(OR(D57="TRANSVERSAL",D57="RESERVA",COUNTIF('26_Mapa_universos'!$A$5:$A$33,D57)=1),0,1)</x:f>
        <x:v>0</x:v>
      </x:c>
      <x:c r="L57" s="12" t="n">
        <x:f>IF(COUNTIF('21_Fuentes_educativas'!$A$5:$A$188,H57)+COUNTIF('01_Fuentes'!$A$5:$A$40,H57)=1,0,1)</x:f>
        <x:v>0</x:v>
      </x:c>
    </x:row>
    <x:row r="58" ht="47" customHeight="1">
      <x:c r="A58" s="4" t="str">
        <x:v>TC-054</x:v>
      </x:c>
      <x:c r="B58" s="4" t="str">
        <x:v>URJC-30</x:v>
      </x:c>
      <x:c r="C58" s="4" t="str">
        <x:v>ASIGNATURA</x:v>
      </x:c>
      <x:c r="D58" s="4" t="str">
        <x:v>CYO-18</x:v>
      </x:c>
      <x:c r="E58" s="4" t="str">
        <x:v>Organización; sistemas transaccionales; OLAP; ETL; datos incompletos; recomendación y aprendizaje.</x:v>
      </x:c>
      <x:c r="F58" s="4" t="str">
        <x:v>Analizar impacto y seleccionar, implementar y gestionar sistemas de información.</x:v>
      </x:c>
      <x:c r="G58" s="4" t="str">
        <x:v>Sin esta base puede faltar capacidad para comprender o justificar el juicio exigido por CYO-18.</x:v>
      </x:c>
      <x:c r="H58" s="4" t="str">
        <x:v>R030</x:v>
      </x:c>
      <x:c r="I58" s="4" t="str">
        <x:v>II; III (códigos); IV; actividad académica según guía</x:v>
      </x:c>
      <x:c r="J58" s="4" t="str">
        <x:v>ANCLA EDUCATIVA; ENLACE PROPUESTO</x:v>
      </x:c>
      <x:c r="K58" s="12" t="n">
        <x:f>IF(OR(D58="TRANSVERSAL",D58="RESERVA",COUNTIF('26_Mapa_universos'!$A$5:$A$33,D58)=1),0,1)</x:f>
        <x:v>0</x:v>
      </x:c>
      <x:c r="L58" s="12" t="n">
        <x:f>IF(COUNTIF('21_Fuentes_educativas'!$A$5:$A$188,H58)+COUNTIF('01_Fuentes'!$A$5:$A$40,H58)=1,0,1)</x:f>
        <x:v>0</x:v>
      </x:c>
    </x:row>
    <x:row r="59" ht="47" customHeight="1">
      <x:c r="A59" s="4" t="str">
        <x:v>TC-055</x:v>
      </x:c>
      <x:c r="B59" s="4" t="str">
        <x:v>URJC-31</x:v>
      </x:c>
      <x:c r="C59" s="4" t="str">
        <x:v>ASIGNATURA</x:v>
      </x:c>
      <x:c r="D59" s="4" t="str">
        <x:v>CYO-23</x:v>
      </x:c>
      <x:c r="E59" s="4" t="str">
        <x:v>Procesamiento de imagen; clasificadores; redes neuronales; biometría y ataques.</x:v>
      </x:c>
      <x:c r="F59" s="4" t="str">
        <x:v>Analizar aplicaciones de visión y sus contramedidas.</x:v>
      </x:c>
      <x:c r="G59" s="4" t="str">
        <x:v>Sin esta base puede faltar capacidad para comprender o justificar el juicio exigido por CYO-23.</x:v>
      </x:c>
      <x:c r="H59" s="4" t="str">
        <x:v>R031</x:v>
      </x:c>
      <x:c r="I59" s="4" t="str">
        <x:v>II; III (códigos); IV; actividad académica según guía</x:v>
      </x:c>
      <x:c r="J59" s="4" t="str">
        <x:v>ANCLA EDUCATIVA; ENLACE PROPUESTO</x:v>
      </x:c>
      <x:c r="K59" s="12" t="n">
        <x:f>IF(OR(D59="TRANSVERSAL",D59="RESERVA",COUNTIF('26_Mapa_universos'!$A$5:$A$33,D59)=1),0,1)</x:f>
        <x:v>0</x:v>
      </x:c>
      <x:c r="L59" s="12" t="n">
        <x:f>IF(COUNTIF('21_Fuentes_educativas'!$A$5:$A$188,H59)+COUNTIF('01_Fuentes'!$A$5:$A$40,H59)=1,0,1)</x:f>
        <x:v>0</x:v>
      </x:c>
    </x:row>
    <x:row r="60" ht="47" customHeight="1">
      <x:c r="A60" s="4" t="str">
        <x:v>TC-056</x:v>
      </x:c>
      <x:c r="B60" s="4" t="str">
        <x:v>URJC-32</x:v>
      </x:c>
      <x:c r="C60" s="4" t="str">
        <x:v>ASIGNATURA</x:v>
      </x:c>
      <x:c r="D60" s="4" t="str">
        <x:v>CYO-16</x:v>
      </x:c>
      <x:c r="E60" s="4" t="str">
        <x:v>Auditoría de seguridad; alcance; métodos; evidencia y conclusiones.</x:v>
      </x:c>
      <x:c r="F60" s="4" t="str">
        <x:v>Planificar y realizar una auditoría en el alcance definido.</x:v>
      </x:c>
      <x:c r="G60" s="4" t="str">
        <x:v>Sin esta base puede faltar capacidad para comprender o justificar el juicio exigido por CYO-16.</x:v>
      </x:c>
      <x:c r="H60" s="4" t="str">
        <x:v>R032</x:v>
      </x:c>
      <x:c r="I60" s="4" t="str">
        <x:v>II; III (códigos); IV; actividad académica según guía</x:v>
      </x:c>
      <x:c r="J60" s="4" t="str">
        <x:v>ANCLA EDUCATIVA; ENLACE PROPUESTO</x:v>
      </x:c>
      <x:c r="K60" s="12" t="n">
        <x:f>IF(OR(D60="TRANSVERSAL",D60="RESERVA",COUNTIF('26_Mapa_universos'!$A$5:$A$33,D60)=1),0,1)</x:f>
        <x:v>0</x:v>
      </x:c>
      <x:c r="L60" s="12" t="n">
        <x:f>IF(COUNTIF('21_Fuentes_educativas'!$A$5:$A$188,H60)+COUNTIF('01_Fuentes'!$A$5:$A$40,H60)=1,0,1)</x:f>
        <x:v>0</x:v>
      </x:c>
    </x:row>
    <x:row r="61" ht="47" customHeight="1">
      <x:c r="A61" s="4" t="str">
        <x:v>TC-057</x:v>
      </x:c>
      <x:c r="B61" s="4" t="str">
        <x:v>URJC-33</x:v>
      </x:c>
      <x:c r="C61" s="4" t="str">
        <x:v>ASIGNATURA</x:v>
      </x:c>
      <x:c r="D61" s="4" t="str">
        <x:v>CYO-07</x:v>
      </x:c>
      <x:c r="E61" s="4" t="str">
        <x:v>SOC; correlación; DFIR; custodia; inteligencia; hipótesis de hunting; continuidad y recuperación.</x:v>
      </x:c>
      <x:c r="F61" s="4" t="str">
        <x:v>Detectar e investigar incidentes y relacionar respuesta, evidencia y continuidad.</x:v>
      </x:c>
      <x:c r="G61" s="4" t="str">
        <x:v>Sin esta base puede faltar capacidad para comprender o justificar el juicio exigido por CYO-07.</x:v>
      </x:c>
      <x:c r="H61" s="4" t="str">
        <x:v>R033</x:v>
      </x:c>
      <x:c r="I61" s="4" t="str">
        <x:v>II; III (códigos); IV; actividad académica según guía</x:v>
      </x:c>
      <x:c r="J61" s="4" t="str">
        <x:v>ANCLA EDUCATIVA; ENLACE PROPUESTO</x:v>
      </x:c>
      <x:c r="K61" s="12" t="n">
        <x:f>IF(OR(D61="TRANSVERSAL",D61="RESERVA",COUNTIF('26_Mapa_universos'!$A$5:$A$33,D61)=1),0,1)</x:f>
        <x:v>0</x:v>
      </x:c>
      <x:c r="L61" s="12" t="n">
        <x:f>IF(COUNTIF('21_Fuentes_educativas'!$A$5:$A$188,H61)+COUNTIF('01_Fuentes'!$A$5:$A$40,H61)=1,0,1)</x:f>
        <x:v>0</x:v>
      </x:c>
    </x:row>
    <x:row r="62" ht="47" customHeight="1">
      <x:c r="A62" s="4" t="str">
        <x:v>TC-058</x:v>
      </x:c>
      <x:c r="B62" s="4" t="str">
        <x:v>URJC-33</x:v>
      </x:c>
      <x:c r="C62" s="4" t="str">
        <x:v>ASIGNATURA</x:v>
      </x:c>
      <x:c r="D62" s="4" t="str">
        <x:v>CYO-08</x:v>
      </x:c>
      <x:c r="E62" s="4" t="str">
        <x:v>SOC; correlación; DFIR; custodia; inteligencia; hipótesis de hunting; continuidad y recuperación.</x:v>
      </x:c>
      <x:c r="F62" s="4" t="str">
        <x:v>Detectar e investigar incidentes y relacionar respuesta, evidencia y continuidad.</x:v>
      </x:c>
      <x:c r="G62" s="4" t="str">
        <x:v>Sin esta base puede faltar capacidad para comprender o justificar el juicio exigido por CYO-08.</x:v>
      </x:c>
      <x:c r="H62" s="4" t="str">
        <x:v>R033</x:v>
      </x:c>
      <x:c r="I62" s="4" t="str">
        <x:v>II; III (códigos); IV; actividad académica según guía</x:v>
      </x:c>
      <x:c r="J62" s="4" t="str">
        <x:v>ANCLA EDUCATIVA; ENLACE PROPUESTO</x:v>
      </x:c>
      <x:c r="K62" s="12" t="n">
        <x:f>IF(OR(D62="TRANSVERSAL",D62="RESERVA",COUNTIF('26_Mapa_universos'!$A$5:$A$33,D62)=1),0,1)</x:f>
        <x:v>0</x:v>
      </x:c>
      <x:c r="L62" s="12" t="n">
        <x:f>IF(COUNTIF('21_Fuentes_educativas'!$A$5:$A$188,H62)+COUNTIF('01_Fuentes'!$A$5:$A$40,H62)=1,0,1)</x:f>
        <x:v>0</x:v>
      </x:c>
    </x:row>
    <x:row r="63" ht="47" customHeight="1">
      <x:c r="A63" s="4" t="str">
        <x:v>TC-059</x:v>
      </x:c>
      <x:c r="B63" s="4" t="str">
        <x:v>URJC-33</x:v>
      </x:c>
      <x:c r="C63" s="4" t="str">
        <x:v>ASIGNATURA</x:v>
      </x:c>
      <x:c r="D63" s="4" t="str">
        <x:v>CYO-09</x:v>
      </x:c>
      <x:c r="E63" s="4" t="str">
        <x:v>SOC; correlación; DFIR; custodia; inteligencia; hipótesis de hunting; continuidad y recuperación.</x:v>
      </x:c>
      <x:c r="F63" s="4" t="str">
        <x:v>Detectar e investigar incidentes y relacionar respuesta, evidencia y continuidad.</x:v>
      </x:c>
      <x:c r="G63" s="4" t="str">
        <x:v>Sin esta base puede faltar capacidad para comprender o justificar el juicio exigido por CYO-09.</x:v>
      </x:c>
      <x:c r="H63" s="4" t="str">
        <x:v>R033</x:v>
      </x:c>
      <x:c r="I63" s="4" t="str">
        <x:v>II; III (códigos); IV; actividad académica según guía</x:v>
      </x:c>
      <x:c r="J63" s="4" t="str">
        <x:v>ANCLA EDUCATIVA; ENLACE PROPUESTO</x:v>
      </x:c>
      <x:c r="K63" s="12" t="n">
        <x:f>IF(OR(D63="TRANSVERSAL",D63="RESERVA",COUNTIF('26_Mapa_universos'!$A$5:$A$33,D63)=1),0,1)</x:f>
        <x:v>0</x:v>
      </x:c>
      <x:c r="L63" s="12" t="n">
        <x:f>IF(COUNTIF('21_Fuentes_educativas'!$A$5:$A$188,H63)+COUNTIF('01_Fuentes'!$A$5:$A$40,H63)=1,0,1)</x:f>
        <x:v>0</x:v>
      </x:c>
    </x:row>
    <x:row r="64" ht="47" customHeight="1">
      <x:c r="A64" s="4" t="str">
        <x:v>TC-060</x:v>
      </x:c>
      <x:c r="B64" s="4" t="str">
        <x:v>URJC-33</x:v>
      </x:c>
      <x:c r="C64" s="4" t="str">
        <x:v>ASIGNATURA</x:v>
      </x:c>
      <x:c r="D64" s="4" t="str">
        <x:v>CYO-10</x:v>
      </x:c>
      <x:c r="E64" s="4" t="str">
        <x:v>SOC; correlación; DFIR; custodia; inteligencia; hipótesis de hunting; continuidad y recuperación.</x:v>
      </x:c>
      <x:c r="F64" s="4" t="str">
        <x:v>Detectar e investigar incidentes y relacionar respuesta, evidencia y continuidad.</x:v>
      </x:c>
      <x:c r="G64" s="4" t="str">
        <x:v>Sin esta base puede faltar capacidad para comprender o justificar el juicio exigido por CYO-10.</x:v>
      </x:c>
      <x:c r="H64" s="4" t="str">
        <x:v>R033</x:v>
      </x:c>
      <x:c r="I64" s="4" t="str">
        <x:v>II; III (códigos); IV; actividad académica según guía</x:v>
      </x:c>
      <x:c r="J64" s="4" t="str">
        <x:v>ANCLA EDUCATIVA; ENLACE PROPUESTO</x:v>
      </x:c>
      <x:c r="K64" s="12" t="n">
        <x:f>IF(OR(D64="TRANSVERSAL",D64="RESERVA",COUNTIF('26_Mapa_universos'!$A$5:$A$33,D64)=1),0,1)</x:f>
        <x:v>0</x:v>
      </x:c>
      <x:c r="L64" s="12" t="n">
        <x:f>IF(COUNTIF('21_Fuentes_educativas'!$A$5:$A$188,H64)+COUNTIF('01_Fuentes'!$A$5:$A$40,H64)=1,0,1)</x:f>
        <x:v>0</x:v>
      </x:c>
    </x:row>
    <x:row r="65" ht="47" customHeight="1">
      <x:c r="A65" s="4" t="str">
        <x:v>TC-061</x:v>
      </x:c>
      <x:c r="B65" s="4" t="str">
        <x:v>URJC-33</x:v>
      </x:c>
      <x:c r="C65" s="4" t="str">
        <x:v>ASIGNATURA</x:v>
      </x:c>
      <x:c r="D65" s="4" t="str">
        <x:v>CYO-11</x:v>
      </x:c>
      <x:c r="E65" s="4" t="str">
        <x:v>SOC; correlación; DFIR; custodia; inteligencia; hipótesis de hunting; continuidad y recuperación.</x:v>
      </x:c>
      <x:c r="F65" s="4" t="str">
        <x:v>Detectar e investigar incidentes y relacionar respuesta, evidencia y continuidad.</x:v>
      </x:c>
      <x:c r="G65" s="4" t="str">
        <x:v>Sin esta base puede faltar capacidad para comprender o justificar el juicio exigido por CYO-11.</x:v>
      </x:c>
      <x:c r="H65" s="4" t="str">
        <x:v>R033</x:v>
      </x:c>
      <x:c r="I65" s="4" t="str">
        <x:v>II; III (códigos); IV; actividad académica según guía</x:v>
      </x:c>
      <x:c r="J65" s="4" t="str">
        <x:v>ANCLA EDUCATIVA; ENLACE PROPUESTO</x:v>
      </x:c>
      <x:c r="K65" s="12" t="n">
        <x:f>IF(OR(D65="TRANSVERSAL",D65="RESERVA",COUNTIF('26_Mapa_universos'!$A$5:$A$33,D65)=1),0,1)</x:f>
        <x:v>0</x:v>
      </x:c>
      <x:c r="L65" s="12" t="n">
        <x:f>IF(COUNTIF('21_Fuentes_educativas'!$A$5:$A$188,H65)+COUNTIF('01_Fuentes'!$A$5:$A$40,H65)=1,0,1)</x:f>
        <x:v>0</x:v>
      </x:c>
    </x:row>
    <x:row r="66" ht="47" customHeight="1">
      <x:c r="A66" s="4" t="str">
        <x:v>TC-062</x:v>
      </x:c>
      <x:c r="B66" s="4" t="str">
        <x:v>URJC-33</x:v>
      </x:c>
      <x:c r="C66" s="4" t="str">
        <x:v>ASIGNATURA</x:v>
      </x:c>
      <x:c r="D66" s="4" t="str">
        <x:v>CYO-24</x:v>
      </x:c>
      <x:c r="E66" s="4" t="str">
        <x:v>SOC; correlación; DFIR; custodia; inteligencia; hipótesis de hunting; continuidad y recuperación.</x:v>
      </x:c>
      <x:c r="F66" s="4" t="str">
        <x:v>Detectar e investigar incidentes y relacionar respuesta, evidencia y continuidad.</x:v>
      </x:c>
      <x:c r="G66" s="4" t="str">
        <x:v>Sin esta base puede faltar capacidad para comprender o justificar el juicio exigido por CYO-24.</x:v>
      </x:c>
      <x:c r="H66" s="4" t="str">
        <x:v>R033</x:v>
      </x:c>
      <x:c r="I66" s="4" t="str">
        <x:v>II; III (códigos); IV; actividad académica según guía</x:v>
      </x:c>
      <x:c r="J66" s="4" t="str">
        <x:v>ANCLA EDUCATIVA; ENLACE PROPUESTO</x:v>
      </x:c>
      <x:c r="K66" s="12" t="n">
        <x:f>IF(OR(D66="TRANSVERSAL",D66="RESERVA",COUNTIF('26_Mapa_universos'!$A$5:$A$33,D66)=1),0,1)</x:f>
        <x:v>0</x:v>
      </x:c>
      <x:c r="L66" s="12" t="n">
        <x:f>IF(COUNTIF('21_Fuentes_educativas'!$A$5:$A$188,H66)+COUNTIF('01_Fuentes'!$A$5:$A$40,H66)=1,0,1)</x:f>
        <x:v>0</x:v>
      </x:c>
    </x:row>
    <x:row r="67" ht="47" customHeight="1">
      <x:c r="A67" s="4" t="str">
        <x:v>TC-063</x:v>
      </x:c>
      <x:c r="B67" s="4" t="str">
        <x:v>URJC-33</x:v>
      </x:c>
      <x:c r="C67" s="4" t="str">
        <x:v>ASIGNATURA</x:v>
      </x:c>
      <x:c r="D67" s="4" t="str">
        <x:v>CYO-25</x:v>
      </x:c>
      <x:c r="E67" s="4" t="str">
        <x:v>SOC; correlación; DFIR; custodia; inteligencia; hipótesis de hunting; continuidad y recuperación.</x:v>
      </x:c>
      <x:c r="F67" s="4" t="str">
        <x:v>Detectar e investigar incidentes y relacionar respuesta, evidencia y continuidad.</x:v>
      </x:c>
      <x:c r="G67" s="4" t="str">
        <x:v>Sin esta base puede faltar capacidad para comprender o justificar el juicio exigido por CYO-25.</x:v>
      </x:c>
      <x:c r="H67" s="4" t="str">
        <x:v>R033</x:v>
      </x:c>
      <x:c r="I67" s="4" t="str">
        <x:v>II; III (códigos); IV; actividad académica según guía</x:v>
      </x:c>
      <x:c r="J67" s="4" t="str">
        <x:v>ANCLA EDUCATIVA; ENLACE PROPUESTO</x:v>
      </x:c>
      <x:c r="K67" s="12" t="n">
        <x:f>IF(OR(D67="TRANSVERSAL",D67="RESERVA",COUNTIF('26_Mapa_universos'!$A$5:$A$33,D67)=1),0,1)</x:f>
        <x:v>0</x:v>
      </x:c>
      <x:c r="L67" s="12" t="n">
        <x:f>IF(COUNTIF('21_Fuentes_educativas'!$A$5:$A$188,H67)+COUNTIF('01_Fuentes'!$A$5:$A$40,H67)=1,0,1)</x:f>
        <x:v>0</x:v>
      </x:c>
    </x:row>
    <x:row r="68" ht="47" customHeight="1">
      <x:c r="A68" s="4" t="str">
        <x:v>TC-064</x:v>
      </x:c>
      <x:c r="B68" s="4" t="str">
        <x:v>URJC-33</x:v>
      </x:c>
      <x:c r="C68" s="4" t="str">
        <x:v>ASIGNATURA</x:v>
      </x:c>
      <x:c r="D68" s="4" t="str">
        <x:v>CYO-27</x:v>
      </x:c>
      <x:c r="E68" s="4" t="str">
        <x:v>SOC; correlación; DFIR; custodia; inteligencia; hipótesis de hunting; continuidad y recuperación.</x:v>
      </x:c>
      <x:c r="F68" s="4" t="str">
        <x:v>Detectar e investigar incidentes y relacionar respuesta, evidencia y continuidad.</x:v>
      </x:c>
      <x:c r="G68" s="4" t="str">
        <x:v>Sin esta base puede faltar capacidad para comprender o justificar el juicio exigido por CYO-27.</x:v>
      </x:c>
      <x:c r="H68" s="4" t="str">
        <x:v>R033</x:v>
      </x:c>
      <x:c r="I68" s="4" t="str">
        <x:v>II; III (códigos); IV; actividad académica según guía</x:v>
      </x:c>
      <x:c r="J68" s="4" t="str">
        <x:v>ANCLA EDUCATIVA; ENLACE PROPUESTO</x:v>
      </x:c>
      <x:c r="K68" s="12" t="n">
        <x:f>IF(OR(D68="TRANSVERSAL",D68="RESERVA",COUNTIF('26_Mapa_universos'!$A$5:$A$33,D68)=1),0,1)</x:f>
        <x:v>0</x:v>
      </x:c>
      <x:c r="L68" s="12" t="n">
        <x:f>IF(COUNTIF('21_Fuentes_educativas'!$A$5:$A$188,H68)+COUNTIF('01_Fuentes'!$A$5:$A$40,H68)=1,0,1)</x:f>
        <x:v>0</x:v>
      </x:c>
    </x:row>
    <x:row r="69" ht="47" customHeight="1">
      <x:c r="A69" s="4" t="str">
        <x:v>TC-065</x:v>
      </x:c>
      <x:c r="B69" s="4" t="str">
        <x:v>URJC-33</x:v>
      </x:c>
      <x:c r="C69" s="4" t="str">
        <x:v>ASIGNATURA</x:v>
      </x:c>
      <x:c r="D69" s="4" t="str">
        <x:v>CYO-28</x:v>
      </x:c>
      <x:c r="E69" s="4" t="str">
        <x:v>SOC; correlación; DFIR; custodia; inteligencia; hipótesis de hunting; continuidad y recuperación.</x:v>
      </x:c>
      <x:c r="F69" s="4" t="str">
        <x:v>Detectar e investigar incidentes y relacionar respuesta, evidencia y continuidad.</x:v>
      </x:c>
      <x:c r="G69" s="4" t="str">
        <x:v>Sin esta base puede faltar capacidad para comprender o justificar el juicio exigido por CYO-28.</x:v>
      </x:c>
      <x:c r="H69" s="4" t="str">
        <x:v>R033</x:v>
      </x:c>
      <x:c r="I69" s="4" t="str">
        <x:v>II; III (códigos); IV; actividad académica según guía</x:v>
      </x:c>
      <x:c r="J69" s="4" t="str">
        <x:v>ANCLA EDUCATIVA; ENLACE PROPUESTO</x:v>
      </x:c>
      <x:c r="K69" s="12" t="n">
        <x:f>IF(OR(D69="TRANSVERSAL",D69="RESERVA",COUNTIF('26_Mapa_universos'!$A$5:$A$33,D69)=1),0,1)</x:f>
        <x:v>0</x:v>
      </x:c>
      <x:c r="L69" s="12" t="n">
        <x:f>IF(COUNTIF('21_Fuentes_educativas'!$A$5:$A$188,H69)+COUNTIF('01_Fuentes'!$A$5:$A$40,H69)=1,0,1)</x:f>
        <x:v>0</x:v>
      </x:c>
    </x:row>
    <x:row r="70" ht="47" customHeight="1">
      <x:c r="A70" s="4" t="str">
        <x:v>TC-066</x:v>
      </x:c>
      <x:c r="B70" s="4" t="str">
        <x:v>URJC-34</x:v>
      </x:c>
      <x:c r="C70" s="4" t="str">
        <x:v>ASIGNATURA</x:v>
      </x:c>
      <x:c r="D70" s="4" t="str">
        <x:v>CYO-04</x:v>
      </x:c>
      <x:c r="E70" s="4" t="str">
        <x:v>Alcance; informes; pruebas web, móviles e IoT; IA en pentesting.</x:v>
      </x:c>
      <x:c r="F70" s="4" t="str">
        <x:v>Evaluar seguridad mediante pruebas autorizadas y comunicar resultados.</x:v>
      </x:c>
      <x:c r="G70" s="4" t="str">
        <x:v>Sin esta base puede faltar capacidad para comprender o justificar el juicio exigido por CYO-04.</x:v>
      </x:c>
      <x:c r="H70" s="4" t="str">
        <x:v>R034</x:v>
      </x:c>
      <x:c r="I70" s="4" t="str">
        <x:v>II; III (códigos); IV; actividad académica según guía</x:v>
      </x:c>
      <x:c r="J70" s="4" t="str">
        <x:v>ANCLA EDUCATIVA; ENLACE PROPUESTO</x:v>
      </x:c>
      <x:c r="K70" s="12" t="n">
        <x:f>IF(OR(D70="TRANSVERSAL",D70="RESERVA",COUNTIF('26_Mapa_universos'!$A$5:$A$33,D70)=1),0,1)</x:f>
        <x:v>0</x:v>
      </x:c>
      <x:c r="L70" s="12" t="n">
        <x:f>IF(COUNTIF('21_Fuentes_educativas'!$A$5:$A$188,H70)+COUNTIF('01_Fuentes'!$A$5:$A$40,H70)=1,0,1)</x:f>
        <x:v>0</x:v>
      </x:c>
    </x:row>
    <x:row r="71" ht="47" customHeight="1">
      <x:c r="A71" s="4" t="str">
        <x:v>TC-067</x:v>
      </x:c>
      <x:c r="B71" s="4" t="str">
        <x:v>URJC-34</x:v>
      </x:c>
      <x:c r="C71" s="4" t="str">
        <x:v>ASIGNATURA</x:v>
      </x:c>
      <x:c r="D71" s="4" t="str">
        <x:v>CYO-26</x:v>
      </x:c>
      <x:c r="E71" s="4" t="str">
        <x:v>Alcance; informes; pruebas web, móviles e IoT; IA en pentesting.</x:v>
      </x:c>
      <x:c r="F71" s="4" t="str">
        <x:v>Evaluar seguridad mediante pruebas autorizadas y comunicar resultados.</x:v>
      </x:c>
      <x:c r="G71" s="4" t="str">
        <x:v>Sin esta base puede faltar capacidad para comprender o justificar el juicio exigido por CYO-26.</x:v>
      </x:c>
      <x:c r="H71" s="4" t="str">
        <x:v>R034</x:v>
      </x:c>
      <x:c r="I71" s="4" t="str">
        <x:v>II; III (códigos); IV; actividad académica según guía</x:v>
      </x:c>
      <x:c r="J71" s="4" t="str">
        <x:v>ANCLA EDUCATIVA; ENLACE PROPUESTO</x:v>
      </x:c>
      <x:c r="K71" s="12" t="n">
        <x:f>IF(OR(D71="TRANSVERSAL",D71="RESERVA",COUNTIF('26_Mapa_universos'!$A$5:$A$33,D71)=1),0,1)</x:f>
        <x:v>0</x:v>
      </x:c>
      <x:c r="L71" s="12" t="n">
        <x:f>IF(COUNTIF('21_Fuentes_educativas'!$A$5:$A$188,H71)+COUNTIF('01_Fuentes'!$A$5:$A$40,H71)=1,0,1)</x:f>
        <x:v>0</x:v>
      </x:c>
    </x:row>
    <x:row r="72" ht="47" customHeight="1">
      <x:c r="A72" s="4" t="str">
        <x:v>TC-068</x:v>
      </x:c>
      <x:c r="B72" s="4" t="str">
        <x:v>URJC-35</x:v>
      </x:c>
      <x:c r="C72" s="4" t="str">
        <x:v>ASIGNATURA</x:v>
      </x:c>
      <x:c r="D72" s="4" t="str">
        <x:v>CYO-01</x:v>
      </x:c>
      <x:c r="E72" s="4" t="str">
        <x:v>Métodos cualitativos; FAIR; Montecarlo; calibración; retornos; transferencia y sesgos.</x:v>
      </x:c>
      <x:c r="F72" s="4" t="str">
        <x:v>Escoger métodos, estimar riesgo y justificar tratamiento y comunicación.</x:v>
      </x:c>
      <x:c r="G72" s="4" t="str">
        <x:v>Sin esta base puede faltar capacidad para comprender o justificar el juicio exigido por CYO-01.</x:v>
      </x:c>
      <x:c r="H72" s="4" t="str">
        <x:v>R035</x:v>
      </x:c>
      <x:c r="I72" s="4" t="str">
        <x:v>II; III (códigos); IV; actividad académica según guía</x:v>
      </x:c>
      <x:c r="J72" s="4" t="str">
        <x:v>ANCLA EDUCATIVA; ENLACE PROPUESTO</x:v>
      </x:c>
      <x:c r="K72" s="12" t="n">
        <x:f>IF(OR(D72="TRANSVERSAL",D72="RESERVA",COUNTIF('26_Mapa_universos'!$A$5:$A$33,D72)=1),0,1)</x:f>
        <x:v>0</x:v>
      </x:c>
      <x:c r="L72" s="12" t="n">
        <x:f>IF(COUNTIF('21_Fuentes_educativas'!$A$5:$A$188,H72)+COUNTIF('01_Fuentes'!$A$5:$A$40,H72)=1,0,1)</x:f>
        <x:v>0</x:v>
      </x:c>
    </x:row>
    <x:row r="73" ht="47" customHeight="1">
      <x:c r="A73" s="4" t="str">
        <x:v>TC-069</x:v>
      </x:c>
      <x:c r="B73" s="4" t="str">
        <x:v>URJC-35</x:v>
      </x:c>
      <x:c r="C73" s="4" t="str">
        <x:v>ASIGNATURA</x:v>
      </x:c>
      <x:c r="D73" s="4" t="str">
        <x:v>CYO-06</x:v>
      </x:c>
      <x:c r="E73" s="4" t="str">
        <x:v>Métodos cualitativos; FAIR; Montecarlo; calibración; retornos; transferencia y sesgos.</x:v>
      </x:c>
      <x:c r="F73" s="4" t="str">
        <x:v>Escoger métodos, estimar riesgo y justificar tratamiento y comunicación.</x:v>
      </x:c>
      <x:c r="G73" s="4" t="str">
        <x:v>Sin esta base puede faltar capacidad para comprender o justificar el juicio exigido por CYO-06.</x:v>
      </x:c>
      <x:c r="H73" s="4" t="str">
        <x:v>R035</x:v>
      </x:c>
      <x:c r="I73" s="4" t="str">
        <x:v>II; III (códigos); IV; actividad académica según guía</x:v>
      </x:c>
      <x:c r="J73" s="4" t="str">
        <x:v>ANCLA EDUCATIVA; ENLACE PROPUESTO</x:v>
      </x:c>
      <x:c r="K73" s="12" t="n">
        <x:f>IF(OR(D73="TRANSVERSAL",D73="RESERVA",COUNTIF('26_Mapa_universos'!$A$5:$A$33,D73)=1),0,1)</x:f>
        <x:v>0</x:v>
      </x:c>
      <x:c r="L73" s="12" t="n">
        <x:f>IF(COUNTIF('21_Fuentes_educativas'!$A$5:$A$188,H73)+COUNTIF('01_Fuentes'!$A$5:$A$40,H73)=1,0,1)</x:f>
        <x:v>0</x:v>
      </x:c>
    </x:row>
    <x:row r="74" ht="47" customHeight="1">
      <x:c r="A74" s="4" t="str">
        <x:v>TC-070</x:v>
      </x:c>
      <x:c r="B74" s="4" t="str">
        <x:v>URJC-35</x:v>
      </x:c>
      <x:c r="C74" s="4" t="str">
        <x:v>ASIGNATURA</x:v>
      </x:c>
      <x:c r="D74" s="4" t="str">
        <x:v>CYO-21</x:v>
      </x:c>
      <x:c r="E74" s="4" t="str">
        <x:v>Métodos cualitativos; FAIR; Montecarlo; calibración; retornos; transferencia y sesgos.</x:v>
      </x:c>
      <x:c r="F74" s="4" t="str">
        <x:v>Escoger métodos, estimar riesgo y justificar tratamiento y comunicación.</x:v>
      </x:c>
      <x:c r="G74" s="4" t="str">
        <x:v>Sin esta base puede faltar capacidad para comprender o justificar el juicio exigido por CYO-21.</x:v>
      </x:c>
      <x:c r="H74" s="4" t="str">
        <x:v>R035</x:v>
      </x:c>
      <x:c r="I74" s="4" t="str">
        <x:v>II; III (códigos); IV; actividad académica según guía</x:v>
      </x:c>
      <x:c r="J74" s="4" t="str">
        <x:v>ANCLA EDUCATIVA; ENLACE PROPUESTO</x:v>
      </x:c>
      <x:c r="K74" s="12" t="n">
        <x:f>IF(OR(D74="TRANSVERSAL",D74="RESERVA",COUNTIF('26_Mapa_universos'!$A$5:$A$33,D74)=1),0,1)</x:f>
        <x:v>0</x:v>
      </x:c>
      <x:c r="L74" s="12" t="n">
        <x:f>IF(COUNTIF('21_Fuentes_educativas'!$A$5:$A$188,H74)+COUNTIF('01_Fuentes'!$A$5:$A$40,H74)=1,0,1)</x:f>
        <x:v>0</x:v>
      </x:c>
    </x:row>
    <x:row r="75" ht="47" customHeight="1">
      <x:c r="A75" s="4" t="str">
        <x:v>TC-071</x:v>
      </x:c>
      <x:c r="B75" s="4" t="str">
        <x:v>URJC-35</x:v>
      </x:c>
      <x:c r="C75" s="4" t="str">
        <x:v>ASIGNATURA</x:v>
      </x:c>
      <x:c r="D75" s="4" t="str">
        <x:v>CYO-26</x:v>
      </x:c>
      <x:c r="E75" s="4" t="str">
        <x:v>Métodos cualitativos; FAIR; Montecarlo; calibración; retornos; transferencia y sesgos.</x:v>
      </x:c>
      <x:c r="F75" s="4" t="str">
        <x:v>Escoger métodos, estimar riesgo y justificar tratamiento y comunicación.</x:v>
      </x:c>
      <x:c r="G75" s="4" t="str">
        <x:v>Sin esta base puede faltar capacidad para comprender o justificar el juicio exigido por CYO-26.</x:v>
      </x:c>
      <x:c r="H75" s="4" t="str">
        <x:v>R035</x:v>
      </x:c>
      <x:c r="I75" s="4" t="str">
        <x:v>II; III (códigos); IV; actividad académica según guía</x:v>
      </x:c>
      <x:c r="J75" s="4" t="str">
        <x:v>ANCLA EDUCATIVA; ENLACE PROPUESTO</x:v>
      </x:c>
      <x:c r="K75" s="12" t="n">
        <x:f>IF(OR(D75="TRANSVERSAL",D75="RESERVA",COUNTIF('26_Mapa_universos'!$A$5:$A$33,D75)=1),0,1)</x:f>
        <x:v>0</x:v>
      </x:c>
      <x:c r="L75" s="12" t="n">
        <x:f>IF(COUNTIF('21_Fuentes_educativas'!$A$5:$A$188,H75)+COUNTIF('01_Fuentes'!$A$5:$A$40,H75)=1,0,1)</x:f>
        <x:v>0</x:v>
      </x:c>
    </x:row>
    <x:row r="76" ht="47" customHeight="1">
      <x:c r="A76" s="4" t="str">
        <x:v>TC-072</x:v>
      </x:c>
      <x:c r="B76" s="4" t="str">
        <x:v>URJC-36</x:v>
      </x:c>
      <x:c r="C76" s="4" t="str">
        <x:v>ASIGNATURA</x:v>
      </x:c>
      <x:c r="D76" s="4" t="str">
        <x:v>CYO-14</x:v>
      </x:c>
      <x:c r="E76" s="4" t="str">
        <x:v>Sistemas industriales; infraestructuras críticas; interdependencias.</x:v>
      </x:c>
      <x:c r="F76" s="4" t="str">
        <x:v>Analizar amenazas y medidas considerando efectos en sistemas físicos.</x:v>
      </x:c>
      <x:c r="G76" s="4" t="str">
        <x:v>Sin esta base puede faltar capacidad para comprender o justificar el juicio exigido por CYO-14.</x:v>
      </x:c>
      <x:c r="H76" s="4" t="str">
        <x:v>R036</x:v>
      </x:c>
      <x:c r="I76" s="4" t="str">
        <x:v>II; III (códigos); IV; actividad académica según guía</x:v>
      </x:c>
      <x:c r="J76" s="4" t="str">
        <x:v>ANCLA EDUCATIVA; ENLACE PROPUESTO</x:v>
      </x:c>
      <x:c r="K76" s="12" t="n">
        <x:f>IF(OR(D76="TRANSVERSAL",D76="RESERVA",COUNTIF('26_Mapa_universos'!$A$5:$A$33,D76)=1),0,1)</x:f>
        <x:v>0</x:v>
      </x:c>
      <x:c r="L76" s="12" t="n">
        <x:f>IF(COUNTIF('21_Fuentes_educativas'!$A$5:$A$188,H76)+COUNTIF('01_Fuentes'!$A$5:$A$40,H76)=1,0,1)</x:f>
        <x:v>0</x:v>
      </x:c>
    </x:row>
    <x:row r="77" ht="47" customHeight="1">
      <x:c r="A77" s="4" t="str">
        <x:v>TC-073</x:v>
      </x:c>
      <x:c r="B77" s="4" t="str">
        <x:v>URJC-36</x:v>
      </x:c>
      <x:c r="C77" s="4" t="str">
        <x:v>ASIGNATURA</x:v>
      </x:c>
      <x:c r="D77" s="4" t="str">
        <x:v>CYO-25</x:v>
      </x:c>
      <x:c r="E77" s="4" t="str">
        <x:v>Sistemas industriales; infraestructuras críticas; interdependencias.</x:v>
      </x:c>
      <x:c r="F77" s="4" t="str">
        <x:v>Analizar amenazas y medidas considerando efectos en sistemas físicos.</x:v>
      </x:c>
      <x:c r="G77" s="4" t="str">
        <x:v>Sin esta base puede faltar capacidad para comprender o justificar el juicio exigido por CYO-25.</x:v>
      </x:c>
      <x:c r="H77" s="4" t="str">
        <x:v>R036</x:v>
      </x:c>
      <x:c r="I77" s="4" t="str">
        <x:v>II; III (códigos); IV; actividad académica según guía</x:v>
      </x:c>
      <x:c r="J77" s="4" t="str">
        <x:v>ANCLA EDUCATIVA; ENLACE PROPUESTO</x:v>
      </x:c>
      <x:c r="K77" s="12" t="n">
        <x:f>IF(OR(D77="TRANSVERSAL",D77="RESERVA",COUNTIF('26_Mapa_universos'!$A$5:$A$33,D77)=1),0,1)</x:f>
        <x:v>0</x:v>
      </x:c>
      <x:c r="L77" s="12" t="n">
        <x:f>IF(COUNTIF('21_Fuentes_educativas'!$A$5:$A$188,H77)+COUNTIF('01_Fuentes'!$A$5:$A$40,H77)=1,0,1)</x:f>
        <x:v>0</x:v>
      </x:c>
    </x:row>
    <x:row r="78" ht="47" customHeight="1">
      <x:c r="A78" s="4" t="str">
        <x:v>TC-074</x:v>
      </x:c>
      <x:c r="B78" s="4" t="str">
        <x:v>URJC-37</x:v>
      </x:c>
      <x:c r="C78" s="4" t="str">
        <x:v>ASIGNATURA</x:v>
      </x:c>
      <x:c r="D78" s="4" t="str">
        <x:v>CYO-15</x:v>
      </x:c>
      <x:c r="E78" s="4" t="str">
        <x:v>Gobierno; estrategia; regulación; políticas y controles.</x:v>
      </x:c>
      <x:c r="F78" s="4" t="str">
        <x:v>Definir y valorar gobierno de seguridad en su contexto.</x:v>
      </x:c>
      <x:c r="G78" s="4" t="str">
        <x:v>Sin esta base puede faltar capacidad para comprender o justificar el juicio exigido por CYO-15.</x:v>
      </x:c>
      <x:c r="H78" s="4" t="str">
        <x:v>R037</x:v>
      </x:c>
      <x:c r="I78" s="4" t="str">
        <x:v>II; III (códigos); IV; actividad académica según guía</x:v>
      </x:c>
      <x:c r="J78" s="4" t="str">
        <x:v>ANCLA EDUCATIVA; ENLACE PROPUESTO</x:v>
      </x:c>
      <x:c r="K78" s="12" t="n">
        <x:f>IF(OR(D78="TRANSVERSAL",D78="RESERVA",COUNTIF('26_Mapa_universos'!$A$5:$A$33,D78)=1),0,1)</x:f>
        <x:v>0</x:v>
      </x:c>
      <x:c r="L78" s="12" t="n">
        <x:f>IF(COUNTIF('21_Fuentes_educativas'!$A$5:$A$188,H78)+COUNTIF('01_Fuentes'!$A$5:$A$40,H78)=1,0,1)</x:f>
        <x:v>0</x:v>
      </x:c>
    </x:row>
    <x:row r="79" ht="47" customHeight="1">
      <x:c r="A79" s="4" t="str">
        <x:v>TC-075</x:v>
      </x:c>
      <x:c r="B79" s="4" t="str">
        <x:v>URJC-37</x:v>
      </x:c>
      <x:c r="C79" s="4" t="str">
        <x:v>ASIGNATURA</x:v>
      </x:c>
      <x:c r="D79" s="4" t="str">
        <x:v>CYO-21</x:v>
      </x:c>
      <x:c r="E79" s="4" t="str">
        <x:v>Gobierno; estrategia; regulación; políticas y controles.</x:v>
      </x:c>
      <x:c r="F79" s="4" t="str">
        <x:v>Definir y valorar gobierno de seguridad en su contexto.</x:v>
      </x:c>
      <x:c r="G79" s="4" t="str">
        <x:v>Sin esta base puede faltar capacidad para comprender o justificar el juicio exigido por CYO-21.</x:v>
      </x:c>
      <x:c r="H79" s="4" t="str">
        <x:v>R037</x:v>
      </x:c>
      <x:c r="I79" s="4" t="str">
        <x:v>II; III (códigos); IV; actividad académica según guía</x:v>
      </x:c>
      <x:c r="J79" s="4" t="str">
        <x:v>ANCLA EDUCATIVA; ENLACE PROPUESTO</x:v>
      </x:c>
      <x:c r="K79" s="12" t="n">
        <x:f>IF(OR(D79="TRANSVERSAL",D79="RESERVA",COUNTIF('26_Mapa_universos'!$A$5:$A$33,D79)=1),0,1)</x:f>
        <x:v>0</x:v>
      </x:c>
      <x:c r="L79" s="12" t="n">
        <x:f>IF(COUNTIF('21_Fuentes_educativas'!$A$5:$A$188,H79)+COUNTIF('01_Fuentes'!$A$5:$A$40,H79)=1,0,1)</x:f>
        <x:v>0</x:v>
      </x:c>
    </x:row>
    <x:row r="80" ht="47" customHeight="1">
      <x:c r="A80" s="4" t="str">
        <x:v>TC-076</x:v>
      </x:c>
      <x:c r="B80" s="4" t="str">
        <x:v>URJC-37</x:v>
      </x:c>
      <x:c r="C80" s="4" t="str">
        <x:v>ASIGNATURA</x:v>
      </x:c>
      <x:c r="D80" s="4" t="str">
        <x:v>CYO-29</x:v>
      </x:c>
      <x:c r="E80" s="4" t="str">
        <x:v>Gobierno; estrategia; regulación; políticas y controles.</x:v>
      </x:c>
      <x:c r="F80" s="4" t="str">
        <x:v>Definir y valorar gobierno de seguridad en su contexto.</x:v>
      </x:c>
      <x:c r="G80" s="4" t="str">
        <x:v>Sin esta base puede faltar capacidad para comprender o justificar el juicio exigido por CYO-29.</x:v>
      </x:c>
      <x:c r="H80" s="4" t="str">
        <x:v>R037</x:v>
      </x:c>
      <x:c r="I80" s="4" t="str">
        <x:v>II; III (códigos); IV; actividad académica según guía</x:v>
      </x:c>
      <x:c r="J80" s="4" t="str">
        <x:v>ANCLA EDUCATIVA; ENLACE PROPUESTO</x:v>
      </x:c>
      <x:c r="K80" s="12" t="n">
        <x:f>IF(OR(D80="TRANSVERSAL",D80="RESERVA",COUNTIF('26_Mapa_universos'!$A$5:$A$33,D80)=1),0,1)</x:f>
        <x:v>0</x:v>
      </x:c>
      <x:c r="L80" s="12" t="n">
        <x:f>IF(COUNTIF('21_Fuentes_educativas'!$A$5:$A$188,H80)+COUNTIF('01_Fuentes'!$A$5:$A$40,H80)=1,0,1)</x:f>
        <x:v>0</x:v>
      </x:c>
    </x:row>
    <x:row r="81" ht="47" customHeight="1">
      <x:c r="A81" s="4" t="str">
        <x:v>TC-077</x:v>
      </x:c>
      <x:c r="B81" s="4" t="str">
        <x:v>URJC-38</x:v>
      </x:c>
      <x:c r="C81" s="4" t="str">
        <x:v>ASIGNATURA</x:v>
      </x:c>
      <x:c r="D81" s="4" t="str">
        <x:v>CYO-22</x:v>
      </x:c>
      <x:c r="E81" s="4" t="str">
        <x:v>Aplicación tutelada, responsabilidad y adaptación al contexto profesional.</x:v>
      </x:c>
      <x:c r="F81" s="4" t="str">
        <x:v>Integrar conocimientos, resolver problemas y documentar la actuación.</x:v>
      </x:c>
      <x:c r="G81" s="4" t="str">
        <x:v>Sin esta base puede faltar capacidad para comprender o justificar el juicio exigido por CYO-22.</x:v>
      </x:c>
      <x:c r="H81" s="4" t="str">
        <x:v>R038</x:v>
      </x:c>
      <x:c r="I81" s="4" t="str">
        <x:v>II; III (códigos); IV; VII.A para prácticas/TFG</x:v>
      </x:c>
      <x:c r="J81" s="4" t="str">
        <x:v>ANCLA EDUCATIVA; ENLACE PROPUESTO</x:v>
      </x:c>
      <x:c r="K81" s="12" t="n">
        <x:f>IF(OR(D81="TRANSVERSAL",D81="RESERVA",COUNTIF('26_Mapa_universos'!$A$5:$A$33,D81)=1),0,1)</x:f>
        <x:v>0</x:v>
      </x:c>
      <x:c r="L81" s="12" t="n">
        <x:f>IF(COUNTIF('21_Fuentes_educativas'!$A$5:$A$188,H81)+COUNTIF('01_Fuentes'!$A$5:$A$40,H81)=1,0,1)</x:f>
        <x:v>0</x:v>
      </x:c>
    </x:row>
    <x:row r="82" ht="47" customHeight="1">
      <x:c r="A82" s="4" t="str">
        <x:v>TC-078</x:v>
      </x:c>
      <x:c r="B82" s="4" t="str">
        <x:v>URJC-39</x:v>
      </x:c>
      <x:c r="C82" s="4" t="str">
        <x:v>ASIGNATURA</x:v>
      </x:c>
      <x:c r="D82" s="4" t="str">
        <x:v>TRANSVERSAL</x:v>
      </x:c>
      <x:c r="E82" s="4" t="str">
        <x:v>Participación universitaria reconocida académicamente.</x:v>
      </x:c>
      <x:c r="F82" s="4" t="str">
        <x:v>Contribuir a actividades transversales acreditables.</x:v>
      </x:c>
      <x:c r="G82" s="4" t="str">
        <x:v>Formación transversal identificada; no se adjudica una capacidad técnica específica ni un nuevo universo.</x:v>
      </x:c>
      <x:c r="H82" s="4" t="str">
        <x:v>R039</x:v>
      </x:c>
      <x:c r="I82" s="4" t="str">
        <x:v>II; III (códigos); IV; actividad académica según guía</x:v>
      </x:c>
      <x:c r="J82" s="4" t="str">
        <x:v>ANCLA EDUCATIVA; ENLACE PROPUESTO</x:v>
      </x:c>
      <x:c r="K82" s="12" t="n">
        <x:f>IF(OR(D82="TRANSVERSAL",D82="RESERVA",COUNTIF('26_Mapa_universos'!$A$5:$A$33,D82)=1),0,1)</x:f>
        <x:v>0</x:v>
      </x:c>
      <x:c r="L82" s="12" t="n">
        <x:f>IF(COUNTIF('21_Fuentes_educativas'!$A$5:$A$188,H82)+COUNTIF('01_Fuentes'!$A$5:$A$40,H82)=1,0,1)</x:f>
        <x:v>0</x:v>
      </x:c>
    </x:row>
    <x:row r="83" ht="47" customHeight="1">
      <x:c r="A83" s="4" t="str">
        <x:v>TC-079</x:v>
      </x:c>
      <x:c r="B83" s="4" t="str">
        <x:v>URJC-40</x:v>
      </x:c>
      <x:c r="C83" s="4" t="str">
        <x:v>ASIGNATURA</x:v>
      </x:c>
      <x:c r="D83" s="4" t="str">
        <x:v>CYO-18</x:v>
      </x:c>
      <x:c r="E83" s="4" t="str">
        <x:v>Integración, interpretación de datos, juicio ético y comunicación mediante un trabajo final.</x:v>
      </x:c>
      <x:c r="F83" s="4" t="str">
        <x:v>Plantear y defender un proyecto; discutir resultados y conclusiones con el tutor.</x:v>
      </x:c>
      <x:c r="G83" s="4" t="str">
        <x:v>Sin esta base puede faltar capacidad para comprender o justificar el juicio exigido por CYO-18.</x:v>
      </x:c>
      <x:c r="H83" s="4" t="str">
        <x:v>R040</x:v>
      </x:c>
      <x:c r="I83" s="4" t="str">
        <x:v>II; III (códigos); IV; VII.A para prácticas/TFG</x:v>
      </x:c>
      <x:c r="J83" s="4" t="str">
        <x:v>ANCLA EDUCATIVA; ENLACE PROPUESTO</x:v>
      </x:c>
      <x:c r="K83" s="12" t="n">
        <x:f>IF(OR(D83="TRANSVERSAL",D83="RESERVA",COUNTIF('26_Mapa_universos'!$A$5:$A$33,D83)=1),0,1)</x:f>
        <x:v>0</x:v>
      </x:c>
      <x:c r="L83" s="12" t="n">
        <x:f>IF(COUNTIF('21_Fuentes_educativas'!$A$5:$A$188,H83)+COUNTIF('01_Fuentes'!$A$5:$A$40,H83)=1,0,1)</x:f>
        <x:v>0</x:v>
      </x:c>
    </x:row>
    <x:row r="84" ht="47" customHeight="1">
      <x:c r="A84" s="4" t="str">
        <x:v>TC-080</x:v>
      </x:c>
      <x:c r="B84" s="4" t="str">
        <x:v>URJC-40</x:v>
      </x:c>
      <x:c r="C84" s="4" t="str">
        <x:v>ASIGNATURA</x:v>
      </x:c>
      <x:c r="D84" s="4" t="str">
        <x:v>CYO-19</x:v>
      </x:c>
      <x:c r="E84" s="4" t="str">
        <x:v>Integración, interpretación de datos, juicio ético y comunicación mediante un trabajo final.</x:v>
      </x:c>
      <x:c r="F84" s="4" t="str">
        <x:v>Plantear y defender un proyecto; discutir resultados y conclusiones con el tutor.</x:v>
      </x:c>
      <x:c r="G84" s="4" t="str">
        <x:v>Sin esta base puede faltar capacidad para comprender o justificar el juicio exigido por CYO-19.</x:v>
      </x:c>
      <x:c r="H84" s="4" t="str">
        <x:v>R040</x:v>
      </x:c>
      <x:c r="I84" s="4" t="str">
        <x:v>II; III (códigos); IV; VII.A para prácticas/TFG</x:v>
      </x:c>
      <x:c r="J84" s="4" t="str">
        <x:v>ANCLA EDUCATIVA; ENLACE PROPUESTO</x:v>
      </x:c>
      <x:c r="K84" s="12" t="n">
        <x:f>IF(OR(D84="TRANSVERSAL",D84="RESERVA",COUNTIF('26_Mapa_universos'!$A$5:$A$33,D84)=1),0,1)</x:f>
        <x:v>0</x:v>
      </x:c>
      <x:c r="L84" s="12" t="n">
        <x:f>IF(COUNTIF('21_Fuentes_educativas'!$A$5:$A$188,H84)+COUNTIF('01_Fuentes'!$A$5:$A$40,H84)=1,0,1)</x:f>
        <x:v>0</x:v>
      </x:c>
    </x:row>
    <x:row r="85" ht="47" customHeight="1">
      <x:c r="A85" s="4" t="str">
        <x:v>TC-081</x:v>
      </x:c>
      <x:c r="B85" s="4" t="str">
        <x:v>URJC-40</x:v>
      </x:c>
      <x:c r="C85" s="4" t="str">
        <x:v>ASIGNATURA</x:v>
      </x:c>
      <x:c r="D85" s="4" t="str">
        <x:v>CYO-22</x:v>
      </x:c>
      <x:c r="E85" s="4" t="str">
        <x:v>Integración, interpretación de datos, juicio ético y comunicación mediante un trabajo final.</x:v>
      </x:c>
      <x:c r="F85" s="4" t="str">
        <x:v>Plantear y defender un proyecto; discutir resultados y conclusiones con el tutor.</x:v>
      </x:c>
      <x:c r="G85" s="4" t="str">
        <x:v>Sin esta base puede faltar capacidad para comprender o justificar el juicio exigido por CYO-22.</x:v>
      </x:c>
      <x:c r="H85" s="4" t="str">
        <x:v>R040</x:v>
      </x:c>
      <x:c r="I85" s="4" t="str">
        <x:v>II; III (códigos); IV; VII.A para prácticas/TFG</x:v>
      </x:c>
      <x:c r="J85" s="4" t="str">
        <x:v>ANCLA EDUCATIVA; ENLACE PROPUESTO</x:v>
      </x:c>
      <x:c r="K85" s="12" t="n">
        <x:f>IF(OR(D85="TRANSVERSAL",D85="RESERVA",COUNTIF('26_Mapa_universos'!$A$5:$A$33,D85)=1),0,1)</x:f>
        <x:v>0</x:v>
      </x:c>
      <x:c r="L85" s="12" t="n">
        <x:f>IF(COUNTIF('21_Fuentes_educativas'!$A$5:$A$188,H85)+COUNTIF('01_Fuentes'!$A$5:$A$40,H85)=1,0,1)</x:f>
        <x:v>0</x:v>
      </x:c>
    </x:row>
    <x:row r="86" ht="47" customHeight="1">
      <x:c r="A86" s="4" t="str">
        <x:v>TC-082</x:v>
      </x:c>
      <x:c r="B86" s="4" t="str">
        <x:v>CE-01</x:v>
      </x:c>
      <x:c r="C86" s="4" t="str">
        <x:v>COMPLEMENTO</x:v>
      </x:c>
      <x:c r="D86" s="4" t="str">
        <x:v>CYO-23</x:v>
      </x:c>
      <x:c r="E86" s="4" t="str">
        <x:v>Preparación de datos y aprendizaje supervisado/no supervisado aplicado a amenazas.</x:v>
      </x:c>
      <x:c r="F86" s="4" t="str">
        <x:v>Interpretar características de logs o archivos y evaluar modelos en escenarios de ciberseguridad.</x:v>
      </x:c>
      <x:c r="G86" s="4" t="str">
        <x:v>La diferencia sólo se admite en el alcance justificado; evitar falsa cobertura por un título.</x:v>
      </x:c>
      <x:c r="H86" s="4" t="str">
        <x:v>M002</x:v>
      </x:c>
      <x:c r="I86" s="4" t="str">
        <x:v>CLO1–5; proyecto 35%, informe y presentación 35%, examen 30%.</x:v>
      </x:c>
      <x:c r="J86" s="4" t="str">
        <x:v>PROFUNDIZACIÓN PROPUESTA</x:v>
      </x:c>
      <x:c r="K86" s="12" t="n">
        <x:f>IF(OR(D86="TRANSVERSAL",D86="RESERVA",COUNTIF('26_Mapa_universos'!$A$5:$A$33,D86)=1),0,1)</x:f>
        <x:v>0</x:v>
      </x:c>
      <x:c r="L86" s="12" t="n">
        <x:f>IF(COUNTIF('21_Fuentes_educativas'!$A$5:$A$188,H86)+COUNTIF('01_Fuentes'!$A$5:$A$40,H86)=1,0,1)</x:f>
        <x:v>0</x:v>
      </x:c>
    </x:row>
    <x:row r="87" ht="47" customHeight="1">
      <x:c r="A87" s="4" t="str">
        <x:v>TC-083</x:v>
      </x:c>
      <x:c r="B87" s="4" t="str">
        <x:v>CE-01</x:v>
      </x:c>
      <x:c r="C87" s="4" t="str">
        <x:v>COMPLEMENTO</x:v>
      </x:c>
      <x:c r="D87" s="4" t="str">
        <x:v>CYO-27</x:v>
      </x:c>
      <x:c r="E87" s="4" t="str">
        <x:v>Preparación de datos y aprendizaje supervisado/no supervisado aplicado a amenazas.</x:v>
      </x:c>
      <x:c r="F87" s="4" t="str">
        <x:v>Interpretar características de logs o archivos y evaluar modelos en escenarios de ciberseguridad.</x:v>
      </x:c>
      <x:c r="G87" s="4" t="str">
        <x:v>La diferencia sólo se admite en el alcance justificado; evitar falsa cobertura por un título.</x:v>
      </x:c>
      <x:c r="H87" s="4" t="str">
        <x:v>M002</x:v>
      </x:c>
      <x:c r="I87" s="4" t="str">
        <x:v>CLO1–5; proyecto 35%, informe y presentación 35%, examen 30%.</x:v>
      </x:c>
      <x:c r="J87" s="4" t="str">
        <x:v>PROFUNDIZACIÓN PROPUESTA</x:v>
      </x:c>
      <x:c r="K87" s="12" t="n">
        <x:f>IF(OR(D87="TRANSVERSAL",D87="RESERVA",COUNTIF('26_Mapa_universos'!$A$5:$A$33,D87)=1),0,1)</x:f>
        <x:v>0</x:v>
      </x:c>
      <x:c r="L87" s="12" t="n">
        <x:f>IF(COUNTIF('21_Fuentes_educativas'!$A$5:$A$188,H87)+COUNTIF('01_Fuentes'!$A$5:$A$40,H87)=1,0,1)</x:f>
        <x:v>0</x:v>
      </x:c>
    </x:row>
    <x:row r="88" ht="47" customHeight="1">
      <x:c r="A88" s="4" t="str">
        <x:v>TC-084</x:v>
      </x:c>
      <x:c r="B88" s="4" t="str">
        <x:v>CE-02</x:v>
      </x:c>
      <x:c r="C88" s="4" t="str">
        <x:v>COMPLEMENTO</x:v>
      </x:c>
      <x:c r="D88" s="4" t="str">
        <x:v>CYO-23</x:v>
      </x:c>
      <x:c r="E88" s="4" t="str">
        <x:v>Redes neuronales y desarrollo de procesos completos de aprendizaje profundo.</x:v>
      </x:c>
      <x:c r="F88" s="4" t="str">
        <x:v>Evaluar rendimiento, recursos, escalabilidad y riesgos de modelos en datos de seguridad.</x:v>
      </x:c>
      <x:c r="G88" s="4" t="str">
        <x:v>La diferencia sólo se admite en el alcance justificado; evitar falsa cobertura por un título.</x:v>
      </x:c>
      <x:c r="H88" s="4" t="str">
        <x:v>M004</x:v>
      </x:c>
      <x:c r="I88" s="4" t="str">
        <x:v>CLO1–5; laboratorio 30%, casos 30%, evaluación final 40%.</x:v>
      </x:c>
      <x:c r="J88" s="4" t="str">
        <x:v>PROFUNDIZACIÓN PROPUESTA</x:v>
      </x:c>
      <x:c r="K88" s="12" t="n">
        <x:f>IF(OR(D88="TRANSVERSAL",D88="RESERVA",COUNTIF('26_Mapa_universos'!$A$5:$A$33,D88)=1),0,1)</x:f>
        <x:v>0</x:v>
      </x:c>
      <x:c r="L88" s="12" t="n">
        <x:f>IF(COUNTIF('21_Fuentes_educativas'!$A$5:$A$188,H88)+COUNTIF('01_Fuentes'!$A$5:$A$40,H88)=1,0,1)</x:f>
        <x:v>0</x:v>
      </x:c>
    </x:row>
    <x:row r="89" ht="47" customHeight="1">
      <x:c r="A89" s="4" t="str">
        <x:v>TC-085</x:v>
      </x:c>
      <x:c r="B89" s="4" t="str">
        <x:v>CE-03</x:v>
      </x:c>
      <x:c r="C89" s="4" t="str">
        <x:v>COMPLEMENTO</x:v>
      </x:c>
      <x:c r="D89" s="4" t="str">
        <x:v>CYO-15</x:v>
      </x:c>
      <x:c r="E89" s="4" t="str">
        <x:v>Aprendizaje adversarial, explicabilidad, generalización y robustez.</x:v>
      </x:c>
      <x:c r="F89" s="4" t="str">
        <x:v>Evaluar y mitigar ataques contra modelos; justificar límites éticos y técnicos.</x:v>
      </x:c>
      <x:c r="G89" s="4" t="str">
        <x:v>La diferencia sólo se admite en el alcance justificado; evitar falsa cobertura por un título.</x:v>
      </x:c>
      <x:c r="H89" s="4" t="str">
        <x:v>M003</x:v>
      </x:c>
      <x:c r="I89" s="4" t="str">
        <x:v>CLO1–5; casos/presentación 20%, laboratorio 40%, evaluación final 40%.</x:v>
      </x:c>
      <x:c r="J89" s="4" t="str">
        <x:v>PROFUNDIZACIÓN PROPUESTA</x:v>
      </x:c>
      <x:c r="K89" s="12" t="n">
        <x:f>IF(OR(D89="TRANSVERSAL",D89="RESERVA",COUNTIF('26_Mapa_universos'!$A$5:$A$33,D89)=1),0,1)</x:f>
        <x:v>0</x:v>
      </x:c>
      <x:c r="L89" s="12" t="n">
        <x:f>IF(COUNTIF('21_Fuentes_educativas'!$A$5:$A$188,H89)+COUNTIF('01_Fuentes'!$A$5:$A$40,H89)=1,0,1)</x:f>
        <x:v>0</x:v>
      </x:c>
    </x:row>
    <x:row r="90" ht="47" customHeight="1">
      <x:c r="A90" s="4" t="str">
        <x:v>TC-086</x:v>
      </x:c>
      <x:c r="B90" s="4" t="str">
        <x:v>CE-03</x:v>
      </x:c>
      <x:c r="C90" s="4" t="str">
        <x:v>COMPLEMENTO</x:v>
      </x:c>
      <x:c r="D90" s="4" t="str">
        <x:v>CYO-23</x:v>
      </x:c>
      <x:c r="E90" s="4" t="str">
        <x:v>Aprendizaje adversarial, explicabilidad, generalización y robustez.</x:v>
      </x:c>
      <x:c r="F90" s="4" t="str">
        <x:v>Evaluar y mitigar ataques contra modelos; justificar límites éticos y técnicos.</x:v>
      </x:c>
      <x:c r="G90" s="4" t="str">
        <x:v>La diferencia sólo se admite en el alcance justificado; evitar falsa cobertura por un título.</x:v>
      </x:c>
      <x:c r="H90" s="4" t="str">
        <x:v>M003</x:v>
      </x:c>
      <x:c r="I90" s="4" t="str">
        <x:v>CLO1–5; casos/presentación 20%, laboratorio 40%, evaluación final 40%.</x:v>
      </x:c>
      <x:c r="J90" s="4" t="str">
        <x:v>PROFUNDIZACIÓN PROPUESTA</x:v>
      </x:c>
      <x:c r="K90" s="12" t="n">
        <x:f>IF(OR(D90="TRANSVERSAL",D90="RESERVA",COUNTIF('26_Mapa_universos'!$A$5:$A$33,D90)=1),0,1)</x:f>
        <x:v>0</x:v>
      </x:c>
      <x:c r="L90" s="12" t="n">
        <x:f>IF(COUNTIF('21_Fuentes_educativas'!$A$5:$A$188,H90)+COUNTIF('01_Fuentes'!$A$5:$A$40,H90)=1,0,1)</x:f>
        <x:v>0</x:v>
      </x:c>
    </x:row>
    <x:row r="91" ht="47" customHeight="1">
      <x:c r="A91" s="4" t="str">
        <x:v>TC-087</x:v>
      </x:c>
      <x:c r="B91" s="4" t="str">
        <x:v>CE-03</x:v>
      </x:c>
      <x:c r="C91" s="4" t="str">
        <x:v>COMPLEMENTO</x:v>
      </x:c>
      <x:c r="D91" s="4" t="str">
        <x:v>CYO-29</x:v>
      </x:c>
      <x:c r="E91" s="4" t="str">
        <x:v>Aprendizaje adversarial, explicabilidad, generalización y robustez.</x:v>
      </x:c>
      <x:c r="F91" s="4" t="str">
        <x:v>Evaluar y mitigar ataques contra modelos; justificar límites éticos y técnicos.</x:v>
      </x:c>
      <x:c r="G91" s="4" t="str">
        <x:v>La diferencia sólo se admite en el alcance justificado; evitar falsa cobertura por un título.</x:v>
      </x:c>
      <x:c r="H91" s="4" t="str">
        <x:v>M003</x:v>
      </x:c>
      <x:c r="I91" s="4" t="str">
        <x:v>CLO1–5; casos/presentación 20%, laboratorio 40%, evaluación final 40%.</x:v>
      </x:c>
      <x:c r="J91" s="4" t="str">
        <x:v>PROFUNDIZACIÓN PROPUESTA</x:v>
      </x:c>
      <x:c r="K91" s="12" t="n">
        <x:f>IF(OR(D91="TRANSVERSAL",D91="RESERVA",COUNTIF('26_Mapa_universos'!$A$5:$A$33,D91)=1),0,1)</x:f>
        <x:v>0</x:v>
      </x:c>
      <x:c r="L91" s="12" t="n">
        <x:f>IF(COUNTIF('21_Fuentes_educativas'!$A$5:$A$188,H91)+COUNTIF('01_Fuentes'!$A$5:$A$40,H91)=1,0,1)</x:f>
        <x:v>0</x:v>
      </x:c>
    </x:row>
    <x:row r="92" ht="47" customHeight="1">
      <x:c r="A92" s="4" t="str">
        <x:v>TC-088</x:v>
      </x:c>
      <x:c r="B92" s="4" t="str">
        <x:v>CE-04</x:v>
      </x:c>
      <x:c r="C92" s="4" t="str">
        <x:v>COMPLEMENTO</x:v>
      </x:c>
      <x:c r="D92" s="4" t="str">
        <x:v>CYO-19</x:v>
      </x:c>
      <x:c r="E92" s="4" t="str">
        <x:v>Proyecto profesional con reflexión y revisión de decisiones.</x:v>
      </x:c>
      <x:c r="F92" s="4" t="str">
        <x:v>Presentar alcance, justificar cambios, evaluar limitaciones y explicar la contribución individual.</x:v>
      </x:c>
      <x:c r="G92" s="4" t="str">
        <x:v>La diferencia sólo se admite en el alcance justificado; evitar falsa cobertura por un título.</x:v>
      </x:c>
      <x:c r="H92" s="4" t="str">
        <x:v>M001</x:v>
      </x:c>
      <x:c r="I92" s="4" t="str">
        <x:v>CLO1–6; desarrollo 40%, progreso 10%, informe 30%, portafolio 20%.</x:v>
      </x:c>
      <x:c r="J92" s="4" t="str">
        <x:v>REFUERZO DEL MÉTODO PROPUESTO</x:v>
      </x:c>
      <x:c r="K92" s="12" t="n">
        <x:f>IF(OR(D92="TRANSVERSAL",D92="RESERVA",COUNTIF('26_Mapa_universos'!$A$5:$A$33,D92)=1),0,1)</x:f>
        <x:v>0</x:v>
      </x:c>
      <x:c r="L92" s="12" t="n">
        <x:f>IF(COUNTIF('21_Fuentes_educativas'!$A$5:$A$188,H92)+COUNTIF('01_Fuentes'!$A$5:$A$40,H92)=1,0,1)</x:f>
        <x:v>0</x:v>
      </x:c>
    </x:row>
    <x:row r="93" ht="47" customHeight="1">
      <x:c r="A93" s="4" t="str">
        <x:v>TC-089</x:v>
      </x:c>
      <x:c r="B93" s="4" t="str">
        <x:v>CE-04</x:v>
      </x:c>
      <x:c r="C93" s="4" t="str">
        <x:v>COMPLEMENTO</x:v>
      </x:c>
      <x:c r="D93" s="4" t="str">
        <x:v>CYO-22</x:v>
      </x:c>
      <x:c r="E93" s="4" t="str">
        <x:v>Proyecto profesional con reflexión y revisión de decisiones.</x:v>
      </x:c>
      <x:c r="F93" s="4" t="str">
        <x:v>Presentar alcance, justificar cambios, evaluar limitaciones y explicar la contribución individual.</x:v>
      </x:c>
      <x:c r="G93" s="4" t="str">
        <x:v>La diferencia sólo se admite en el alcance justificado; evitar falsa cobertura por un título.</x:v>
      </x:c>
      <x:c r="H93" s="4" t="str">
        <x:v>M001</x:v>
      </x:c>
      <x:c r="I93" s="4" t="str">
        <x:v>CLO1–6; desarrollo 40%, progreso 10%, informe 30%, portafolio 20%.</x:v>
      </x:c>
      <x:c r="J93" s="4" t="str">
        <x:v>REFUERZO DEL MÉTODO PROPUESTO</x:v>
      </x:c>
      <x:c r="K93" s="12" t="n">
        <x:f>IF(OR(D93="TRANSVERSAL",D93="RESERVA",COUNTIF('26_Mapa_universos'!$A$5:$A$33,D93)=1),0,1)</x:f>
        <x:v>0</x:v>
      </x:c>
      <x:c r="L93" s="12" t="n">
        <x:f>IF(COUNTIF('21_Fuentes_educativas'!$A$5:$A$188,H93)+COUNTIF('01_Fuentes'!$A$5:$A$40,H93)=1,0,1)</x:f>
        <x:v>0</x:v>
      </x:c>
    </x:row>
    <x:row r="94" ht="47" customHeight="1">
      <x:c r="A94" s="4" t="str">
        <x:v>TC-090</x:v>
      </x:c>
      <x:c r="B94" s="4" t="str">
        <x:v>CE-05</x:v>
      </x:c>
      <x:c r="C94" s="4" t="str">
        <x:v>COMPLEMENTO</x:v>
      </x:c>
      <x:c r="D94" s="4" t="str">
        <x:v>CYO-03</x:v>
      </x:c>
      <x:c r="E94" s="4" t="str">
        <x:v>Usabilidad de mecanismos de seguridad; factores individuales, organizativos y sociales.</x:v>
      </x:c>
      <x:c r="F94" s="4" t="str">
        <x:v>Evaluar consecuencias del comportamiento y diseñar controles utilizables.</x:v>
      </x:c>
      <x:c r="G94" s="4" t="str">
        <x:v>La diferencia sólo se admite en el alcance justificado; evitar falsa cobertura por un título.</x:v>
      </x:c>
      <x:c r="H94" s="4" t="str">
        <x:v>W010</x:v>
      </x:c>
      <x:c r="I94" s="4" t="str">
        <x:v>Learning outcomes; evaluación de criterios de usabilidad y factores humanos.</x:v>
      </x:c>
      <x:c r="J94" s="4" t="str">
        <x:v>PROFUNDIZACIÓN PROPUESTA</x:v>
      </x:c>
      <x:c r="K94" s="12" t="n">
        <x:f>IF(OR(D94="TRANSVERSAL",D94="RESERVA",COUNTIF('26_Mapa_universos'!$A$5:$A$33,D94)=1),0,1)</x:f>
        <x:v>0</x:v>
      </x:c>
      <x:c r="L94" s="12" t="n">
        <x:f>IF(COUNTIF('21_Fuentes_educativas'!$A$5:$A$188,H94)+COUNTIF('01_Fuentes'!$A$5:$A$40,H94)=1,0,1)</x:f>
        <x:v>0</x:v>
      </x:c>
    </x:row>
    <x:row r="95" ht="47" customHeight="1">
      <x:c r="A95" s="4" t="str">
        <x:v>TC-091</x:v>
      </x:c>
      <x:c r="B95" s="4" t="str">
        <x:v>CE-05</x:v>
      </x:c>
      <x:c r="C95" s="4" t="str">
        <x:v>COMPLEMENTO</x:v>
      </x:c>
      <x:c r="D95" s="4" t="str">
        <x:v>CYO-18</x:v>
      </x:c>
      <x:c r="E95" s="4" t="str">
        <x:v>Usabilidad de mecanismos de seguridad; factores individuales, organizativos y sociales.</x:v>
      </x:c>
      <x:c r="F95" s="4" t="str">
        <x:v>Evaluar consecuencias del comportamiento y diseñar controles utilizables.</x:v>
      </x:c>
      <x:c r="G95" s="4" t="str">
        <x:v>La diferencia sólo se admite en el alcance justificado; evitar falsa cobertura por un título.</x:v>
      </x:c>
      <x:c r="H95" s="4" t="str">
        <x:v>W010</x:v>
      </x:c>
      <x:c r="I95" s="4" t="str">
        <x:v>Learning outcomes; evaluación de criterios de usabilidad y factores humanos.</x:v>
      </x:c>
      <x:c r="J95" s="4" t="str">
        <x:v>PROFUNDIZACIÓN PROPUESTA</x:v>
      </x:c>
      <x:c r="K95" s="12" t="n">
        <x:f>IF(OR(D95="TRANSVERSAL",D95="RESERVA",COUNTIF('26_Mapa_universos'!$A$5:$A$33,D95)=1),0,1)</x:f>
        <x:v>0</x:v>
      </x:c>
      <x:c r="L95" s="12" t="n">
        <x:f>IF(COUNTIF('21_Fuentes_educativas'!$A$5:$A$188,H95)+COUNTIF('01_Fuentes'!$A$5:$A$40,H95)=1,0,1)</x:f>
        <x:v>0</x:v>
      </x:c>
    </x:row>
    <x:row r="96" ht="47" customHeight="1">
      <x:c r="A96" s="4" t="str">
        <x:v>TC-092</x:v>
      </x:c>
      <x:c r="B96" s="4" t="str">
        <x:v>CE-05</x:v>
      </x:c>
      <x:c r="C96" s="4" t="str">
        <x:v>COMPLEMENTO</x:v>
      </x:c>
      <x:c r="D96" s="4" t="str">
        <x:v>CYO-22</x:v>
      </x:c>
      <x:c r="E96" s="4" t="str">
        <x:v>Usabilidad de mecanismos de seguridad; factores individuales, organizativos y sociales.</x:v>
      </x:c>
      <x:c r="F96" s="4" t="str">
        <x:v>Evaluar consecuencias del comportamiento y diseñar controles utilizables.</x:v>
      </x:c>
      <x:c r="G96" s="4" t="str">
        <x:v>La diferencia sólo se admite en el alcance justificado; evitar falsa cobertura por un título.</x:v>
      </x:c>
      <x:c r="H96" s="4" t="str">
        <x:v>W010</x:v>
      </x:c>
      <x:c r="I96" s="4" t="str">
        <x:v>Learning outcomes; evaluación de criterios de usabilidad y factores humanos.</x:v>
      </x:c>
      <x:c r="J96" s="4" t="str">
        <x:v>PROFUNDIZACIÓN PROPUESTA</x:v>
      </x:c>
      <x:c r="K96" s="12" t="n">
        <x:f>IF(OR(D96="TRANSVERSAL",D96="RESERVA",COUNTIF('26_Mapa_universos'!$A$5:$A$33,D96)=1),0,1)</x:f>
        <x:v>0</x:v>
      </x:c>
      <x:c r="L96" s="12" t="n">
        <x:f>IF(COUNTIF('21_Fuentes_educativas'!$A$5:$A$188,H96)+COUNTIF('01_Fuentes'!$A$5:$A$40,H96)=1,0,1)</x:f>
        <x:v>0</x:v>
      </x:c>
    </x:row>
    <x:row r="97" ht="47" customHeight="1">
      <x:c r="A97" s="4" t="str">
        <x:v>TC-093</x:v>
      </x:c>
      <x:c r="B97" s="4" t="str">
        <x:v>CE-05</x:v>
      </x:c>
      <x:c r="C97" s="4" t="str">
        <x:v>COMPLEMENTO</x:v>
      </x:c>
      <x:c r="D97" s="4" t="str">
        <x:v>CYO-29</x:v>
      </x:c>
      <x:c r="E97" s="4" t="str">
        <x:v>Usabilidad de mecanismos de seguridad; factores individuales, organizativos y sociales.</x:v>
      </x:c>
      <x:c r="F97" s="4" t="str">
        <x:v>Evaluar consecuencias del comportamiento y diseñar controles utilizables.</x:v>
      </x:c>
      <x:c r="G97" s="4" t="str">
        <x:v>La diferencia sólo se admite en el alcance justificado; evitar falsa cobertura por un título.</x:v>
      </x:c>
      <x:c r="H97" s="4" t="str">
        <x:v>W010</x:v>
      </x:c>
      <x:c r="I97" s="4" t="str">
        <x:v>Learning outcomes; evaluación de criterios de usabilidad y factores humanos.</x:v>
      </x:c>
      <x:c r="J97" s="4" t="str">
        <x:v>PROFUNDIZACIÓN PROPUESTA</x:v>
      </x:c>
      <x:c r="K97" s="12" t="n">
        <x:f>IF(OR(D97="TRANSVERSAL",D97="RESERVA",COUNTIF('26_Mapa_universos'!$A$5:$A$33,D97)=1),0,1)</x:f>
        <x:v>0</x:v>
      </x:c>
      <x:c r="L97" s="12" t="n">
        <x:f>IF(COUNTIF('21_Fuentes_educativas'!$A$5:$A$188,H97)+COUNTIF('01_Fuentes'!$A$5:$A$40,H97)=1,0,1)</x:f>
        <x:v>0</x:v>
      </x:c>
    </x:row>
    <x:row r="98" ht="47" customHeight="1">
      <x:c r="A98" s="4" t="str">
        <x:v>TC-094</x:v>
      </x:c>
      <x:c r="B98" s="4" t="str">
        <x:v>CE-06</x:v>
      </x:c>
      <x:c r="C98" s="4" t="str">
        <x:v>COMPLEMENTO</x:v>
      </x:c>
      <x:c r="D98" s="4" t="str">
        <x:v>CYO-01</x:v>
      </x:c>
      <x:c r="E98" s="4" t="str">
        <x:v>Coherencia de gestión de seguridad y consecuencias de gestión inadecuada del riesgo.</x:v>
      </x:c>
      <x:c r="F98" s="4" t="str">
        <x:v>Analizar efectos organizativos y justificar mejoras.</x:v>
      </x:c>
      <x:c r="G98" s="4" t="str">
        <x:v>La diferencia sólo se admite en el alcance justificado; evitar falsa cobertura por un título.</x:v>
      </x:c>
      <x:c r="H98" s="4" t="str">
        <x:v>W014</x:v>
      </x:c>
      <x:c r="I98" s="4" t="str">
        <x:v>Learning outcomes.</x:v>
      </x:c>
      <x:c r="J98" s="4" t="str">
        <x:v>CONTRASTE; NO NUEVO VACÍO DEMOSTRADO</x:v>
      </x:c>
      <x:c r="K98" s="12" t="n">
        <x:f>IF(OR(D98="TRANSVERSAL",D98="RESERVA",COUNTIF('26_Mapa_universos'!$A$5:$A$33,D98)=1),0,1)</x:f>
        <x:v>0</x:v>
      </x:c>
      <x:c r="L98" s="12" t="n">
        <x:f>IF(COUNTIF('21_Fuentes_educativas'!$A$5:$A$188,H98)+COUNTIF('01_Fuentes'!$A$5:$A$40,H98)=1,0,1)</x:f>
        <x:v>0</x:v>
      </x:c>
    </x:row>
    <x:row r="99" ht="47" customHeight="1">
      <x:c r="A99" s="4" t="str">
        <x:v>TC-095</x:v>
      </x:c>
      <x:c r="B99" s="4" t="str">
        <x:v>CE-07</x:v>
      </x:c>
      <x:c r="C99" s="4" t="str">
        <x:v>COMPLEMENTO</x:v>
      </x:c>
      <x:c r="D99" s="4" t="str">
        <x:v>CYO-19</x:v>
      </x:c>
      <x:c r="E99" s="4" t="str">
        <x:v>Evaluación crítica de investigación, método y comunicación.</x:v>
      </x:c>
      <x:c r="F99" s="4" t="str">
        <x:v>Justificar el método para una pregunta y comunicar sus límites.</x:v>
      </x:c>
      <x:c r="G99" s="4" t="str">
        <x:v>La diferencia sólo se admite en el alcance justificado; evitar falsa cobertura por un título.</x:v>
      </x:c>
      <x:c r="H99" s="4" t="str">
        <x:v>W016</x:v>
      </x:c>
      <x:c r="I99" s="4" t="str">
        <x:v>Learning outcomes.</x:v>
      </x:c>
      <x:c r="J99" s="4" t="str">
        <x:v>REFUERZO DEL MÉTODO PROPUESTO</x:v>
      </x:c>
      <x:c r="K99" s="12" t="n">
        <x:f>IF(OR(D99="TRANSVERSAL",D99="RESERVA",COUNTIF('26_Mapa_universos'!$A$5:$A$33,D99)=1),0,1)</x:f>
        <x:v>0</x:v>
      </x:c>
      <x:c r="L99" s="12" t="n">
        <x:f>IF(COUNTIF('21_Fuentes_educativas'!$A$5:$A$188,H99)+COUNTIF('01_Fuentes'!$A$5:$A$40,H99)=1,0,1)</x:f>
        <x:v>0</x:v>
      </x:c>
    </x:row>
    <x:row r="100" ht="47" customHeight="1">
      <x:c r="A100" s="4" t="str">
        <x:v>TC-096</x:v>
      </x:c>
      <x:c r="B100" s="4" t="str">
        <x:v>CE-08</x:v>
      </x:c>
      <x:c r="C100" s="4" t="str">
        <x:v>COMPLEMENTO</x:v>
      </x:c>
      <x:c r="D100" s="4" t="str">
        <x:v>CYO-28</x:v>
      </x:c>
      <x:c r="E100" s="4" t="str">
        <x:v>Monitorización y búsqueda de adversarios que eluden defensas.</x:v>
      </x:c>
      <x:c r="F100" s="4" t="str">
        <x:v>Examinar actividad y activos para investigar amenazas no detenidas por los controles.</x:v>
      </x:c>
      <x:c r="G100" s="4" t="str">
        <x:v>La diferencia sólo se admite en el alcance justificado; evitar falsa cobertura por un título.</x:v>
      </x:c>
      <x:c r="H100" s="4" t="str">
        <x:v>G009</x:v>
      </x:c>
      <x:c r="I100" s="4" t="str">
        <x:v>Descripción oficial del curso; evaluación detallada no disponible en esta ficha.</x:v>
      </x:c>
      <x:c r="J100" s="4" t="str">
        <x:v>CONTRASTE; NO NUEVO VACÍO DEMOSTRADO</x:v>
      </x:c>
      <x:c r="K100" s="12" t="n">
        <x:f>IF(OR(D100="TRANSVERSAL",D100="RESERVA",COUNTIF('26_Mapa_universos'!$A$5:$A$33,D100)=1),0,1)</x:f>
        <x:v>0</x:v>
      </x:c>
      <x:c r="L100" s="12" t="n">
        <x:f>IF(COUNTIF('21_Fuentes_educativas'!$A$5:$A$188,H100)+COUNTIF('01_Fuentes'!$A$5:$A$40,H100)=1,0,1)</x:f>
        <x:v>0</x:v>
      </x:c>
    </x:row>
    <x:row r="101" ht="47" customHeight="1">
      <x:c r="A101" s="4" t="str">
        <x:v>TC-097</x:v>
      </x:c>
      <x:c r="B101" s="4" t="str">
        <x:v>CE-09</x:v>
      </x:c>
      <x:c r="C101" s="4" t="str">
        <x:v>COMPLEMENTO</x:v>
      </x:c>
      <x:c r="D101" s="4" t="str">
        <x:v>CYO-19</x:v>
      </x:c>
      <x:c r="E101" s="4" t="str">
        <x:v>Proyecto tutelado con informe y producto ante un problema emergente.</x:v>
      </x:c>
      <x:c r="F101" s="4" t="str">
        <x:v>Investigar y justificar una solución con evidencia.</x:v>
      </x:c>
      <x:c r="G101" s="4" t="str">
        <x:v>La diferencia sólo se admite en el alcance justificado; evitar falsa cobertura por un título.</x:v>
      </x:c>
      <x:c r="H101" s="4" t="str">
        <x:v>G007</x:v>
      </x:c>
      <x:c r="I101" s="4" t="str">
        <x:v>Descripción oficial del proyecto; opción, no requisito universal del máster.</x:v>
      </x:c>
      <x:c r="J101" s="4" t="str">
        <x:v>REFUERZO DEL MÉTODO PROPUESTO</x:v>
      </x:c>
      <x:c r="K101" s="12" t="n">
        <x:f>IF(OR(D101="TRANSVERSAL",D101="RESERVA",COUNTIF('26_Mapa_universos'!$A$5:$A$33,D101)=1),0,1)</x:f>
        <x:v>0</x:v>
      </x:c>
      <x:c r="L101" s="12" t="n">
        <x:f>IF(COUNTIF('21_Fuentes_educativas'!$A$5:$A$188,H101)+COUNTIF('01_Fuentes'!$A$5:$A$40,H101)=1,0,1)</x:f>
        <x:v>0</x:v>
      </x:c>
    </x:row>
    <x:row r="102" ht="47" customHeight="1">
      <x:c r="A102" s="4" t="str">
        <x:v>TC-098</x:v>
      </x:c>
      <x:c r="B102" s="4" t="str">
        <x:v>CE-09</x:v>
      </x:c>
      <x:c r="C102" s="4" t="str">
        <x:v>COMPLEMENTO</x:v>
      </x:c>
      <x:c r="D102" s="4" t="str">
        <x:v>CYO-22</x:v>
      </x:c>
      <x:c r="E102" s="4" t="str">
        <x:v>Proyecto tutelado con informe y producto ante un problema emergente.</x:v>
      </x:c>
      <x:c r="F102" s="4" t="str">
        <x:v>Investigar y justificar una solución con evidencia.</x:v>
      </x:c>
      <x:c r="G102" s="4" t="str">
        <x:v>La diferencia sólo se admite en el alcance justificado; evitar falsa cobertura por un título.</x:v>
      </x:c>
      <x:c r="H102" s="4" t="str">
        <x:v>G007</x:v>
      </x:c>
      <x:c r="I102" s="4" t="str">
        <x:v>Descripción oficial del proyecto; opción, no requisito universal del máster.</x:v>
      </x:c>
      <x:c r="J102" s="4" t="str">
        <x:v>REFUERZO DEL MÉTODO PROPUESTO</x:v>
      </x:c>
      <x:c r="K102" s="12" t="n">
        <x:f>IF(OR(D102="TRANSVERSAL",D102="RESERVA",COUNTIF('26_Mapa_universos'!$A$5:$A$33,D102)=1),0,1)</x:f>
        <x:v>0</x:v>
      </x:c>
      <x:c r="L102" s="12" t="n">
        <x:f>IF(COUNTIF('21_Fuentes_educativas'!$A$5:$A$188,H102)+COUNTIF('01_Fuentes'!$A$5:$A$40,H102)=1,0,1)</x:f>
        <x:v>0</x:v>
      </x:c>
    </x:row>
    <x:row r="103" ht="47" customHeight="1">
      <x:c r="A103" s="4" t="str">
        <x:v>TC-099</x:v>
      </x:c>
      <x:c r="B103" s="4" t="str">
        <x:v>CE-10</x:v>
      </x:c>
      <x:c r="C103" s="4" t="str">
        <x:v>COMPLEMENTO</x:v>
      </x:c>
      <x:c r="D103" s="4" t="str">
        <x:v>CYO-01</x:v>
      </x:c>
      <x:c r="E103" s="4" t="str">
        <x:v>Análisis económico como materia obligatoria.</x:v>
      </x:c>
      <x:c r="F103" s="4" t="str">
        <x:v>No se adjudica resultado específico sin guía detallada.</x:v>
      </x:c>
      <x:c r="G103" s="4" t="str">
        <x:v>La diferencia sólo se admite en el alcance justificado; evitar falsa cobertura por un título.</x:v>
      </x:c>
      <x:c r="H103" s="4" t="str">
        <x:v>E008</x:v>
      </x:c>
      <x:c r="I103" s="4" t="str">
        <x:v>Manual §4.2, p. 5.</x:v>
      </x:c>
      <x:c r="J103" s="4" t="str">
        <x:v>IDENTIFICADO; GUÍA DETALLADA PENDIENTE</x:v>
      </x:c>
      <x:c r="K103" s="12" t="n">
        <x:f>IF(OR(D103="TRANSVERSAL",D103="RESERVA",COUNTIF('26_Mapa_universos'!$A$5:$A$33,D103)=1),0,1)</x:f>
        <x:v>0</x:v>
      </x:c>
      <x:c r="L103" s="12" t="n">
        <x:f>IF(COUNTIF('21_Fuentes_educativas'!$A$5:$A$188,H103)+COUNTIF('01_Fuentes'!$A$5:$A$40,H103)=1,0,1)</x:f>
        <x:v>0</x:v>
      </x:c>
    </x:row>
    <x:row r="104" ht="47" customHeight="1">
      <x:c r="A104" s="4" t="str">
        <x:v>TC-100</x:v>
      </x:c>
      <x:c r="B104" s="4" t="str">
        <x:v>CE-11</x:v>
      </x:c>
      <x:c r="C104" s="4" t="str">
        <x:v>COMPLEMENTO</x:v>
      </x:c>
      <x:c r="D104" s="4" t="str">
        <x:v>CYO-01</x:v>
      </x:c>
      <x:c r="E104" s="4" t="str">
        <x:v>Decisión bajo incertidumbre como materia obligatoria.</x:v>
      </x:c>
      <x:c r="F104" s="4" t="str">
        <x:v>No se inventan los resultados de aprendizaje de la asignatura.</x:v>
      </x:c>
      <x:c r="G104" s="4" t="str">
        <x:v>La diferencia sólo se admite en el alcance justificado; evitar falsa cobertura por un título.</x:v>
      </x:c>
      <x:c r="H104" s="4" t="str">
        <x:v>E008</x:v>
      </x:c>
      <x:c r="I104" s="4" t="str">
        <x:v>Manual §4.2, p. 5.</x:v>
      </x:c>
      <x:c r="J104" s="4" t="str">
        <x:v>IDENTIFICADO; GUÍA DETALLADA PENDIENTE</x:v>
      </x:c>
      <x:c r="K104" s="12" t="n">
        <x:f>IF(OR(D104="TRANSVERSAL",D104="RESERVA",COUNTIF('26_Mapa_universos'!$A$5:$A$33,D104)=1),0,1)</x:f>
        <x:v>0</x:v>
      </x:c>
      <x:c r="L104" s="12" t="n">
        <x:f>IF(COUNTIF('21_Fuentes_educativas'!$A$5:$A$188,H104)+COUNTIF('01_Fuentes'!$A$5:$A$40,H104)=1,0,1)</x:f>
        <x:v>0</x:v>
      </x:c>
    </x:row>
    <x:row r="105" ht="47" customHeight="1">
      <x:c r="A105" s="4" t="str">
        <x:v>TC-101</x:v>
      </x:c>
      <x:c r="B105" s="4" t="str">
        <x:v>CE-12</x:v>
      </x:c>
      <x:c r="C105" s="4" t="str">
        <x:v>COMPLEMENTO</x:v>
      </x:c>
      <x:c r="D105" s="4" t="str">
        <x:v>RESERVA</x:v>
      </x:c>
      <x:c r="E105" s="4" t="str">
        <x:v>Materia de seguridad definida por software; título identificado.</x:v>
      </x:c>
      <x:c r="F105" s="4" t="str">
        <x:v>El título de la asignatura no basta para adjudicar su temario ni equipararlo a SDN.</x:v>
      </x:c>
      <x:c r="G105" s="4" t="str">
        <x:v>La diferencia sólo se admite en el alcance justificado; evitar falsa cobertura por un título.</x:v>
      </x:c>
      <x:c r="H105" s="4" t="str">
        <x:v>E009</x:v>
      </x:c>
      <x:c r="I105" s="4" t="str">
        <x:v>Plan institucional y guía URJC de redes avanzadas.</x:v>
      </x:c>
      <x:c r="J105" s="4" t="str">
        <x:v>NO AÑADIR POR MERA COINCIDENCIA</x:v>
      </x:c>
      <x:c r="K105" s="12" t="n">
        <x:f>IF(OR(D105="TRANSVERSAL",D105="RESERVA",COUNTIF('26_Mapa_universos'!$A$5:$A$33,D105)=1),0,1)</x:f>
        <x:v>0</x:v>
      </x:c>
      <x:c r="L105" s="12" t="n">
        <x:f>IF(COUNTIF('21_Fuentes_educativas'!$A$5:$A$188,H105)+COUNTIF('01_Fuentes'!$A$5:$A$40,H105)=1,0,1)</x:f>
        <x:v>0</x:v>
      </x:c>
    </x:row>
    <x:row r="106" ht="47" customHeight="1">
      <x:c r="A106" s="4" t="str">
        <x:v>TC-102</x:v>
      </x:c>
      <x:c r="B106" s="4" t="str">
        <x:v>AN-01</x:v>
      </x:c>
      <x:c r="C106" s="4" t="str">
        <x:v>NECESIDAD HUMANA</x:v>
      </x:c>
      <x:c r="D106" s="4" t="str">
        <x:v>CYO-23</x:v>
      </x:c>
      <x:c r="E106" s="4" t="str">
        <x:v>Distinguir aprendizaje, inferencia, datos, características y arquitectura neuronal; comprender sus supuestos.</x:v>
      </x:c>
      <x:c r="F106" s="4" t="str">
        <x:v>Comparar una solución de IA con una alternativa simple mediante un problema, datos y criterio explícitos.</x:v>
      </x:c>
      <x:c r="G106" s="4" t="str">
        <x:v>Confundir una salida plausible con evidencia o elegir un modelo sin entender sus límites.</x:v>
      </x:c>
      <x:c r="H106" s="4" t="str">
        <x:v>M002</x:v>
      </x:c>
      <x:c r="I106" s="4" t="str">
        <x:v>18: fuentes y reserva específica</x:v>
      </x:c>
      <x:c r="J106" s="4" t="str">
        <x:v>BASE PRESENTE; PROFUNDIZACIÓN PROPUESTA</x:v>
      </x:c>
      <x:c r="K106" s="12" t="n">
        <x:f>IF(OR(D106="TRANSVERSAL",D106="RESERVA",COUNTIF('26_Mapa_universos'!$A$5:$A$33,D106)=1),0,1)</x:f>
        <x:v>0</x:v>
      </x:c>
      <x:c r="L106" s="12" t="n">
        <x:f>IF(COUNTIF('21_Fuentes_educativas'!$A$5:$A$188,H106)+COUNTIF('01_Fuentes'!$A$5:$A$40,H106)=1,0,1)</x:f>
        <x:v>0</x:v>
      </x:c>
    </x:row>
    <x:row r="107" ht="47" customHeight="1">
      <x:c r="A107" s="4" t="str">
        <x:v>TC-103</x:v>
      </x:c>
      <x:c r="B107" s="4" t="str">
        <x:v>AN-02</x:v>
      </x:c>
      <x:c r="C107" s="4" t="str">
        <x:v>NECESIDAD HUMANA</x:v>
      </x:c>
      <x:c r="D107" s="4" t="str">
        <x:v>CYO-15</x:v>
      </x:c>
      <x:c r="E107" s="4" t="str">
        <x:v>Inventario de usos autorizados/no declarados (Shadow AI), responsabilidades, datos, propiedad intelectual y políticas.</x:v>
      </x:c>
      <x:c r="F107" s="4" t="str">
        <x:v>Justificar quién permite qué uso, con qué datos, proveedor, versión y evidencia de cumplimiento.</x:v>
      </x:c>
      <x:c r="G107" s="4" t="str">
        <x:v>Tratar disponibilidad técnica como permiso; omitir un uso no inventariado y sus efectos.</x:v>
      </x:c>
      <x:c r="H107" s="4" t="str">
        <x:v>R037</x:v>
      </x:c>
      <x:c r="I107" s="4" t="str">
        <x:v>18: fuentes y reserva específica</x:v>
      </x:c>
      <x:c r="J107" s="4" t="str">
        <x:v>EXTENSIÓN ESPECÍFICA PROPUESTA</x:v>
      </x:c>
      <x:c r="K107" s="12" t="n">
        <x:f>IF(OR(D107="TRANSVERSAL",D107="RESERVA",COUNTIF('26_Mapa_universos'!$A$5:$A$33,D107)=1),0,1)</x:f>
        <x:v>0</x:v>
      </x:c>
      <x:c r="L107" s="12" t="n">
        <x:f>IF(COUNTIF('21_Fuentes_educativas'!$A$5:$A$188,H107)+COUNTIF('01_Fuentes'!$A$5:$A$40,H107)=1,0,1)</x:f>
        <x:v>0</x:v>
      </x:c>
    </x:row>
    <x:row r="108" ht="47" customHeight="1">
      <x:c r="A108" s="4" t="str">
        <x:v>TC-104</x:v>
      </x:c>
      <x:c r="B108" s="4" t="str">
        <x:v>AN-02</x:v>
      </x:c>
      <x:c r="C108" s="4" t="str">
        <x:v>NECESIDAD HUMANA</x:v>
      </x:c>
      <x:c r="D108" s="4" t="str">
        <x:v>CYO-29</x:v>
      </x:c>
      <x:c r="E108" s="4" t="str">
        <x:v>Inventario de usos autorizados/no declarados (Shadow AI), responsabilidades, datos, propiedad intelectual y políticas.</x:v>
      </x:c>
      <x:c r="F108" s="4" t="str">
        <x:v>Justificar quién permite qué uso, con qué datos, proveedor, versión y evidencia de cumplimiento.</x:v>
      </x:c>
      <x:c r="G108" s="4" t="str">
        <x:v>Tratar disponibilidad técnica como permiso; omitir un uso no inventariado y sus efectos.</x:v>
      </x:c>
      <x:c r="H108" s="4" t="str">
        <x:v>R037</x:v>
      </x:c>
      <x:c r="I108" s="4" t="str">
        <x:v>18: fuentes y reserva específica</x:v>
      </x:c>
      <x:c r="J108" s="4" t="str">
        <x:v>EXTENSIÓN ESPECÍFICA PROPUESTA</x:v>
      </x:c>
      <x:c r="K108" s="12" t="n">
        <x:f>IF(OR(D108="TRANSVERSAL",D108="RESERVA",COUNTIF('26_Mapa_universos'!$A$5:$A$33,D108)=1),0,1)</x:f>
        <x:v>0</x:v>
      </x:c>
      <x:c r="L108" s="12" t="n">
        <x:f>IF(COUNTIF('21_Fuentes_educativas'!$A$5:$A$188,H108)+COUNTIF('01_Fuentes'!$A$5:$A$40,H108)=1,0,1)</x:f>
        <x:v>0</x:v>
      </x:c>
    </x:row>
    <x:row r="109" ht="47" customHeight="1">
      <x:c r="A109" s="4" t="str">
        <x:v>TC-105</x:v>
      </x:c>
      <x:c r="B109" s="4" t="str">
        <x:v>AN-03</x:v>
      </x:c>
      <x:c r="C109" s="4" t="str">
        <x:v>NECESIDAD HUMANA</x:v>
      </x:c>
      <x:c r="D109" s="4" t="str">
        <x:v>CYO-04</x:v>
      </x:c>
      <x:c r="E109" s="4" t="str">
        <x:v>Separar amenazas al modelo, datos, aplicación y capacidades de un agente.</x:v>
      </x:c>
      <x:c r="F109" s="4" t="str">
        <x:v>Construir pruebas de límites y mitigaciones asociadas a amenazas identificadas.</x:v>
      </x:c>
      <x:c r="G109" s="4" t="str">
        <x:v>Confundir instrucciones del usuario con datos externos, o permitir acciones por una salida no validada.</x:v>
      </x:c>
      <x:c r="H109" s="4" t="str">
        <x:v>M003</x:v>
      </x:c>
      <x:c r="I109" s="4" t="str">
        <x:v>18: fuentes y reserva específica</x:v>
      </x:c>
      <x:c r="J109" s="4" t="str">
        <x:v>PROFUNDIZACIÓN Y ANEXO TÉCNICO</x:v>
      </x:c>
      <x:c r="K109" s="12" t="n">
        <x:f>IF(OR(D109="TRANSVERSAL",D109="RESERVA",COUNTIF('26_Mapa_universos'!$A$5:$A$33,D109)=1),0,1)</x:f>
        <x:v>0</x:v>
      </x:c>
      <x:c r="L109" s="12" t="n">
        <x:f>IF(COUNTIF('21_Fuentes_educativas'!$A$5:$A$188,H109)+COUNTIF('01_Fuentes'!$A$5:$A$40,H109)=1,0,1)</x:f>
        <x:v>0</x:v>
      </x:c>
    </x:row>
    <x:row r="110" ht="47" customHeight="1">
      <x:c r="A110" s="4" t="str">
        <x:v>TC-106</x:v>
      </x:c>
      <x:c r="B110" s="4" t="str">
        <x:v>AN-03</x:v>
      </x:c>
      <x:c r="C110" s="4" t="str">
        <x:v>NECESIDAD HUMANA</x:v>
      </x:c>
      <x:c r="D110" s="4" t="str">
        <x:v>CYO-05</x:v>
      </x:c>
      <x:c r="E110" s="4" t="str">
        <x:v>Separar amenazas al modelo, datos, aplicación y capacidades de un agente.</x:v>
      </x:c>
      <x:c r="F110" s="4" t="str">
        <x:v>Construir pruebas de límites y mitigaciones asociadas a amenazas identificadas.</x:v>
      </x:c>
      <x:c r="G110" s="4" t="str">
        <x:v>Confundir instrucciones del usuario con datos externos, o permitir acciones por una salida no validada.</x:v>
      </x:c>
      <x:c r="H110" s="4" t="str">
        <x:v>M003</x:v>
      </x:c>
      <x:c r="I110" s="4" t="str">
        <x:v>18: fuentes y reserva específica</x:v>
      </x:c>
      <x:c r="J110" s="4" t="str">
        <x:v>PROFUNDIZACIÓN Y ANEXO TÉCNICO</x:v>
      </x:c>
      <x:c r="K110" s="12" t="n">
        <x:f>IF(OR(D110="TRANSVERSAL",D110="RESERVA",COUNTIF('26_Mapa_universos'!$A$5:$A$33,D110)=1),0,1)</x:f>
        <x:v>0</x:v>
      </x:c>
      <x:c r="L110" s="12" t="n">
        <x:f>IF(COUNTIF('21_Fuentes_educativas'!$A$5:$A$188,H110)+COUNTIF('01_Fuentes'!$A$5:$A$40,H110)=1,0,1)</x:f>
        <x:v>0</x:v>
      </x:c>
    </x:row>
    <x:row r="111" ht="47" customHeight="1">
      <x:c r="A111" s="4" t="str">
        <x:v>TC-107</x:v>
      </x:c>
      <x:c r="B111" s="4" t="str">
        <x:v>AN-03</x:v>
      </x:c>
      <x:c r="C111" s="4" t="str">
        <x:v>NECESIDAD HUMANA</x:v>
      </x:c>
      <x:c r="D111" s="4" t="str">
        <x:v>CYO-23</x:v>
      </x:c>
      <x:c r="E111" s="4" t="str">
        <x:v>Separar amenazas al modelo, datos, aplicación y capacidades de un agente.</x:v>
      </x:c>
      <x:c r="F111" s="4" t="str">
        <x:v>Construir pruebas de límites y mitigaciones asociadas a amenazas identificadas.</x:v>
      </x:c>
      <x:c r="G111" s="4" t="str">
        <x:v>Confundir instrucciones del usuario con datos externos, o permitir acciones por una salida no validada.</x:v>
      </x:c>
      <x:c r="H111" s="4" t="str">
        <x:v>M003</x:v>
      </x:c>
      <x:c r="I111" s="4" t="str">
        <x:v>18: fuentes y reserva específica</x:v>
      </x:c>
      <x:c r="J111" s="4" t="str">
        <x:v>PROFUNDIZACIÓN Y ANEXO TÉCNICO</x:v>
      </x:c>
      <x:c r="K111" s="12" t="n">
        <x:f>IF(OR(D111="TRANSVERSAL",D111="RESERVA",COUNTIF('26_Mapa_universos'!$A$5:$A$33,D111)=1),0,1)</x:f>
        <x:v>0</x:v>
      </x:c>
      <x:c r="L111" s="12" t="n">
        <x:f>IF(COUNTIF('21_Fuentes_educativas'!$A$5:$A$188,H111)+COUNTIF('01_Fuentes'!$A$5:$A$40,H111)=1,0,1)</x:f>
        <x:v>0</x:v>
      </x:c>
    </x:row>
    <x:row r="112" ht="47" customHeight="1">
      <x:c r="A112" s="4" t="str">
        <x:v>TC-108</x:v>
      </x:c>
      <x:c r="B112" s="4" t="str">
        <x:v>AN-04</x:v>
      </x:c>
      <x:c r="C112" s="4" t="str">
        <x:v>NECESIDAD HUMANA</x:v>
      </x:c>
      <x:c r="D112" s="4" t="str">
        <x:v>CYO-07</x:v>
      </x:c>
      <x:c r="E112" s="4" t="str">
        <x:v>Inteligencia de amenazas, detección, priorización y respuesta asistidas por modelos.</x:v>
      </x:c>
      <x:c r="F112" s="4" t="str">
        <x:v>Medir errores y costes, contrastar con una base sin IA y mantener intervención/autoridad humana delimitadas.</x:v>
      </x:c>
      <x:c r="G112" s="4" t="str">
        <x:v>Una alerta descartada sin evidencia puede dejar una amenaza sin investigar; una contención injustificada puede interrumpir un servicio.</x:v>
      </x:c>
      <x:c r="H112" s="4" t="str">
        <x:v>R033</x:v>
      </x:c>
      <x:c r="I112" s="4" t="str">
        <x:v>18: fuentes y reserva específica</x:v>
      </x:c>
      <x:c r="J112" s="4" t="str">
        <x:v>APLICACIÓN CANDIDATA; SIN AUTOMATISMO</x:v>
      </x:c>
      <x:c r="K112" s="12" t="n">
        <x:f>IF(OR(D112="TRANSVERSAL",D112="RESERVA",COUNTIF('26_Mapa_universos'!$A$5:$A$33,D112)=1),0,1)</x:f>
        <x:v>0</x:v>
      </x:c>
      <x:c r="L112" s="12" t="n">
        <x:f>IF(COUNTIF('21_Fuentes_educativas'!$A$5:$A$188,H112)+COUNTIF('01_Fuentes'!$A$5:$A$40,H112)=1,0,1)</x:f>
        <x:v>0</x:v>
      </x:c>
    </x:row>
    <x:row r="113" ht="47" customHeight="1">
      <x:c r="A113" s="4" t="str">
        <x:v>TC-109</x:v>
      </x:c>
      <x:c r="B113" s="4" t="str">
        <x:v>AN-04</x:v>
      </x:c>
      <x:c r="C113" s="4" t="str">
        <x:v>NECESIDAD HUMANA</x:v>
      </x:c>
      <x:c r="D113" s="4" t="str">
        <x:v>CYO-08</x:v>
      </x:c>
      <x:c r="E113" s="4" t="str">
        <x:v>Inteligencia de amenazas, detección, priorización y respuesta asistidas por modelos.</x:v>
      </x:c>
      <x:c r="F113" s="4" t="str">
        <x:v>Medir errores y costes, contrastar con una base sin IA y mantener intervención/autoridad humana delimitadas.</x:v>
      </x:c>
      <x:c r="G113" s="4" t="str">
        <x:v>Una alerta descartada sin evidencia puede dejar una amenaza sin investigar; una contención injustificada puede interrumpir un servicio.</x:v>
      </x:c>
      <x:c r="H113" s="4" t="str">
        <x:v>R033</x:v>
      </x:c>
      <x:c r="I113" s="4" t="str">
        <x:v>18: fuentes y reserva específica</x:v>
      </x:c>
      <x:c r="J113" s="4" t="str">
        <x:v>APLICACIÓN CANDIDATA; SIN AUTOMATISMO</x:v>
      </x:c>
      <x:c r="K113" s="12" t="n">
        <x:f>IF(OR(D113="TRANSVERSAL",D113="RESERVA",COUNTIF('26_Mapa_universos'!$A$5:$A$33,D113)=1),0,1)</x:f>
        <x:v>0</x:v>
      </x:c>
      <x:c r="L113" s="12" t="n">
        <x:f>IF(COUNTIF('21_Fuentes_educativas'!$A$5:$A$188,H113)+COUNTIF('01_Fuentes'!$A$5:$A$40,H113)=1,0,1)</x:f>
        <x:v>0</x:v>
      </x:c>
    </x:row>
    <x:row r="114" ht="47" customHeight="1">
      <x:c r="A114" s="4" t="str">
        <x:v>TC-110</x:v>
      </x:c>
      <x:c r="B114" s="4" t="str">
        <x:v>AN-04</x:v>
      </x:c>
      <x:c r="C114" s="4" t="str">
        <x:v>NECESIDAD HUMANA</x:v>
      </x:c>
      <x:c r="D114" s="4" t="str">
        <x:v>CYO-09</x:v>
      </x:c>
      <x:c r="E114" s="4" t="str">
        <x:v>Inteligencia de amenazas, detección, priorización y respuesta asistidas por modelos.</x:v>
      </x:c>
      <x:c r="F114" s="4" t="str">
        <x:v>Medir errores y costes, contrastar con una base sin IA y mantener intervención/autoridad humana delimitadas.</x:v>
      </x:c>
      <x:c r="G114" s="4" t="str">
        <x:v>Una alerta descartada sin evidencia puede dejar una amenaza sin investigar; una contención injustificada puede interrumpir un servicio.</x:v>
      </x:c>
      <x:c r="H114" s="4" t="str">
        <x:v>R033</x:v>
      </x:c>
      <x:c r="I114" s="4" t="str">
        <x:v>18: fuentes y reserva específica</x:v>
      </x:c>
      <x:c r="J114" s="4" t="str">
        <x:v>APLICACIÓN CANDIDATA; SIN AUTOMATISMO</x:v>
      </x:c>
      <x:c r="K114" s="12" t="n">
        <x:f>IF(OR(D114="TRANSVERSAL",D114="RESERVA",COUNTIF('26_Mapa_universos'!$A$5:$A$33,D114)=1),0,1)</x:f>
        <x:v>0</x:v>
      </x:c>
      <x:c r="L114" s="12" t="n">
        <x:f>IF(COUNTIF('21_Fuentes_educativas'!$A$5:$A$188,H114)+COUNTIF('01_Fuentes'!$A$5:$A$40,H114)=1,0,1)</x:f>
        <x:v>0</x:v>
      </x:c>
    </x:row>
    <x:row r="115" ht="47" customHeight="1">
      <x:c r="A115" s="4" t="str">
        <x:v>TC-111</x:v>
      </x:c>
      <x:c r="B115" s="4" t="str">
        <x:v>AN-04</x:v>
      </x:c>
      <x:c r="C115" s="4" t="str">
        <x:v>NECESIDAD HUMANA</x:v>
      </x:c>
      <x:c r="D115" s="4" t="str">
        <x:v>CYO-23</x:v>
      </x:c>
      <x:c r="E115" s="4" t="str">
        <x:v>Inteligencia de amenazas, detección, priorización y respuesta asistidas por modelos.</x:v>
      </x:c>
      <x:c r="F115" s="4" t="str">
        <x:v>Medir errores y costes, contrastar con una base sin IA y mantener intervención/autoridad humana delimitadas.</x:v>
      </x:c>
      <x:c r="G115" s="4" t="str">
        <x:v>Una alerta descartada sin evidencia puede dejar una amenaza sin investigar; una contención injustificada puede interrumpir un servicio.</x:v>
      </x:c>
      <x:c r="H115" s="4" t="str">
        <x:v>R033</x:v>
      </x:c>
      <x:c r="I115" s="4" t="str">
        <x:v>18: fuentes y reserva específica</x:v>
      </x:c>
      <x:c r="J115" s="4" t="str">
        <x:v>APLICACIÓN CANDIDATA; SIN AUTOMATISMO</x:v>
      </x:c>
      <x:c r="K115" s="12" t="n">
        <x:f>IF(OR(D115="TRANSVERSAL",D115="RESERVA",COUNTIF('26_Mapa_universos'!$A$5:$A$33,D115)=1),0,1)</x:f>
        <x:v>0</x:v>
      </x:c>
      <x:c r="L115" s="12" t="n">
        <x:f>IF(COUNTIF('21_Fuentes_educativas'!$A$5:$A$188,H115)+COUNTIF('01_Fuentes'!$A$5:$A$40,H115)=1,0,1)</x:f>
        <x:v>0</x:v>
      </x:c>
    </x:row>
    <x:row r="116" ht="47" customHeight="1">
      <x:c r="A116" s="4" t="str">
        <x:v>TC-112</x:v>
      </x:c>
      <x:c r="B116" s="4" t="str">
        <x:v>AN-04</x:v>
      </x:c>
      <x:c r="C116" s="4" t="str">
        <x:v>NECESIDAD HUMANA</x:v>
      </x:c>
      <x:c r="D116" s="4" t="str">
        <x:v>CYO-27</x:v>
      </x:c>
      <x:c r="E116" s="4" t="str">
        <x:v>Inteligencia de amenazas, detección, priorización y respuesta asistidas por modelos.</x:v>
      </x:c>
      <x:c r="F116" s="4" t="str">
        <x:v>Medir errores y costes, contrastar con una base sin IA y mantener intervención/autoridad humana delimitadas.</x:v>
      </x:c>
      <x:c r="G116" s="4" t="str">
        <x:v>Una alerta descartada sin evidencia puede dejar una amenaza sin investigar; una contención injustificada puede interrumpir un servicio.</x:v>
      </x:c>
      <x:c r="H116" s="4" t="str">
        <x:v>R033</x:v>
      </x:c>
      <x:c r="I116" s="4" t="str">
        <x:v>18: fuentes y reserva específica</x:v>
      </x:c>
      <x:c r="J116" s="4" t="str">
        <x:v>APLICACIÓN CANDIDATA; SIN AUTOMATISMO</x:v>
      </x:c>
      <x:c r="K116" s="12" t="n">
        <x:f>IF(OR(D116="TRANSVERSAL",D116="RESERVA",COUNTIF('26_Mapa_universos'!$A$5:$A$33,D116)=1),0,1)</x:f>
        <x:v>0</x:v>
      </x:c>
      <x:c r="L116" s="12" t="n">
        <x:f>IF(COUNTIF('21_Fuentes_educativas'!$A$5:$A$188,H116)+COUNTIF('01_Fuentes'!$A$5:$A$40,H116)=1,0,1)</x:f>
        <x:v>0</x:v>
      </x:c>
    </x:row>
    <x:row r="117" ht="47" customHeight="1">
      <x:c r="A117" s="4" t="str">
        <x:v>TC-113</x:v>
      </x:c>
      <x:c r="B117" s="4" t="str">
        <x:v>AN-04</x:v>
      </x:c>
      <x:c r="C117" s="4" t="str">
        <x:v>NECESIDAD HUMANA</x:v>
      </x:c>
      <x:c r="D117" s="4" t="str">
        <x:v>CYO-28</x:v>
      </x:c>
      <x:c r="E117" s="4" t="str">
        <x:v>Inteligencia de amenazas, detección, priorización y respuesta asistidas por modelos.</x:v>
      </x:c>
      <x:c r="F117" s="4" t="str">
        <x:v>Medir errores y costes, contrastar con una base sin IA y mantener intervención/autoridad humana delimitadas.</x:v>
      </x:c>
      <x:c r="G117" s="4" t="str">
        <x:v>Una alerta descartada sin evidencia puede dejar una amenaza sin investigar; una contención injustificada puede interrumpir un servicio.</x:v>
      </x:c>
      <x:c r="H117" s="4" t="str">
        <x:v>R033</x:v>
      </x:c>
      <x:c r="I117" s="4" t="str">
        <x:v>18: fuentes y reserva específica</x:v>
      </x:c>
      <x:c r="J117" s="4" t="str">
        <x:v>APLICACIÓN CANDIDATA; SIN AUTOMATISMO</x:v>
      </x:c>
      <x:c r="K117" s="12" t="n">
        <x:f>IF(OR(D117="TRANSVERSAL",D117="RESERVA",COUNTIF('26_Mapa_universos'!$A$5:$A$33,D117)=1),0,1)</x:f>
        <x:v>0</x:v>
      </x:c>
      <x:c r="L117" s="12" t="n">
        <x:f>IF(COUNTIF('21_Fuentes_educativas'!$A$5:$A$188,H117)+COUNTIF('01_Fuentes'!$A$5:$A$40,H117)=1,0,1)</x:f>
        <x:v>0</x:v>
      </x:c>
    </x:row>
    <x:row r="118" ht="60" customHeight="1">
      <x:c r="A118" s="4" t="str">
        <x:v>TC-114</x:v>
      </x:c>
      <x:c r="B118" s="4" t="str">
        <x:v>AN-05</x:v>
      </x:c>
      <x:c r="C118" s="4" t="str">
        <x:v>NECESIDAD HUMANA</x:v>
      </x:c>
      <x:c r="D118" s="4" t="str">
        <x:v>CYO-01</x:v>
      </x:c>
      <x:c r="E118" s="4" t="str">
        <x:v>Diferenciar gestión de riesgo, evaluación de impactos y pruebas de robustez; valorar recursos y consecuencias.</x:v>
      </x:c>
      <x:c r="F118" s="4" t="str">
        <x:v>Documentar coste total de protección y valor protegido en alcance y horizonte humanos; no aprobar protección que exceda ese valor conforme al mandato.</x:v>
      </x:c>
      <x:c r="G118" s="4" t="str">
        <x:v>Una medida puede consumir más recursos que el valor protegido o trasladar impactos a otros afectados.</x:v>
      </x:c>
      <x:c r="H118" s="4" t="str">
        <x:v>R035</x:v>
      </x:c>
      <x:c r="I118" s="4" t="str">
        <x:v>18: fuentes y reserva específica</x:v>
      </x:c>
      <x:c r="J118" s="4" t="str">
        <x:v>BASE PRESENTE; MÉTODOS ESPECÍFICOS</x:v>
      </x:c>
      <x:c r="K118" s="12" t="n">
        <x:f>IF(OR(D118="TRANSVERSAL",D118="RESERVA",COUNTIF('26_Mapa_universos'!$A$5:$A$33,D118)=1),0,1)</x:f>
        <x:v>0</x:v>
      </x:c>
      <x:c r="L118" s="12" t="n">
        <x:f>IF(COUNTIF('21_Fuentes_educativas'!$A$5:$A$188,H118)+COUNTIF('01_Fuentes'!$A$5:$A$40,H118)=1,0,1)</x:f>
        <x:v>0</x:v>
      </x:c>
    </x:row>
    <x:row r="119" ht="60" customHeight="1">
      <x:c r="A119" s="4" t="str">
        <x:v>TC-115</x:v>
      </x:c>
      <x:c r="B119" s="4" t="str">
        <x:v>AN-05</x:v>
      </x:c>
      <x:c r="C119" s="4" t="str">
        <x:v>NECESIDAD HUMANA</x:v>
      </x:c>
      <x:c r="D119" s="4" t="str">
        <x:v>CYO-16</x:v>
      </x:c>
      <x:c r="E119" s="4" t="str">
        <x:v>Diferenciar gestión de riesgo, evaluación de impactos y pruebas de robustez; valorar recursos y consecuencias.</x:v>
      </x:c>
      <x:c r="F119" s="4" t="str">
        <x:v>Documentar coste total de protección y valor protegido en alcance y horizonte humanos; no aprobar protección que exceda ese valor conforme al mandato.</x:v>
      </x:c>
      <x:c r="G119" s="4" t="str">
        <x:v>Una medida puede consumir más recursos que el valor protegido o trasladar impactos a otros afectados.</x:v>
      </x:c>
      <x:c r="H119" s="4" t="str">
        <x:v>R035</x:v>
      </x:c>
      <x:c r="I119" s="4" t="str">
        <x:v>18: fuentes y reserva específica</x:v>
      </x:c>
      <x:c r="J119" s="4" t="str">
        <x:v>BASE PRESENTE; MÉTODOS ESPECÍFICOS</x:v>
      </x:c>
      <x:c r="K119" s="12" t="n">
        <x:f>IF(OR(D119="TRANSVERSAL",D119="RESERVA",COUNTIF('26_Mapa_universos'!$A$5:$A$33,D119)=1),0,1)</x:f>
        <x:v>0</x:v>
      </x:c>
      <x:c r="L119" s="12" t="n">
        <x:f>IF(COUNTIF('21_Fuentes_educativas'!$A$5:$A$188,H119)+COUNTIF('01_Fuentes'!$A$5:$A$40,H119)=1,0,1)</x:f>
        <x:v>0</x:v>
      </x:c>
    </x:row>
    <x:row r="120" ht="60" customHeight="1">
      <x:c r="A120" s="4" t="str">
        <x:v>TC-116</x:v>
      </x:c>
      <x:c r="B120" s="4" t="str">
        <x:v>AN-05</x:v>
      </x:c>
      <x:c r="C120" s="4" t="str">
        <x:v>NECESIDAD HUMANA</x:v>
      </x:c>
      <x:c r="D120" s="4" t="str">
        <x:v>CYO-23</x:v>
      </x:c>
      <x:c r="E120" s="4" t="str">
        <x:v>Diferenciar gestión de riesgo, evaluación de impactos y pruebas de robustez; valorar recursos y consecuencias.</x:v>
      </x:c>
      <x:c r="F120" s="4" t="str">
        <x:v>Documentar coste total de protección y valor protegido en alcance y horizonte humanos; no aprobar protección que exceda ese valor conforme al mandato.</x:v>
      </x:c>
      <x:c r="G120" s="4" t="str">
        <x:v>Una medida puede consumir más recursos que el valor protegido o trasladar impactos a otros afectados.</x:v>
      </x:c>
      <x:c r="H120" s="4" t="str">
        <x:v>R035</x:v>
      </x:c>
      <x:c r="I120" s="4" t="str">
        <x:v>18: fuentes y reserva específica</x:v>
      </x:c>
      <x:c r="J120" s="4" t="str">
        <x:v>BASE PRESENTE; MÉTODOS ESPECÍFICOS</x:v>
      </x:c>
      <x:c r="K120" s="12" t="n">
        <x:f>IF(OR(D120="TRANSVERSAL",D120="RESERVA",COUNTIF('26_Mapa_universos'!$A$5:$A$33,D120)=1),0,1)</x:f>
        <x:v>0</x:v>
      </x:c>
      <x:c r="L120" s="12" t="n">
        <x:f>IF(COUNTIF('21_Fuentes_educativas'!$A$5:$A$188,H120)+COUNTIF('01_Fuentes'!$A$5:$A$40,H120)=1,0,1)</x:f>
        <x:v>0</x:v>
      </x:c>
    </x:row>
    <x:row r="121" ht="47" customHeight="1">
      <x:c r="A121" s="4" t="str">
        <x:v>TC-117</x:v>
      </x:c>
      <x:c r="B121" s="4" t="str">
        <x:v>AN-06</x:v>
      </x:c>
      <x:c r="C121" s="4" t="str">
        <x:v>NECESIDAD HUMANA</x:v>
      </x:c>
      <x:c r="D121" s="4" t="str">
        <x:v>CYO-02</x:v>
      </x:c>
      <x:c r="E121" s="4" t="str">
        <x:v>Separar arquitectura de red, programación del plano de datos e instrumentación del núcleo.</x:v>
      </x:c>
      <x:c r="F121" s="4" t="str">
        <x:v>Justificar puntos de observación, privilegios, cobertura, carga y compatibilidad de la telemetría.</x:v>
      </x:c>
      <x:c r="G121" s="4" t="str">
        <x:v>Un punto ciego puede ocultar actividad; instrumentación mal dimensionada puede afectar al servicio.</x:v>
      </x:c>
      <x:c r="H121" s="4" t="str">
        <x:v>R029</x:v>
      </x:c>
      <x:c r="I121" s="4" t="str">
        <x:v>18: fuentes y reserva específica</x:v>
      </x:c>
      <x:c r="J121" s="4" t="str">
        <x:v>SDN PRESENTE; eBPF/P4 COMO CANDIDATOS</x:v>
      </x:c>
      <x:c r="K121" s="12" t="n">
        <x:f>IF(OR(D121="TRANSVERSAL",D121="RESERVA",COUNTIF('26_Mapa_universos'!$A$5:$A$33,D121)=1),0,1)</x:f>
        <x:v>0</x:v>
      </x:c>
      <x:c r="L121" s="12" t="n">
        <x:f>IF(COUNTIF('21_Fuentes_educativas'!$A$5:$A$188,H121)+COUNTIF('01_Fuentes'!$A$5:$A$40,H121)=1,0,1)</x:f>
        <x:v>0</x:v>
      </x:c>
    </x:row>
    <x:row r="122" ht="47" customHeight="1">
      <x:c r="A122" s="4" t="str">
        <x:v>TC-118</x:v>
      </x:c>
      <x:c r="B122" s="4" t="str">
        <x:v>AN-06</x:v>
      </x:c>
      <x:c r="C122" s="4" t="str">
        <x:v>NECESIDAD HUMANA</x:v>
      </x:c>
      <x:c r="D122" s="4" t="str">
        <x:v>CYO-12</x:v>
      </x:c>
      <x:c r="E122" s="4" t="str">
        <x:v>Separar arquitectura de red, programación del plano de datos e instrumentación del núcleo.</x:v>
      </x:c>
      <x:c r="F122" s="4" t="str">
        <x:v>Justificar puntos de observación, privilegios, cobertura, carga y compatibilidad de la telemetría.</x:v>
      </x:c>
      <x:c r="G122" s="4" t="str">
        <x:v>Un punto ciego puede ocultar actividad; instrumentación mal dimensionada puede afectar al servicio.</x:v>
      </x:c>
      <x:c r="H122" s="4" t="str">
        <x:v>R029</x:v>
      </x:c>
      <x:c r="I122" s="4" t="str">
        <x:v>18: fuentes y reserva específica</x:v>
      </x:c>
      <x:c r="J122" s="4" t="str">
        <x:v>SDN PRESENTE; eBPF/P4 COMO CANDIDATOS</x:v>
      </x:c>
      <x:c r="K122" s="12" t="n">
        <x:f>IF(OR(D122="TRANSVERSAL",D122="RESERVA",COUNTIF('26_Mapa_universos'!$A$5:$A$33,D122)=1),0,1)</x:f>
        <x:v>0</x:v>
      </x:c>
      <x:c r="L122" s="12" t="n">
        <x:f>IF(COUNTIF('21_Fuentes_educativas'!$A$5:$A$188,H122)+COUNTIF('01_Fuentes'!$A$5:$A$40,H122)=1,0,1)</x:f>
        <x:v>0</x:v>
      </x:c>
    </x:row>
    <x:row r="123" ht="47" customHeight="1">
      <x:c r="A123" s="4" t="str">
        <x:v>TC-119</x:v>
      </x:c>
      <x:c r="B123" s="4" t="str">
        <x:v>AN-06</x:v>
      </x:c>
      <x:c r="C123" s="4" t="str">
        <x:v>NECESIDAD HUMANA</x:v>
      </x:c>
      <x:c r="D123" s="4" t="str">
        <x:v>CYO-27</x:v>
      </x:c>
      <x:c r="E123" s="4" t="str">
        <x:v>Separar arquitectura de red, programación del plano de datos e instrumentación del núcleo.</x:v>
      </x:c>
      <x:c r="F123" s="4" t="str">
        <x:v>Justificar puntos de observación, privilegios, cobertura, carga y compatibilidad de la telemetría.</x:v>
      </x:c>
      <x:c r="G123" s="4" t="str">
        <x:v>Un punto ciego puede ocultar actividad; instrumentación mal dimensionada puede afectar al servicio.</x:v>
      </x:c>
      <x:c r="H123" s="4" t="str">
        <x:v>R029</x:v>
      </x:c>
      <x:c r="I123" s="4" t="str">
        <x:v>18: fuentes y reserva específica</x:v>
      </x:c>
      <x:c r="J123" s="4" t="str">
        <x:v>SDN PRESENTE; eBPF/P4 COMO CANDIDATOS</x:v>
      </x:c>
      <x:c r="K123" s="12" t="n">
        <x:f>IF(OR(D123="TRANSVERSAL",D123="RESERVA",COUNTIF('26_Mapa_universos'!$A$5:$A$33,D123)=1),0,1)</x:f>
        <x:v>0</x:v>
      </x:c>
      <x:c r="L123" s="12" t="n">
        <x:f>IF(COUNTIF('21_Fuentes_educativas'!$A$5:$A$188,H123)+COUNTIF('01_Fuentes'!$A$5:$A$40,H123)=1,0,1)</x:f>
        <x:v>0</x:v>
      </x:c>
    </x:row>
    <x:row r="124" ht="47" customHeight="1">
      <x:c r="A124" s="4" t="str">
        <x:v>TC-120</x:v>
      </x:c>
      <x:c r="B124" s="4" t="str">
        <x:v>AN-07</x:v>
      </x:c>
      <x:c r="C124" s="4" t="str">
        <x:v>NECESIDAD HUMANA</x:v>
      </x:c>
      <x:c r="D124" s="4" t="str">
        <x:v>CYO-13</x:v>
      </x:c>
      <x:c r="E124" s="4" t="str">
        <x:v>Modelos de amenaza a datos y modelos; aprendizaje federado, privacidad diferencial y entornos de ejecución confiables.</x:v>
      </x:c>
      <x:c r="F124" s="4" t="str">
        <x:v>Comparar garantías, supuestos y riesgos residuales de cada técnica ante exfiltración o reconstrucción.</x:v>
      </x:c>
      <x:c r="G124" s="4" t="str">
        <x:v>Mantener datos locales o usar un TEE no acredita por sí solo ausencia de revelación de información.</x:v>
      </x:c>
      <x:c r="H124" s="4" t="str">
        <x:v>A107</x:v>
      </x:c>
      <x:c r="I124" s="4" t="str">
        <x:v>18: fuentes y reserva específica</x:v>
      </x:c>
      <x:c r="J124" s="4" t="str">
        <x:v>EXTENSIÓN TÉCNICA IDENTIFICADA</x:v>
      </x:c>
      <x:c r="K124" s="12" t="n">
        <x:f>IF(OR(D124="TRANSVERSAL",D124="RESERVA",COUNTIF('26_Mapa_universos'!$A$5:$A$33,D124)=1),0,1)</x:f>
        <x:v>0</x:v>
      </x:c>
      <x:c r="L124" s="12" t="n">
        <x:f>IF(COUNTIF('21_Fuentes_educativas'!$A$5:$A$188,H124)+COUNTIF('01_Fuentes'!$A$5:$A$40,H124)=1,0,1)</x:f>
        <x:v>0</x:v>
      </x:c>
    </x:row>
    <x:row r="125" ht="47" customHeight="1">
      <x:c r="A125" s="4" t="str">
        <x:v>TC-121</x:v>
      </x:c>
      <x:c r="B125" s="4" t="str">
        <x:v>AN-07</x:v>
      </x:c>
      <x:c r="C125" s="4" t="str">
        <x:v>NECESIDAD HUMANA</x:v>
      </x:c>
      <x:c r="D125" s="4" t="str">
        <x:v>CYO-17</x:v>
      </x:c>
      <x:c r="E125" s="4" t="str">
        <x:v>Modelos de amenaza a datos y modelos; aprendizaje federado, privacidad diferencial y entornos de ejecución confiables.</x:v>
      </x:c>
      <x:c r="F125" s="4" t="str">
        <x:v>Comparar garantías, supuestos y riesgos residuales de cada técnica ante exfiltración o reconstrucción.</x:v>
      </x:c>
      <x:c r="G125" s="4" t="str">
        <x:v>Mantener datos locales o usar un TEE no acredita por sí solo ausencia de revelación de información.</x:v>
      </x:c>
      <x:c r="H125" s="4" t="str">
        <x:v>A107</x:v>
      </x:c>
      <x:c r="I125" s="4" t="str">
        <x:v>18: fuentes y reserva específica</x:v>
      </x:c>
      <x:c r="J125" s="4" t="str">
        <x:v>EXTENSIÓN TÉCNICA IDENTIFICADA</x:v>
      </x:c>
      <x:c r="K125" s="12" t="n">
        <x:f>IF(OR(D125="TRANSVERSAL",D125="RESERVA",COUNTIF('26_Mapa_universos'!$A$5:$A$33,D125)=1),0,1)</x:f>
        <x:v>0</x:v>
      </x:c>
      <x:c r="L125" s="12" t="n">
        <x:f>IF(COUNTIF('21_Fuentes_educativas'!$A$5:$A$188,H125)+COUNTIF('01_Fuentes'!$A$5:$A$40,H125)=1,0,1)</x:f>
        <x:v>0</x:v>
      </x:c>
    </x:row>
    <x:row r="126" ht="47" customHeight="1">
      <x:c r="A126" s="4" t="str">
        <x:v>TC-122</x:v>
      </x:c>
      <x:c r="B126" s="4" t="str">
        <x:v>AN-07</x:v>
      </x:c>
      <x:c r="C126" s="4" t="str">
        <x:v>NECESIDAD HUMANA</x:v>
      </x:c>
      <x:c r="D126" s="4" t="str">
        <x:v>CYO-23</x:v>
      </x:c>
      <x:c r="E126" s="4" t="str">
        <x:v>Modelos de amenaza a datos y modelos; aprendizaje federado, privacidad diferencial y entornos de ejecución confiables.</x:v>
      </x:c>
      <x:c r="F126" s="4" t="str">
        <x:v>Comparar garantías, supuestos y riesgos residuales de cada técnica ante exfiltración o reconstrucción.</x:v>
      </x:c>
      <x:c r="G126" s="4" t="str">
        <x:v>Mantener datos locales o usar un TEE no acredita por sí solo ausencia de revelación de información.</x:v>
      </x:c>
      <x:c r="H126" s="4" t="str">
        <x:v>A107</x:v>
      </x:c>
      <x:c r="I126" s="4" t="str">
        <x:v>18: fuentes y reserva específica</x:v>
      </x:c>
      <x:c r="J126" s="4" t="str">
        <x:v>EXTENSIÓN TÉCNICA IDENTIFICADA</x:v>
      </x:c>
      <x:c r="K126" s="12" t="n">
        <x:f>IF(OR(D126="TRANSVERSAL",D126="RESERVA",COUNTIF('26_Mapa_universos'!$A$5:$A$33,D126)=1),0,1)</x:f>
        <x:v>0</x:v>
      </x:c>
      <x:c r="L126" s="12" t="n">
        <x:f>IF(COUNTIF('21_Fuentes_educativas'!$A$5:$A$188,H126)+COUNTIF('01_Fuentes'!$A$5:$A$40,H126)=1,0,1)</x:f>
        <x:v>0</x:v>
      </x:c>
    </x:row>
    <x:row r="127" ht="47" customHeight="1">
      <x:c r="A127" s="4" t="str">
        <x:v>TC-123</x:v>
      </x:c>
      <x:c r="B127" s="4" t="str">
        <x:v>AN-08</x:v>
      </x:c>
      <x:c r="C127" s="4" t="str">
        <x:v>NECESIDAD HUMANA</x:v>
      </x:c>
      <x:c r="D127" s="4" t="str">
        <x:v>CYO-15</x:v>
      </x:c>
      <x:c r="E127" s="4" t="str">
        <x:v>Sesgo, explicabilidad, robustez, responsabilidad y revisión de conocimiento ante cambios.</x:v>
      </x:c>
      <x:c r="F127" s="4" t="str">
        <x:v>Presentar evidencia, afectados, alternativas, incertidumbre y consecuencias antes de aconsejar; someter actualizaciones a adopción humana.</x:v>
      </x:c>
      <x:c r="G127" s="4" t="str">
        <x:v>Una explicación convincente puede ocultar error o sustituir indebidamente el juicio humano.</x:v>
      </x:c>
      <x:c r="H127" s="4" t="str">
        <x:v>M003</x:v>
      </x:c>
      <x:c r="I127" s="4" t="str">
        <x:v>18: fuentes y reserva específica</x:v>
      </x:c>
      <x:c r="J127" s="4" t="str">
        <x:v>TRANSVERSAL; PROFUNDIZACIÓN PROPUESTA</x:v>
      </x:c>
      <x:c r="K127" s="12" t="n">
        <x:f>IF(OR(D127="TRANSVERSAL",D127="RESERVA",COUNTIF('26_Mapa_universos'!$A$5:$A$33,D127)=1),0,1)</x:f>
        <x:v>0</x:v>
      </x:c>
      <x:c r="L127" s="12" t="n">
        <x:f>IF(COUNTIF('21_Fuentes_educativas'!$A$5:$A$188,H127)+COUNTIF('01_Fuentes'!$A$5:$A$40,H127)=1,0,1)</x:f>
        <x:v>0</x:v>
      </x:c>
    </x:row>
    <x:row r="128" ht="47" customHeight="1">
      <x:c r="A128" s="4" t="str">
        <x:v>TC-124</x:v>
      </x:c>
      <x:c r="B128" s="4" t="str">
        <x:v>AN-08</x:v>
      </x:c>
      <x:c r="C128" s="4" t="str">
        <x:v>NECESIDAD HUMANA</x:v>
      </x:c>
      <x:c r="D128" s="4" t="str">
        <x:v>CYO-18</x:v>
      </x:c>
      <x:c r="E128" s="4" t="str">
        <x:v>Sesgo, explicabilidad, robustez, responsabilidad y revisión de conocimiento ante cambios.</x:v>
      </x:c>
      <x:c r="F128" s="4" t="str">
        <x:v>Presentar evidencia, afectados, alternativas, incertidumbre y consecuencias antes de aconsejar; someter actualizaciones a adopción humana.</x:v>
      </x:c>
      <x:c r="G128" s="4" t="str">
        <x:v>Una explicación convincente puede ocultar error o sustituir indebidamente el juicio humano.</x:v>
      </x:c>
      <x:c r="H128" s="4" t="str">
        <x:v>M003</x:v>
      </x:c>
      <x:c r="I128" s="4" t="str">
        <x:v>18: fuentes y reserva específica</x:v>
      </x:c>
      <x:c r="J128" s="4" t="str">
        <x:v>TRANSVERSAL; PROFUNDIZACIÓN PROPUESTA</x:v>
      </x:c>
      <x:c r="K128" s="12" t="n">
        <x:f>IF(OR(D128="TRANSVERSAL",D128="RESERVA",COUNTIF('26_Mapa_universos'!$A$5:$A$33,D128)=1),0,1)</x:f>
        <x:v>0</x:v>
      </x:c>
      <x:c r="L128" s="12" t="n">
        <x:f>IF(COUNTIF('21_Fuentes_educativas'!$A$5:$A$188,H128)+COUNTIF('01_Fuentes'!$A$5:$A$40,H128)=1,0,1)</x:f>
        <x:v>0</x:v>
      </x:c>
    </x:row>
    <x:row r="129" ht="47" customHeight="1">
      <x:c r="A129" s="4" t="str">
        <x:v>TC-125</x:v>
      </x:c>
      <x:c r="B129" s="4" t="str">
        <x:v>AN-08</x:v>
      </x:c>
      <x:c r="C129" s="4" t="str">
        <x:v>NECESIDAD HUMANA</x:v>
      </x:c>
      <x:c r="D129" s="4" t="str">
        <x:v>CYO-19</x:v>
      </x:c>
      <x:c r="E129" s="4" t="str">
        <x:v>Sesgo, explicabilidad, robustez, responsabilidad y revisión de conocimiento ante cambios.</x:v>
      </x:c>
      <x:c r="F129" s="4" t="str">
        <x:v>Presentar evidencia, afectados, alternativas, incertidumbre y consecuencias antes de aconsejar; someter actualizaciones a adopción humana.</x:v>
      </x:c>
      <x:c r="G129" s="4" t="str">
        <x:v>Una explicación convincente puede ocultar error o sustituir indebidamente el juicio humano.</x:v>
      </x:c>
      <x:c r="H129" s="4" t="str">
        <x:v>M003</x:v>
      </x:c>
      <x:c r="I129" s="4" t="str">
        <x:v>18: fuentes y reserva específica</x:v>
      </x:c>
      <x:c r="J129" s="4" t="str">
        <x:v>TRANSVERSAL; PROFUNDIZACIÓN PROPUESTA</x:v>
      </x:c>
      <x:c r="K129" s="12" t="n">
        <x:f>IF(OR(D129="TRANSVERSAL",D129="RESERVA",COUNTIF('26_Mapa_universos'!$A$5:$A$33,D129)=1),0,1)</x:f>
        <x:v>0</x:v>
      </x:c>
      <x:c r="L129" s="12" t="n">
        <x:f>IF(COUNTIF('21_Fuentes_educativas'!$A$5:$A$188,H129)+COUNTIF('01_Fuentes'!$A$5:$A$40,H129)=1,0,1)</x:f>
        <x:v>0</x:v>
      </x:c>
    </x:row>
    <x:row r="130" ht="47" customHeight="1">
      <x:c r="A130" s="4" t="str">
        <x:v>TC-126</x:v>
      </x:c>
      <x:c r="B130" s="4" t="str">
        <x:v>AN-08</x:v>
      </x:c>
      <x:c r="C130" s="4" t="str">
        <x:v>NECESIDAD HUMANA</x:v>
      </x:c>
      <x:c r="D130" s="4" t="str">
        <x:v>CYO-22</x:v>
      </x:c>
      <x:c r="E130" s="4" t="str">
        <x:v>Sesgo, explicabilidad, robustez, responsabilidad y revisión de conocimiento ante cambios.</x:v>
      </x:c>
      <x:c r="F130" s="4" t="str">
        <x:v>Presentar evidencia, afectados, alternativas, incertidumbre y consecuencias antes de aconsejar; someter actualizaciones a adopción humana.</x:v>
      </x:c>
      <x:c r="G130" s="4" t="str">
        <x:v>Una explicación convincente puede ocultar error o sustituir indebidamente el juicio humano.</x:v>
      </x:c>
      <x:c r="H130" s="4" t="str">
        <x:v>M003</x:v>
      </x:c>
      <x:c r="I130" s="4" t="str">
        <x:v>18: fuentes y reserva específica</x:v>
      </x:c>
      <x:c r="J130" s="4" t="str">
        <x:v>TRANSVERSAL; PROFUNDIZACIÓN PROPUESTA</x:v>
      </x:c>
      <x:c r="K130" s="12" t="n">
        <x:f>IF(OR(D130="TRANSVERSAL",D130="RESERVA",COUNTIF('26_Mapa_universos'!$A$5:$A$33,D130)=1),0,1)</x:f>
        <x:v>0</x:v>
      </x:c>
      <x:c r="L130" s="12" t="n">
        <x:f>IF(COUNTIF('21_Fuentes_educativas'!$A$5:$A$188,H130)+COUNTIF('01_Fuentes'!$A$5:$A$40,H130)=1,0,1)</x:f>
        <x:v>0</x:v>
      </x:c>
    </x:row>
    <x:row r="131" ht="47" customHeight="1">
      <x:c r="A131" s="4" t="str">
        <x:v>TC-127</x:v>
      </x:c>
      <x:c r="B131" s="4" t="str">
        <x:v>AN-08</x:v>
      </x:c>
      <x:c r="C131" s="4" t="str">
        <x:v>NECESIDAD HUMANA</x:v>
      </x:c>
      <x:c r="D131" s="4" t="str">
        <x:v>CYO-29</x:v>
      </x:c>
      <x:c r="E131" s="4" t="str">
        <x:v>Sesgo, explicabilidad, robustez, responsabilidad y revisión de conocimiento ante cambios.</x:v>
      </x:c>
      <x:c r="F131" s="4" t="str">
        <x:v>Presentar evidencia, afectados, alternativas, incertidumbre y consecuencias antes de aconsejar; someter actualizaciones a adopción humana.</x:v>
      </x:c>
      <x:c r="G131" s="4" t="str">
        <x:v>Una explicación convincente puede ocultar error o sustituir indebidamente el juicio humano.</x:v>
      </x:c>
      <x:c r="H131" s="4" t="str">
        <x:v>M003</x:v>
      </x:c>
      <x:c r="I131" s="4" t="str">
        <x:v>18: fuentes y reserva específica</x:v>
      </x:c>
      <x:c r="J131" s="4" t="str">
        <x:v>TRANSVERSAL; PROFUNDIZACIÓN PROPUESTA</x:v>
      </x:c>
      <x:c r="K131" s="12" t="n">
        <x:f>IF(OR(D131="TRANSVERSAL",D131="RESERVA",COUNTIF('26_Mapa_universos'!$A$5:$A$33,D131)=1),0,1)</x:f>
        <x:v>0</x:v>
      </x:c>
      <x:c r="L131" s="12" t="n">
        <x:f>IF(COUNTIF('21_Fuentes_educativas'!$A$5:$A$188,H131)+COUNTIF('01_Fuentes'!$A$5:$A$40,H131)=1,0,1)</x:f>
        <x:v>0</x:v>
      </x:c>
    </x:row>
  </x:sheetData>
  <x:mergeCells>
    <x:mergeCell ref="A1:D1"/>
    <x:mergeCell ref="A2:F2"/>
  </x:mergeCells>
  <x:conditionalFormatting sqref="K5:K131">
    <x:cfRule type="expression" dxfId="11" priority="1">
      <x:formula>K5&gt;0</x:formula>
    </x:cfRule>
  </x:conditionalFormatting>
  <x:conditionalFormatting sqref="L5:L131">
    <x:cfRule type="expression" dxfId="12" priority="2">
      <x:formula>L5&gt;0</x:formula>
    </x:cfRule>
  </x:conditionalFormatting>
  <x:pageMargins left="0.7" right="0.7" top="0.75" bottom="0.75" header="0.3" footer="0.3"/>
  <x:tableParts count="1">
    <x:tablePart xmlns:r="http://schemas.openxmlformats.org/officeDocument/2006/relationships" r:id="R7933d04e53cf4404"/>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48" hidden="0" customWidth="1"/>
    <x:col min="5" max="5" width="76" hidden="0" customWidth="1"/>
    <x:col min="6" max="6" width="91" hidden="0" customWidth="1"/>
    <x:col min="7" max="7" width="94" hidden="0" customWidth="1"/>
    <x:col min="8" max="8" width="46" hidden="0" customWidth="1"/>
    <x:col min="9" max="9" width="43" hidden="0" customWidth="1"/>
    <x:col min="10" max="10" width="19" hidden="0" customWidth="1"/>
    <x:col min="11" max="11" width="19" hidden="0" customWidth="1"/>
  </x:cols>
  <x:sheetData>
    <x:row r="1" ht="35" customHeight="1">
      <x:c r="A1" s="6" t="str">
        <x:v>RELACIONES · contratos que habrá que constituir</x:v>
      </x:c>
      <x:c r="B1" s="6"/>
      <x:c r="C1" s="6"/>
      <x:c r="D1" s="6"/>
      <x:c r="E1" s="6"/>
      <x:c r="F1" s="6"/>
      <x:c r="G1" s="6"/>
      <x:c r="H1" s="6"/>
      <x:c r="I1" s="6"/>
      <x:c r="J1" s="6"/>
      <x:c r="K1" s="6"/>
    </x:row>
    <x:row r="2" ht="52" customHeight="1">
      <x:c r="A2" s="8" t="str">
        <x:v>Estas flechas unen productos profesionales propuestos. No son todavía composición de células, rutas críticas ejecutables ni permisos. El orden educativo de 16 pertenece a otro plano.</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Origen</x:v>
      </x:c>
      <x:c r="C4" s="10" t="str">
        <x:v>Destino</x:v>
      </x:c>
      <x:c r="D4" s="10" t="str">
        <x:v>Relación profesional</x:v>
      </x:c>
      <x:c r="E4" s="10" t="str">
        <x:v>Contenido transmitido</x:v>
      </x:c>
      <x:c r="F4" s="10" t="str">
        <x:v>Tratamiento de insuficiencia / U</x:v>
      </x:c>
      <x:c r="G4" s="10" t="str">
        <x:v>Obligación de tipado y límite</x:v>
      </x:c>
      <x:c r="H4" s="10" t="str">
        <x:v>Anclas</x:v>
      </x:c>
      <x:c r="I4" s="10" t="str">
        <x:v>Estatuto</x:v>
      </x:c>
      <x:c r="J4" s="10" t="str">
        <x:v>Origen inválido</x:v>
      </x:c>
      <x:c r="K4" s="10" t="str">
        <x:v>Destino inválido</x:v>
      </x:c>
    </x:row>
    <x:row r="5" ht="47" customHeight="1">
      <x:c r="A5" s="4" t="str">
        <x:v>RC-01</x:v>
      </x:c>
      <x:c r="B5" s="4" t="str">
        <x:v>CYO-27</x:v>
      </x:c>
      <x:c r="C5" s="4" t="str">
        <x:v>CYO-07</x:v>
      </x:c>
      <x:c r="D5" s="4" t="str">
        <x:v>Evidencia de cobertura</x:v>
      </x:c>
      <x:c r="E5" s="4" t="str">
        <x:v>Telemetría y escenarios observables</x:v>
      </x:c>
      <x:c r="F5" s="4" t="str">
        <x:v>La falta de cobertura limita el juicio sobre ausencia de actividad</x:v>
      </x:c>
      <x:c r="G5" s="4" t="str">
        <x:v>Serie candidata; tipar salida, entrada y conector antes de G7</x:v>
      </x:c>
      <x:c r="H5" s="4" t="str">
        <x:v>R033; S007 §7.8</x:v>
      </x:c>
      <x:c r="I5" s="4" t="str">
        <x:v>PROPUESTA; G7 NO CONSTITUIDA</x:v>
      </x:c>
      <x:c r="J5" s="12" t="n">
        <x:f>IF(COUNTIF('26_Mapa_universos'!$A$5:$A$33,B5)=1,0,1)</x:f>
        <x:v>0</x:v>
      </x:c>
      <x:c r="K5" s="12" t="n">
        <x:f>IF(COUNTIF('26_Mapa_universos'!$A$5:$A$33,C5)=1,0,1)</x:f>
        <x:v>0</x:v>
      </x:c>
    </x:row>
    <x:row r="6" ht="47" customHeight="1">
      <x:c r="A6" s="4" t="str">
        <x:v>RC-02</x:v>
      </x:c>
      <x:c r="B6" s="4" t="str">
        <x:v>CYO-23</x:v>
      </x:c>
      <x:c r="C6" s="4" t="str">
        <x:v>CYO-15</x:v>
      </x:c>
      <x:c r="D6" s="4" t="str">
        <x:v>Evidencia técnica para admisión</x:v>
      </x:c>
      <x:c r="E6" s="4" t="str">
        <x:v>Informe del modelo, corte y uso evaluados</x:v>
      </x:c>
      <x:c r="F6" s="4" t="str">
        <x:v>Informe incompleto no se interpreta como aptitud</x:v>
      </x:c>
      <x:c r="G6" s="4" t="str">
        <x:v>Entrada de evidencia; no compuerta constituida</x:v>
      </x:c>
      <x:c r="H6" s="4" t="str">
        <x:v>M002; M003; I005 §7</x:v>
      </x:c>
      <x:c r="I6" s="4" t="str">
        <x:v>PROPUESTA; G7 NO CONSTITUIDA</x:v>
      </x:c>
      <x:c r="J6" s="12" t="n">
        <x:f>IF(COUNTIF('26_Mapa_universos'!$A$5:$A$33,B6)=1,0,1)</x:f>
        <x:v>0</x:v>
      </x:c>
      <x:c r="K6" s="12" t="n">
        <x:f>IF(COUNTIF('26_Mapa_universos'!$A$5:$A$33,C6)=1,0,1)</x:f>
        <x:v>0</x:v>
      </x:c>
    </x:row>
    <x:row r="7" ht="47" customHeight="1">
      <x:c r="A7" s="4" t="str">
        <x:v>RC-03</x:v>
      </x:c>
      <x:c r="B7" s="4" t="str">
        <x:v>CYO-29</x:v>
      </x:c>
      <x:c r="C7" s="4" t="str">
        <x:v>CYO-15</x:v>
      </x:c>
      <x:c r="D7" s="4" t="str">
        <x:v>Condición corporativa de uso</x:v>
      </x:c>
      <x:c r="E7" s="4" t="str">
        <x:v>Política y autoridad aplicables</x:v>
      </x:c>
      <x:c r="F7" s="4" t="str">
        <x:v>Falta de permiso mantiene el uso sin admitir</x:v>
      </x:c>
      <x:c r="G7" s="4" t="str">
        <x:v>Condición de autorización humana; no operador automático</x:v>
      </x:c>
      <x:c r="H7" s="4" t="str">
        <x:v>R037; AN-02; S001</x:v>
      </x:c>
      <x:c r="I7" s="4" t="str">
        <x:v>PROPUESTA; G7 NO CONSTITUIDA</x:v>
      </x:c>
      <x:c r="J7" s="12" t="n">
        <x:f>IF(COUNTIF('26_Mapa_universos'!$A$5:$A$33,B7)=1,0,1)</x:f>
        <x:v>0</x:v>
      </x:c>
      <x:c r="K7" s="12" t="n">
        <x:f>IF(COUNTIF('26_Mapa_universos'!$A$5:$A$33,C7)=1,0,1)</x:f>
        <x:v>0</x:v>
      </x:c>
    </x:row>
    <x:row r="8" ht="47" customHeight="1">
      <x:c r="A8" s="4" t="str">
        <x:v>RC-04</x:v>
      </x:c>
      <x:c r="B8" s="4" t="str">
        <x:v>CYO-15</x:v>
      </x:c>
      <x:c r="C8" s="4" t="str">
        <x:v>CYO-07</x:v>
      </x:c>
      <x:c r="D8" s="4" t="str">
        <x:v>Restricción del apoyo de IA</x:v>
      </x:c>
      <x:c r="E8" s="4" t="str">
        <x:v>Uso admitido, versión, permiso y supervisión</x:v>
      </x:c>
      <x:c r="F8" s="4" t="str">
        <x:v>Si no está admitido no habilita el apoyo; triaje humano tiene contrato propio</x:v>
      </x:c>
      <x:c r="G8" s="4" t="str">
        <x:v>Habilitación propuesta; no crea célula ni asigna 0/1</x:v>
      </x:c>
      <x:c r="H8" s="4" t="str">
        <x:v>M003; R033</x:v>
      </x:c>
      <x:c r="I8" s="4" t="str">
        <x:v>PROPUESTA; G7 NO CONSTITUIDA</x:v>
      </x:c>
      <x:c r="J8" s="12" t="n">
        <x:f>IF(COUNTIF('26_Mapa_universos'!$A$5:$A$33,B8)=1,0,1)</x:f>
        <x:v>0</x:v>
      </x:c>
      <x:c r="K8" s="12" t="n">
        <x:f>IF(COUNTIF('26_Mapa_universos'!$A$5:$A$33,C8)=1,0,1)</x:f>
        <x:v>0</x:v>
      </x:c>
    </x:row>
    <x:row r="9" ht="47" customHeight="1">
      <x:c r="A9" s="4" t="str">
        <x:v>RC-05</x:v>
      </x:c>
      <x:c r="B9" s="4" t="str">
        <x:v>CYO-07</x:v>
      </x:c>
      <x:c r="C9" s="4" t="str">
        <x:v>CYO-09</x:v>
      </x:c>
      <x:c r="D9" s="4" t="str">
        <x:v>Escalado fundado</x:v>
      </x:c>
      <x:c r="E9" s="4" t="str">
        <x:v>Episodio y evidencia con incertidumbre</x:v>
      </x:c>
      <x:c r="F9" s="4" t="str">
        <x:v>Alerta no equivale a incidente confirmado ni a permiso de contención</x:v>
      </x:c>
      <x:c r="G9" s="4" t="str">
        <x:v>Transición condicionada por el contrato futuro</x:v>
      </x:c>
      <x:c r="H9" s="4" t="str">
        <x:v>R033</x:v>
      </x:c>
      <x:c r="I9" s="4" t="str">
        <x:v>PROPUESTA; G7 NO CONSTITUIDA</x:v>
      </x:c>
      <x:c r="J9" s="12" t="n">
        <x:f>IF(COUNTIF('26_Mapa_universos'!$A$5:$A$33,B9)=1,0,1)</x:f>
        <x:v>0</x:v>
      </x:c>
      <x:c r="K9" s="12" t="n">
        <x:f>IF(COUNTIF('26_Mapa_universos'!$A$5:$A$33,C9)=1,0,1)</x:f>
        <x:v>0</x:v>
      </x:c>
    </x:row>
    <x:row r="10" ht="47" customHeight="1">
      <x:c r="A10" s="4" t="str">
        <x:v>RC-06</x:v>
      </x:c>
      <x:c r="B10" s="4" t="str">
        <x:v>CYO-09</x:v>
      </x:c>
      <x:c r="C10" s="4" t="str">
        <x:v>CYO-24</x:v>
      </x:c>
      <x:c r="D10" s="4" t="str">
        <x:v>Plan aprobado para actuación</x:v>
      </x:c>
      <x:c r="E10" s="4" t="str">
        <x:v>Plan, permiso, objetos y condiciones de parada</x:v>
      </x:c>
      <x:c r="F10" s="4" t="str">
        <x:v>Sin autorización no procede actuación material</x:v>
      </x:c>
      <x:c r="G10" s="4" t="str">
        <x:v>Precedencia de gobierno; compuerta pendiente de semántica</x:v>
      </x:c>
      <x:c r="H10" s="4" t="str">
        <x:v>R033; S001</x:v>
      </x:c>
      <x:c r="I10" s="4" t="str">
        <x:v>PROPUESTA; G7 NO CONSTITUIDA</x:v>
      </x:c>
      <x:c r="J10" s="12" t="n">
        <x:f>IF(COUNTIF('26_Mapa_universos'!$A$5:$A$33,B10)=1,0,1)</x:f>
        <x:v>0</x:v>
      </x:c>
      <x:c r="K10" s="12" t="n">
        <x:f>IF(COUNTIF('26_Mapa_universos'!$A$5:$A$33,C10)=1,0,1)</x:f>
        <x:v>0</x:v>
      </x:c>
    </x:row>
    <x:row r="11" ht="47" customHeight="1">
      <x:c r="A11" s="4" t="str">
        <x:v>RC-07</x:v>
      </x:c>
      <x:c r="B11" s="4" t="str">
        <x:v>CYO-24</x:v>
      </x:c>
      <x:c r="C11" s="4" t="str">
        <x:v>CYO-25</x:v>
      </x:c>
      <x:c r="D11" s="4" t="str">
        <x:v>Transferencia hacia recuperación</x:v>
      </x:c>
      <x:c r="E11" s="4" t="str">
        <x:v>Estado efectivo y restricciones del incidente</x:v>
      </x:c>
      <x:c r="F11" s="4" t="str">
        <x:v>Efecto no verificado no se convierte en restauración acreditada</x:v>
      </x:c>
      <x:c r="G11" s="4" t="str">
        <x:v>Transición con cambio de responsable cuando proceda</x:v>
      </x:c>
      <x:c r="H11" s="4" t="str">
        <x:v>R033</x:v>
      </x:c>
      <x:c r="I11" s="4" t="str">
        <x:v>PROPUESTA; G7 NO CONSTITUIDA</x:v>
      </x:c>
      <x:c r="J11" s="12" t="n">
        <x:f>IF(COUNTIF('26_Mapa_universos'!$A$5:$A$33,B11)=1,0,1)</x:f>
        <x:v>0</x:v>
      </x:c>
      <x:c r="K11" s="12" t="n">
        <x:f>IF(COUNTIF('26_Mapa_universos'!$A$5:$A$33,C11)=1,0,1)</x:f>
        <x:v>0</x:v>
      </x:c>
    </x:row>
    <x:row r="12" ht="47" customHeight="1">
      <x:c r="A12" s="4" t="str">
        <x:v>RC-08</x:v>
      </x:c>
      <x:c r="B12" s="4" t="str">
        <x:v>CYO-11</x:v>
      </x:c>
      <x:c r="C12" s="4" t="str">
        <x:v>CYO-25</x:v>
      </x:c>
      <x:c r="D12" s="4" t="str">
        <x:v>Evidencia previa de preparación</x:v>
      </x:c>
      <x:c r="E12" s="4" t="str">
        <x:v>Ensayos y límites que pueden seguir vigentes</x:v>
      </x:c>
      <x:c r="F12" s="4" t="str">
        <x:v>Ensayo favorable no asegura recuperación real</x:v>
      </x:c>
      <x:c r="G12" s="4" t="str">
        <x:v>Referencia probatoria con vigencia, sin copiar estado</x:v>
      </x:c>
      <x:c r="H12" s="4" t="str">
        <x:v>R033</x:v>
      </x:c>
      <x:c r="I12" s="4" t="str">
        <x:v>PROPUESTA; G7 NO CONSTITUIDA</x:v>
      </x:c>
      <x:c r="J12" s="12" t="n">
        <x:f>IF(COUNTIF('26_Mapa_universos'!$A$5:$A$33,B12)=1,0,1)</x:f>
        <x:v>0</x:v>
      </x:c>
      <x:c r="K12" s="12" t="n">
        <x:f>IF(COUNTIF('26_Mapa_universos'!$A$5:$A$33,C12)=1,0,1)</x:f>
        <x:v>0</x:v>
      </x:c>
    </x:row>
    <x:row r="13" ht="47" customHeight="1">
      <x:c r="A13" s="4" t="str">
        <x:v>RC-09</x:v>
      </x:c>
      <x:c r="B13" s="4" t="str">
        <x:v>CYO-10</x:v>
      </x:c>
      <x:c r="C13" s="4" t="str">
        <x:v>CYO-07</x:v>
      </x:c>
      <x:c r="D13" s="4" t="str">
        <x:v>Aporte de evidencia</x:v>
      </x:c>
      <x:c r="E13" s="4" t="str">
        <x:v>Hallazgo forense autorizado y su procedencia</x:v>
      </x:c>
      <x:c r="F13" s="4" t="str">
        <x:v>Interpretación no adjudicada conserva incertidumbre</x:v>
      </x:c>
      <x:c r="G13" s="4" t="str">
        <x:v>Referencia de lectura; el siguiente episodio tiene identidad nueva</x:v>
      </x:c>
      <x:c r="H13" s="4" t="str">
        <x:v>R033; S012 §4</x:v>
      </x:c>
      <x:c r="I13" s="4" t="str">
        <x:v>PROPUESTA; G7 NO CONSTITUIDA</x:v>
      </x:c>
      <x:c r="J13" s="12" t="n">
        <x:f>IF(COUNTIF('26_Mapa_universos'!$A$5:$A$33,B13)=1,0,1)</x:f>
        <x:v>0</x:v>
      </x:c>
      <x:c r="K13" s="12" t="n">
        <x:f>IF(COUNTIF('26_Mapa_universos'!$A$5:$A$33,C13)=1,0,1)</x:f>
        <x:v>0</x:v>
      </x:c>
    </x:row>
    <x:row r="14" ht="47" customHeight="1">
      <x:c r="A14" s="4" t="str">
        <x:v>RC-10</x:v>
      </x:c>
      <x:c r="B14" s="4" t="str">
        <x:v>CYO-04</x:v>
      </x:c>
      <x:c r="C14" s="4" t="str">
        <x:v>CYO-26</x:v>
      </x:c>
      <x:c r="D14" s="4" t="str">
        <x:v>Hallazgo para tratamiento</x:v>
      </x:c>
      <x:c r="E14" s="4" t="str">
        <x:v>Prueba, alcance, aplicabilidad y evidencia</x:v>
      </x:c>
      <x:c r="F14" s="4" t="str">
        <x:v>Hallazgo no aplicable no recibe tratamiento automático</x:v>
      </x:c>
      <x:c r="G14" s="4" t="str">
        <x:v>Entrada contextual; CVSS no sustituye riesgo</x:v>
      </x:c>
      <x:c r="H14" s="4" t="str">
        <x:v>R034; R035</x:v>
      </x:c>
      <x:c r="I14" s="4" t="str">
        <x:v>PROPUESTA; G7 NO CONSTITUIDA</x:v>
      </x:c>
      <x:c r="J14" s="12" t="n">
        <x:f>IF(COUNTIF('26_Mapa_universos'!$A$5:$A$33,B14)=1,0,1)</x:f>
        <x:v>0</x:v>
      </x:c>
      <x:c r="K14" s="12" t="n">
        <x:f>IF(COUNTIF('26_Mapa_universos'!$A$5:$A$33,C14)=1,0,1)</x:f>
        <x:v>0</x:v>
      </x:c>
    </x:row>
    <x:row r="15" ht="47" customHeight="1">
      <x:c r="A15" s="4" t="str">
        <x:v>RC-11</x:v>
      </x:c>
      <x:c r="B15" s="4" t="str">
        <x:v>CYO-01</x:v>
      </x:c>
      <x:c r="C15" s="4" t="str">
        <x:v>CYO-26</x:v>
      </x:c>
      <x:c r="D15" s="4" t="str">
        <x:v>Balance y condiciones de tratamiento</x:v>
      </x:c>
      <x:c r="E15" s="4" t="str">
        <x:v>Riesgo local, coste total y valor protegido</x:v>
      </x:c>
      <x:c r="F15" s="4" t="str">
        <x:v>Valoración insuficiente no habilita una aprobación económica inventada</x:v>
      </x:c>
      <x:c r="G15" s="4" t="str">
        <x:v>Condición humana documentada; no compensación algorítmica</x:v>
      </x:c>
      <x:c r="H15" s="4" t="str">
        <x:v>R035; mandato humano</x:v>
      </x:c>
      <x:c r="I15" s="4" t="str">
        <x:v>PROPUESTA; G7 NO CONSTITUIDA</x:v>
      </x:c>
      <x:c r="J15" s="12" t="n">
        <x:f>IF(COUNTIF('26_Mapa_universos'!$A$5:$A$33,B15)=1,0,1)</x:f>
        <x:v>0</x:v>
      </x:c>
      <x:c r="K15" s="12" t="n">
        <x:f>IF(COUNTIF('26_Mapa_universos'!$A$5:$A$33,C15)=1,0,1)</x:f>
        <x:v>0</x:v>
      </x:c>
    </x:row>
    <x:row r="16" ht="47" customHeight="1">
      <x:c r="A16" s="4" t="str">
        <x:v>RC-12</x:v>
      </x:c>
      <x:c r="B16" s="4" t="str">
        <x:v>CYO-14</x:v>
      </x:c>
      <x:c r="C16" s="4" t="str">
        <x:v>CYO-24</x:v>
      </x:c>
      <x:c r="D16" s="4" t="str">
        <x:v>Restricción ciberfísica</x:v>
      </x:c>
      <x:c r="E16" s="4" t="str">
        <x:v>Límite de proceso y autoridad de seguridad física</x:v>
      </x:c>
      <x:c r="F16" s="4" t="str">
        <x:v>Una incertidumbre crítica puede bloquear intervención según contrato</x:v>
      </x:c>
      <x:c r="G16" s="4" t="str">
        <x:v>Supervisión o veto candidato; requiere contrato específico</x:v>
      </x:c>
      <x:c r="H16" s="4" t="str">
        <x:v>R036; S007 §7.9</x:v>
      </x:c>
      <x:c r="I16" s="4" t="str">
        <x:v>PROPUESTA; G7 NO CONSTITUIDA</x:v>
      </x:c>
      <x:c r="J16" s="12" t="n">
        <x:f>IF(COUNTIF('26_Mapa_universos'!$A$5:$A$33,B16)=1,0,1)</x:f>
        <x:v>0</x:v>
      </x:c>
      <x:c r="K16" s="12" t="n">
        <x:f>IF(COUNTIF('26_Mapa_universos'!$A$5:$A$33,C16)=1,0,1)</x:f>
        <x:v>0</x:v>
      </x:c>
    </x:row>
    <x:row r="17" ht="47" customHeight="1">
      <x:c r="A17" s="4" t="str">
        <x:v>RC-13</x:v>
      </x:c>
      <x:c r="B17" s="4" t="str">
        <x:v>CYO-19</x:v>
      </x:c>
      <x:c r="C17" s="4" t="str">
        <x:v>CYO-29</x:v>
      </x:c>
      <x:c r="D17" s="4" t="str">
        <x:v>Propuesta de actualización</x:v>
      </x:c>
      <x:c r="E17" s="4" t="str">
        <x:v>Conocimiento nuevo con método y límites</x:v>
      </x:c>
      <x:c r="F17" s="4" t="str">
        <x:v>Novedad no sustituye política vigente sin aptitud declarada por humano</x:v>
      </x:c>
      <x:c r="G17" s="4" t="str">
        <x:v>Nuevo suceso versionado; no ciclo de actualización automático</x:v>
      </x:c>
      <x:c r="H17" s="4" t="str">
        <x:v>W016; I005 §5</x:v>
      </x:c>
      <x:c r="I17" s="4" t="str">
        <x:v>PROPUESTA; G7 NO CONSTITUIDA</x:v>
      </x:c>
      <x:c r="J17" s="12" t="n">
        <x:f>IF(COUNTIF('26_Mapa_universos'!$A$5:$A$33,B17)=1,0,1)</x:f>
        <x:v>0</x:v>
      </x:c>
      <x:c r="K17" s="12" t="n">
        <x:f>IF(COUNTIF('26_Mapa_universos'!$A$5:$A$33,C17)=1,0,1)</x:f>
        <x:v>0</x:v>
      </x:c>
    </x:row>
    <x:row r="18" ht="47" customHeight="1">
      <x:c r="A18" s="4" t="str">
        <x:v>RC-14</x:v>
      </x:c>
      <x:c r="B18" s="4" t="str">
        <x:v>CYO-22</x:v>
      </x:c>
      <x:c r="C18" s="4" t="str">
        <x:v>CYO-18</x:v>
      </x:c>
      <x:c r="D18" s="4" t="str">
        <x:v>Retroalimentación educativa</x:v>
      </x:c>
      <x:c r="E18" s="4" t="str">
        <x:v>Evidencia del aprendizaje y carencias observadas</x:v>
      </x:c>
      <x:c r="F18" s="4" t="str">
        <x:v>Asistencia no se convierte en aprendizaje demostrado</x:v>
      </x:c>
      <x:c r="G18" s="4" t="str">
        <x:v>Revisión en otro corte; no realimentación instantánea del motor</x:v>
      </x:c>
      <x:c r="H18" s="4" t="str">
        <x:v>R038; M001</x:v>
      </x:c>
      <x:c r="I18" s="4" t="str">
        <x:v>PROPUESTA; G7 NO CONSTITUIDA</x:v>
      </x:c>
      <x:c r="J18" s="12" t="n">
        <x:f>IF(COUNTIF('26_Mapa_universos'!$A$5:$A$33,B18)=1,0,1)</x:f>
        <x:v>0</x:v>
      </x:c>
      <x:c r="K18" s="12" t="n">
        <x:f>IF(COUNTIF('26_Mapa_universos'!$A$5:$A$33,C18)=1,0,1)</x:f>
        <x:v>0</x:v>
      </x:c>
    </x:row>
  </x:sheetData>
  <x:mergeCells>
    <x:mergeCell ref="A1:D1"/>
    <x:mergeCell ref="A2:F2"/>
  </x:mergeCells>
  <x:conditionalFormatting sqref="J5:J18">
    <x:cfRule type="expression" dxfId="13" priority="1">
      <x:formula>J5&gt;0</x:formula>
    </x:cfRule>
  </x:conditionalFormatting>
  <x:conditionalFormatting sqref="K5:K18">
    <x:cfRule type="expression" dxfId="14" priority="2">
      <x:formula>K5&gt;0</x:formula>
    </x:cfRule>
  </x:conditionalFormatting>
  <x:pageMargins left="0.7" right="0.7" top="0.75" bottom="0.75" header="0.3" footer="0.3"/>
  <x:tableParts count="1">
    <x:tablePart xmlns:r="http://schemas.openxmlformats.org/officeDocument/2006/relationships" r:id="Rbbc2d3b1624041ba"/>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3" hidden="0" customWidth="1"/>
    <x:col min="2" max="2" width="39" hidden="0" customWidth="1"/>
    <x:col min="3" max="3" width="103" hidden="0" customWidth="1"/>
    <x:col min="4" max="4" width="110" hidden="0" customWidth="1"/>
    <x:col min="5" max="5" width="99" hidden="0" customWidth="1"/>
    <x:col min="6" max="6" width="44" hidden="0" customWidth="1"/>
    <x:col min="7" max="7" width="41" hidden="0" customWidth="1"/>
  </x:cols>
  <x:sheetData>
    <x:row r="1" ht="35" customHeight="1">
      <x:c r="A1" s="6" t="str">
        <x:v>CAMINO · del currículo al primer parámetro y universo</x:v>
      </x:c>
      <x:c r="B1" s="6"/>
      <x:c r="C1" s="6"/>
      <x:c r="D1" s="6"/>
      <x:c r="E1" s="6"/>
      <x:c r="F1" s="6"/>
      <x:c r="G1" s="6"/>
    </x:row>
    <x:row r="2" ht="52" customHeight="1">
      <x:c r="A2" s="8" t="str">
        <x:v>Actualización v0.4: recorrido documental 36–44. G0/G1 de trabajo y primer dictamen G5; no adopción soberana nominal ni cierre del universo.</x:v>
      </x:c>
      <x:c r="B2" s="8"/>
      <x:c r="C2" s="8"/>
      <x:c r="D2" s="8"/>
      <x:c r="E2" s="8"/>
      <x:c r="F2" s="8"/>
      <x:c r="G2" s="8"/>
    </x:row>
    <x:row r="3">
      <x:c r="A3" s="4"/>
      <x:c r="B3" s="4"/>
      <x:c r="C3" s="4"/>
      <x:c r="D3" s="4"/>
      <x:c r="E3" s="4"/>
      <x:c r="F3" s="4"/>
      <x:c r="G3" s="4"/>
    </x:row>
    <x:row r="4" ht="42" customHeight="1">
      <x:c r="A4" s="10" t="str">
        <x:v>ID</x:v>
      </x:c>
      <x:c r="B4" s="10" t="str">
        <x:v>Paso</x:v>
      </x:c>
      <x:c r="C4" s="10" t="str">
        <x:v>Trabajo y criterio</x:v>
      </x:c>
      <x:c r="D4" s="10" t="str">
        <x:v>Frontera / condición</x:v>
      </x:c>
      <x:c r="E4" s="10" t="str">
        <x:v>Objeto de cierre</x:v>
      </x:c>
      <x:c r="F4" s="10" t="str">
        <x:v>Fuente</x:v>
      </x:c>
      <x:c r="G4" s="10" t="str">
        <x:v>Estado</x:v>
      </x:c>
    </x:row>
    <x:row r="5" ht="47" customHeight="1">
      <x:c r="A5" s="4" t="str">
        <x:v>PC-01</x:v>
      </x:c>
      <x:c r="B5" s="4" t="str">
        <x:v>Cerrar el perímetro</x:v>
      </x:c>
      <x:c r="C5" s="4" t="str">
        <x:v>Resolver reservas materiales para la operación; admitir fuentes y extracción suficiente</x:v>
      </x:c>
      <x:c r="D5" s="4" t="str">
        <x:v>Mapa 26 y trazas 27 son propuesta; una reserva ajena al uso no bloquea todo el dominio</x:v>
      </x:c>
      <x:c r="E5" s="4" t="str">
        <x:v>Catálogo admitido con alcance, exclusiones y responsable</x:v>
      </x:c>
      <x:c r="F5" s="4" t="str">
        <x:v>I005 §7.1</x:v>
      </x:c>
      <x:c r="G5" s="4" t="str">
        <x:v>ACOTADO EN 37</x:v>
      </x:c>
    </x:row>
    <x:row r="6" ht="47" customHeight="1">
      <x:c r="A6" s="4" t="str">
        <x:v>PC-02</x:v>
      </x:c>
      <x:c r="B6" s="4" t="str">
        <x:v>Comparar primera operación</x:v>
      </x:c>
      <x:c r="C6" s="4" t="str">
        <x:v>Relevancia, evidencia admisible, finitud y consecuencias de omitir conocimiento necesario</x:v>
      </x:c>
      <x:c r="D6" s="4" t="str">
        <x:v>Comparadas CYO-07, 14, 23 y 26. Se selecciona el recorte de cierre de corrección de CYO-26; véase 36.</x:v>
      </x:c>
      <x:c r="E6" s="4" t="str">
        <x:v>Selección motivada por unidad competente y Dirección</x:v>
      </x:c>
      <x:c r="F6" s="4" t="str">
        <x:v>I005 §7.1; 26; 34</x:v>
      </x:c>
      <x:c r="G6" s="4" t="str">
        <x:v>COMPARACIÓN EN 36</x:v>
      </x:c>
    </x:row>
    <x:row r="7" ht="47" customHeight="1">
      <x:c r="A7" s="4" t="str">
        <x:v>PC-03</x:v>
      </x:c>
      <x:c r="B7" s="4" t="str">
        <x:v>Prioridad por consecuencia de omisión</x:v>
      </x:c>
      <x:c r="C7" s="4" t="str">
        <x:v>El riesgo de cerrar correcciones sin enlazar requisito, cumplimiento y efecto fundamenta el primer recorte.</x:v>
      </x:c>
      <x:c r="D7" s="4" t="str">
        <x:v>Se descarta durante la preparación dar preferencia a validar un detector sólo por disponer de fuentes de IA</x:v>
      </x:c>
      <x:c r="E7" s="4" t="str">
        <x:v>Propuesta motivada por consecuencia, representatividad, evidencia y cierre finito</x:v>
      </x:c>
      <x:c r="F7" s="4" t="str">
        <x:v>34; I005 §7.1; mandato humano</x:v>
      </x:c>
      <x:c r="G7" s="4" t="str">
        <x:v>CYO-26 / OP-CYB-001</x:v>
      </x:c>
    </x:row>
    <x:row r="8" ht="47" customHeight="1">
      <x:c r="A8" s="4" t="str">
        <x:v>PC-04</x:v>
      </x:c>
      <x:c r="B8" s="4" t="str">
        <x:v>Fijar G1 y manifiesto finito</x:v>
      </x:c>
      <x:c r="C8" s="4" t="str">
        <x:v>OP-CYB-001 y Q0 v0.1 fijados como propuesta documental; raíces y distinciones enumeradas antes del contraste.</x:v>
      </x:c>
      <x:c r="D8" s="4" t="str">
        <x:v>El contrato declarará medios y límites propios. Catalogar no autoriza entrenamiento, despliegue, intervención ni uso de datos reales</x:v>
      </x:c>
      <x:c r="E8" s="4" t="str">
        <x:v>Q0 finito, medida de distinciones pendientes y estados terminales propios</x:v>
      </x:c>
      <x:c r="F8" s="4" t="str">
        <x:v>I005 §§7.2,7.4; I004</x:v>
      </x:c>
      <x:c r="G8" s="4" t="str">
        <x:v>Q0 v0.1 EN 38</x:v>
      </x:c>
    </x:row>
    <x:row r="9" ht="47" customHeight="1">
      <x:c r="A9" s="4" t="str">
        <x:v>PC-05</x:v>
      </x:c>
      <x:c r="B9" s="4" t="str">
        <x:v>Primera distinción por necesidad de consejo</x:v>
      </x:c>
      <x:c r="C9" s="4" t="str">
        <x:v>Requisito de reinicio al finalizar una instalación individual: evidencia, incertidumbre y consecuencias en 39–40.</x:v>
      </x:c>
      <x:c r="D9" s="4" t="str">
        <x:v>Los testigos CE-OM de 34 orientan la búsqueda. No se inventa un parámetro común a cualquier operación ni se elige por facilidad documental</x:v>
      </x:c>
      <x:c r="E9" s="4" t="str">
        <x:v>Pregunta semántica con evidencia, observables y consecuencia separable, antes de G5</x:v>
      </x:c>
      <x:c r="F9" s="4" t="str">
        <x:v>I005 §§7.2–7.3; S013; 34</x:v>
      </x:c>
      <x:c r="G9" s="4" t="str">
        <x:v>QCY-04-D1 EN 39–40</x:v>
      </x:c>
    </x:row>
    <x:row r="10" ht="47" customHeight="1">
      <x:c r="A10" s="4" t="str">
        <x:v>PC-06</x:v>
      </x:c>
      <x:c r="B10" s="4" t="str">
        <x:v>Adjudicar el primer parámetro</x:v>
      </x:c>
      <x:c r="C10" s="4" t="str">
        <x:v>Prueba de identidad, independencia, U, ablación y partición aplicada al primer parámetro; pruebas sintéticas en 41.</x:v>
      </x:c>
      <x:c r="D10" s="4" t="str">
        <x:v>Si resulta compuesto, operando, control o insuficiencia, se registra ese resultado. No se fuerza una adopción</x:v>
      </x:c>
      <x:c r="E10" s="4" t="str">
        <x:v>Un dictamen G5 con fuente, contrato, contraejemplos y estatuto exacto</x:v>
      </x:c>
      <x:c r="F10" s="4" t="str">
        <x:v>I005 §7.3; S013</x:v>
      </x:c>
      <x:c r="G10" s="4" t="str">
        <x:v>DICTAMEN FAVORABLE EN 39–42</x:v>
      </x:c>
    </x:row>
    <x:row r="11" ht="47" customHeight="1">
      <x:c r="A11" s="4" t="str">
        <x:v>PC-07</x:v>
      </x:c>
      <x:c r="B11" s="4" t="str">
        <x:v>Lote posterior de hasta diez</x:v>
      </x:c>
      <x:c r="C11" s="4" t="str">
        <x:v>Seleccionar las próximas distinciones necesarias entre las raíces ya fijadas</x:v>
      </x:c>
      <x:c r="D11" s="4" t="str">
        <x:v>Diez es un tamaño administrativo solicitado; no una cuota de parámetros. Cada raíz puede cerrar sin parámetro</x:v>
      </x:c>
      <x:c r="E11" s="4" t="str">
        <x:v>Ledger que reduzca pendientes y preserve dependencias sin nuevas raíces silenciosas</x:v>
      </x:c>
      <x:c r="F11" s="4" t="str">
        <x:v>I005 §7.4; S011</x:v>
      </x:c>
      <x:c r="G11" s="4" t="str">
        <x:v>PENDIENTE</x:v>
      </x:c>
    </x:row>
    <x:row r="12" ht="47" customHeight="1">
      <x:c r="A12" s="4" t="str">
        <x:v>PC-08</x:v>
      </x:c>
      <x:c r="B12" s="4" t="str">
        <x:v>Cerrar A0 y propiedad</x:v>
      </x:c>
      <x:c r="C12" s="4" t="str">
        <x:v>Agotar raíces y distinguir parámetros, controles, operandos y bloqueos</x:v>
      </x:c>
      <x:c r="D12" s="4" t="str">
        <x:v>Únicos ≠ usos; un propietario por identidad. No extrapolar 29×27 ni decidir ahora cuántas matrices habrá</x:v>
      </x:c>
      <x:c r="E12" s="4" t="str">
        <x:v>Inventario finito y función de propiedad trazada</x:v>
      </x:c>
      <x:c r="F12" s="4" t="str">
        <x:v>I005 §7.3; S012</x:v>
      </x:c>
      <x:c r="G12" s="4" t="str">
        <x:v>PENDIENTE</x:v>
      </x:c>
    </x:row>
    <x:row r="13" ht="47" customHeight="1">
      <x:c r="A13" s="4" t="str">
        <x:v>PC-09</x:v>
      </x:c>
      <x:c r="B13" s="4" t="str">
        <x:v>Constituir matrices y rutas</x:v>
      </x:c>
      <x:c r="C13" s="4" t="str">
        <x:v>Agrupación semántica, referencias y contratos de composición tipados</x:v>
      </x:c>
      <x:c r="D13" s="4" t="str">
        <x:v>Sin relleno, duplicación o células menores; no tratar cada flecha de 28 como relación ya admitida</x:v>
      </x:c>
      <x:c r="E13" s="4" t="str">
        <x:v>G6/G7 con salidas, U, precedencias y autoridades justificadas</x:v>
      </x:c>
      <x:c r="F13" s="4" t="str">
        <x:v>I005 §7.2; S007 §7</x:v>
      </x:c>
      <x:c r="G13" s="4" t="str">
        <x:v>PENDIENTE</x:v>
      </x:c>
    </x:row>
    <x:row r="14" ht="47" customHeight="1">
      <x:c r="A14" s="4" t="str">
        <x:v>PC-10</x:v>
      </x:c>
      <x:c r="B14" s="4" t="str">
        <x:v>Contrastar y devolver</x:v>
      </x:c>
      <x:c r="C14" s="4" t="str">
        <x:v>Laboratorio autorizado, sensibilidad del observador y contraste de conservación/pérdida</x:v>
      </x:c>
      <x:c r="D14" s="4" t="str">
        <x:v>Distinguir pruebas ejecutadas de especificadas. No seguir buscando hasta obtener un defecto; no abrir segundo universo por conveniencia</x:v>
      </x:c>
      <x:c r="E14" s="4" t="str">
        <x:v>Paquete con resultado fundado y deuda atribuida a la sede competente</x:v>
      </x:c>
      <x:c r="F14" s="4" t="str">
        <x:v>I005 §§8–11</x:v>
      </x:c>
      <x:c r="G14" s="4" t="str">
        <x:v>PENDIENTE</x:v>
      </x:c>
    </x:row>
  </x:sheetData>
  <x:mergeCells>
    <x:mergeCell ref="A1:D1"/>
    <x:mergeCell ref="A2:F2"/>
  </x:mergeCells>
  <x:pageMargins left="0.7" right="0.7" top="0.75" bottom="0.75" header="0.3" footer="0.3"/>
  <x:tableParts count="1">
    <x:tablePart xmlns:r="http://schemas.openxmlformats.org/officeDocument/2006/relationships" r:id="R8b36db0f55234430"/>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3" hidden="0" customWidth="1"/>
    <x:col min="2" max="2" width="57" hidden="0" customWidth="1"/>
    <x:col min="3" max="3" width="117" hidden="0" customWidth="1"/>
    <x:col min="4" max="4" width="53" hidden="0" customWidth="1"/>
    <x:col min="5" max="5" width="61" hidden="0" customWidth="1"/>
  </x:cols>
  <x:sheetData>
    <x:row r="1" ht="35" customHeight="1">
      <x:c r="A1" s="6" t="str">
        <x:v>ADVERSARIAL · grano, educación, autoridad y composición</x:v>
      </x:c>
      <x:c r="B1" s="6"/>
      <x:c r="C1" s="6"/>
      <x:c r="D1" s="6"/>
      <x:c r="E1" s="6"/>
    </x:row>
    <x:row r="2" ht="52" customHeight="1">
      <x:c r="A2" s="8" t="str">
        <x:v>Revisión interna documental de Watson. No auditoría independiente. Los controles estructurales de 31 no certifican causalidad, aprendizaje, ejecución profesional ni suficiencia del Lenguaje.</x:v>
      </x:c>
      <x:c r="B2" s="8"/>
      <x:c r="C2" s="8"/>
      <x:c r="D2" s="8"/>
      <x:c r="E2" s="8"/>
    </x:row>
    <x:row r="3">
      <x:c r="A3" s="4"/>
      <x:c r="B3" s="4"/>
      <x:c r="C3" s="4"/>
      <x:c r="D3" s="4"/>
      <x:c r="E3" s="4"/>
    </x:row>
    <x:row r="4" ht="42" customHeight="1">
      <x:c r="A4" s="10" t="str">
        <x:v>ID</x:v>
      </x:c>
      <x:c r="B4" s="10" t="str">
        <x:v>Ataque</x:v>
      </x:c>
      <x:c r="C4" s="10" t="str">
        <x:v>Respuesta y evidencia</x:v>
      </x:c>
      <x:c r="D4" s="10" t="str">
        <x:v>Resultado</x:v>
      </x:c>
      <x:c r="E4" s="10" t="str">
        <x:v>Localizador</x:v>
      </x:c>
    </x:row>
    <x:row r="5" ht="47" customHeight="1">
      <x:c r="A5" s="4" t="str">
        <x:v>AA-01</x:v>
      </x:c>
      <x:c r="B5" s="4" t="str">
        <x:v>Memoria convertida en inventario</x:v>
      </x:c>
      <x:c r="C5" s="4" t="str">
        <x:v>32 operaciones y 32 raíces son inventarios diferentes; 27 no es cuota; más de 600 únicos no acreditados.</x:v>
      </x:c>
      <x:c r="D5" s="4" t="str">
        <x:v>CORREGIDO EN EL ENCUADRE</x:v>
      </x:c>
      <x:c r="E5" s="4" t="str">
        <x:v>25; S010–S012</x:v>
      </x:c>
    </x:row>
    <x:row r="6" ht="47" customHeight="1">
      <x:c r="A6" s="4" t="str">
        <x:v>AA-02</x:v>
      </x:c>
      <x:c r="B6" s="4" t="str">
        <x:v>23 propios + 4 transversales</x:v>
      </x:c>
      <x:c r="C6" s="4" t="str">
        <x:v>G6 documenta cuatro parámetros con configuración pendiente y cuatro referencias cruzadas: no equivalencia entre ambas cosas.</x:v>
      </x:c>
      <x:c r="D6" s="4" t="str">
        <x:v>CORREGIDO EN EL ENCUADRE</x:v>
      </x:c>
      <x:c r="E6" s="4" t="str">
        <x:v>S012 §§4,7</x:v>
      </x:c>
    </x:row>
    <x:row r="7" ht="47" customHeight="1">
      <x:c r="A7" s="4" t="str">
        <x:v>AA-03</x:v>
      </x:c>
      <x:c r="B7" s="4" t="str">
        <x:v>Tamaños inmunológicos usados como arquitectura</x:v>
      </x:c>
      <x:c r="C7" s="4" t="str">
        <x:v>La Dirección corrige ese apoyo: los tamaños citados se conservan sólo como antecedente. No justifican células irregulares ni una vía de elusión con arrays.</x:v>
      </x:c>
      <x:c r="D7" s="4" t="str">
        <x:v>CORREGIDO POR MANDATO HUMANO</x:v>
      </x:c>
      <x:c r="E7" s="4" t="str">
        <x:v>25 DL-07; S014 §§1–3</x:v>
      </x:c>
    </x:row>
    <x:row r="8" ht="47" customHeight="1">
      <x:c r="A8" s="4" t="str">
        <x:v>AA-04</x:v>
      </x:c>
      <x:c r="B8" s="4" t="str">
        <x:v>Mapa presentado como cierre G0</x:v>
      </x:c>
      <x:c r="C8" s="4" t="str">
        <x:v>La v0.2 conserva reservas: este mapa es hipótesis de acotación pedida por el humano, no perímetro estabilizado ni universo admitido.</x:v>
      </x:c>
      <x:c r="D8" s="4" t="str">
        <x:v>RESERVA MATERIAL VISIBLE</x:v>
      </x:c>
      <x:c r="E8" s="4" t="str">
        <x:v>25; 26; 29 PC-01</x:v>
      </x:c>
    </x:row>
    <x:row r="9" ht="47" customHeight="1">
      <x:c r="A9" s="4" t="str">
        <x:v>AA-05</x:v>
      </x:c>
      <x:c r="B9" s="4" t="str">
        <x:v>Atribuir a la universidad las operaciones de Watson</x:v>
      </x:c>
      <x:c r="C9" s="4" t="str">
        <x:v>Las guías anclan conocimiento y actuación; las tuplas son síntesis profesional contrastable.</x:v>
      </x:c>
      <x:c r="D9" s="4" t="str">
        <x:v>PROTEGIDO DOCUMENTALMENTE</x:v>
      </x:c>
      <x:c r="E9" s="4" t="str">
        <x:v>26; 27</x:v>
      </x:c>
    </x:row>
    <x:row r="10" ht="47" customHeight="1">
      <x:c r="A10" s="4" t="str">
        <x:v>AA-06</x:v>
      </x:c>
      <x:c r="B10" s="4" t="str">
        <x:v>Veintinueve por semejanza con Inmunología</x:v>
      </x:c>
      <x:c r="C10" s="4" t="str">
        <x:v>Reexamen de 22 antecedentes: nuevas identidades por producto/autoridad/cierre; CYO-23 recibe dos enlaces, cuenta una vez.</x:v>
      </x:c>
      <x:c r="D10" s="4" t="str">
        <x:v>RECUENTO EXPLICADO</x:v>
      </x:c>
      <x:c r="E10" s="4" t="str">
        <x:v>33; 31</x:v>
      </x:c>
    </x:row>
    <x:row r="11" ht="47" customHeight="1">
      <x:c r="A11" s="4" t="str">
        <x:v>AA-07</x:v>
      </x:c>
      <x:c r="B11" s="4" t="str">
        <x:v>Fusionar alerta, detector y permiso de uso</x:v>
      </x:c>
      <x:c r="C11" s="4" t="str">
        <x:v>CYO-07, 23 y 15 difieren en producto y finalización. Informe técnico no es permiso.</x:v>
      </x:c>
      <x:c r="D11" s="4" t="str">
        <x:v>SEPARACIÓN CANDIDATA JUSTIFICADA</x:v>
      </x:c>
      <x:c r="E11" s="4" t="str">
        <x:v>26; R033; M002; M003</x:v>
      </x:c>
    </x:row>
    <x:row r="12" ht="47" customHeight="1">
      <x:c r="A12" s="4" t="str">
        <x:v>AA-08</x:v>
      </x:c>
      <x:c r="B12" s="4" t="str">
        <x:v>Partir todo por técnica o marca</x:v>
      </x:c>
      <x:c r="C12" s="4" t="str">
        <x:v>eBPF/P4/SDN y los tipos de modelo son medios o contenidos; no universos automáticos.</x:v>
      </x:c>
      <x:c r="D12" s="4" t="str">
        <x:v>INFLACIÓN RECHAZADA</x:v>
      </x:c>
      <x:c r="E12" s="4" t="str">
        <x:v>18 AN-06; 27</x:v>
      </x:c>
    </x:row>
    <x:row r="13" ht="47" customHeight="1">
      <x:c r="A13" s="4" t="str">
        <x:v>AA-09</x:v>
      </x:c>
      <x:c r="B13" s="4" t="str">
        <x:v>Plan equiparado a efecto material</x:v>
      </x:c>
      <x:c r="C13" s="4" t="str">
        <x:v>CYO-09/24 y CYO-11/25 tienen productos y cierre diferentes. Su catalogación no autoriza actuación.</x:v>
      </x:c>
      <x:c r="D13" s="4" t="str">
        <x:v>SEPARACIÓN CANDIDATA JUSTIFICADA</x:v>
      </x:c>
      <x:c r="E13" s="4" t="str">
        <x:v>26; 33</x:v>
      </x:c>
    </x:row>
    <x:row r="14" ht="47" customHeight="1">
      <x:c r="A14" s="4" t="str">
        <x:v>AA-10</x:v>
      </x:c>
      <x:c r="B14" s="4" t="str">
        <x:v>Duplicar estado por uso transversal</x:v>
      </x:c>
      <x:c r="C14" s="4" t="str">
        <x:v>Identidad y propietario deben permanecer únicos; aún no hay parámetros CYB para adjudicarlos.</x:v>
      </x:c>
      <x:c r="D14" s="4" t="str">
        <x:v>NO SE FABRICAN IDENTIDADES</x:v>
      </x:c>
      <x:c r="E14" s="4" t="str">
        <x:v>25 DL-12; S012</x:v>
      </x:c>
    </x:row>
    <x:row r="15" ht="47" customHeight="1">
      <x:c r="A15" s="4" t="str">
        <x:v>AA-11</x:v>
      </x:c>
      <x:c r="B15" s="4" t="str">
        <x:v>Reducir todo a enciclopedia</x:v>
      </x:c>
      <x:c r="C15" s="4" t="str">
        <x:v>Cada traza conserva conocimiento, saber hacer y consecuencia/límite; la base incluye progresión, prácticas, proyecto y evaluación.</x:v>
      </x:c>
      <x:c r="D15" s="4" t="str">
        <x:v>COBERTURA EDUCATIVA ESTRUCTURADA</x:v>
      </x:c>
      <x:c r="E15" s="4" t="str">
        <x:v>15–19; 27</x:v>
      </x:c>
    </x:row>
    <x:row r="16" ht="47" customHeight="1">
      <x:c r="A16" s="4" t="str">
        <x:v>AA-12</x:v>
      </x:c>
      <x:c r="B16" s="4" t="str">
        <x:v>Confundir cobertura de filas con suficiencia</x:v>
      </x:c>
      <x:c r="C16" s="4" t="str">
        <x:v>Todos los 40 cursos, 12 complementos y 8 necesidades tienen destino; no se ha probado exhaustividad de cada resultado o de toda la profesión.</x:v>
      </x:c>
      <x:c r="D16" s="4" t="str">
        <x:v>RESERVA MATERIAL VISIBLE</x:v>
      </x:c>
      <x:c r="E16" s="4" t="str">
        <x:v>27; 31</x:v>
      </x:c>
    </x:row>
    <x:row r="17" ht="47" customHeight="1">
      <x:c r="A17" s="4" t="str">
        <x:v>AA-13</x:v>
      </x:c>
      <x:c r="B17" s="4" t="str">
        <x:v>Consecuencia plausible declarada causal</x:v>
      </x:c>
      <x:c r="C17" s="4" t="str">
        <x:v>Son consecuencias potenciales de omisión para orientar G4; no daños observados ni causalidad probada.</x:v>
      </x:c>
      <x:c r="D17" s="4" t="str">
        <x:v>LÍMITE PROBATORIO EXPRESO</x:v>
      </x:c>
      <x:c r="E17" s="4" t="str">
        <x:v>19; 26; 27</x:v>
      </x:c>
    </x:row>
    <x:row r="18" ht="47" customHeight="1">
      <x:c r="A18" s="4" t="str">
        <x:v>AA-14</x:v>
      </x:c>
      <x:c r="B18" s="4" t="str">
        <x:v>Ley única para cualquier enlace</x:v>
      </x:c>
      <x:c r="C18" s="4" t="str">
        <x:v>Relación, codominio, interpretación y rol preceden al operador; no se instancia max ni gate a todas las flechas.</x:v>
      </x:c>
      <x:c r="D18" s="4" t="str">
        <x:v>PROTEGIDO DOCUMENTALMENTE</x:v>
      </x:c>
      <x:c r="E18" s="4" t="str">
        <x:v>28; S007 §7</x:v>
      </x:c>
    </x:row>
    <x:row r="19" ht="47" customHeight="1">
      <x:c r="A19" s="4" t="str">
        <x:v>AA-15</x:v>
      </x:c>
      <x:c r="B19" s="4" t="str">
        <x:v>Dominio equiparado a agente</x:v>
      </x:c>
      <x:c r="C19" s="4" t="str">
        <x:v>Se delimita conocimiento y producto. No se implementa un actor ni se le otorgan permisos por incluir respuesta profesional.</x:v>
      </x:c>
      <x:c r="D19" s="4" t="str">
        <x:v>PROTEGIDO DOCUMENTALMENTE</x:v>
      </x:c>
      <x:c r="E19" s="4" t="str">
        <x:v>25 DL-05; S001</x:v>
      </x:c>
    </x:row>
    <x:row r="20" ht="47" customHeight="1">
      <x:c r="A20" s="4" t="str">
        <x:v>AA-16</x:v>
      </x:c>
      <x:c r="B20" s="4" t="str">
        <x:v>Actualización automática por nueva fuente</x:v>
      </x:c>
      <x:c r="C20" s="4" t="str">
        <x:v>Novedad permanece candidata; cambio de catálogo externo no es un valor nuevo de Tri ni una admisión automática.</x:v>
      </x:c>
      <x:c r="D20" s="4" t="str">
        <x:v>PROTEGIDO DOCUMENTALMENTE</x:v>
      </x:c>
      <x:c r="E20" s="4" t="str">
        <x:v>25 DL-14; I005</x:v>
      </x:c>
    </x:row>
    <x:row r="21" ht="47" customHeight="1">
      <x:c r="A21" s="4" t="str">
        <x:v>AA-17</x:v>
      </x:c>
      <x:c r="B21" s="4" t="str">
        <x:v>Coste o estadística clausuran incertidumbre</x:v>
      </x:c>
      <x:c r="C21" s="4" t="str">
        <x:v>Valor protegido y coste total requieren alcance humano. Métrica no clasifica soberanamente SV ni permite borrar U.</x:v>
      </x:c>
      <x:c r="D21" s="4" t="str">
        <x:v>PROTEGIDO DOCUMENTALMENTE</x:v>
      </x:c>
      <x:c r="E21" s="4" t="str">
        <x:v>18 AN-05; 25 DL-15; S001</x:v>
      </x:c>
    </x:row>
    <x:row r="22" ht="47" customHeight="1">
      <x:c r="A22" s="4" t="str">
        <x:v>AA-18</x:v>
      </x:c>
      <x:c r="B22" s="4" t="str">
        <x:v>Atribuir lectura de libros a un índice</x:v>
      </x:c>
      <x:c r="C22" s="4" t="str">
        <x:v>PDF de seis páginas es índice; ITVIA devuelve 403. Sólo se usa doctrina íntegra disponible y se conserva la limitación de acceso.</x:v>
      </x:c>
      <x:c r="D22" s="4" t="str">
        <x:v>LIMITACIÓN DECLARADA</x:v>
      </x:c>
      <x:c r="E22" s="4" t="str">
        <x:v>32; S007–S009</x:v>
      </x:c>
    </x:row>
    <x:row r="23" ht="47" customHeight="1">
      <x:c r="A23" s="4" t="str">
        <x:v>AA-19</x:v>
      </x:c>
      <x:c r="B23" s="4" t="str">
        <x:v>Aceptar contradicción de portada de SVcustos</x:v>
      </x:c>
      <x:c r="C23" s="4" t="str">
        <x:v>README atribuye dos funciones a la sede y muestra 3×3 en columna de capas. Manifiesto y doctrina identifican las sedes y el vector; no se copia la ambigüedad.</x:v>
      </x:c>
      <x:c r="D23" s="4" t="str">
        <x:v>ANTECEDENTE EXTERNO NO MODIFICADO</x:v>
      </x:c>
      <x:c r="E23" s="4" t="str">
        <x:v>S001 §§3,7; S002 apertura y niveles</x:v>
      </x:c>
    </x:row>
    <x:row r="24" ht="47" customHeight="1">
      <x:c r="A24" s="4" t="str">
        <x:v>AA-20</x:v>
      </x:c>
      <x:c r="B24" s="4" t="str">
        <x:v>Forzar once parámetros</x:v>
      </x:c>
      <x:c r="C24" s="4" t="str">
        <x:v>Primer candidato y lote de hasta diez son ritmo de trabajo; cada distinción conserva posibles cierres no paramétricos.</x:v>
      </x:c>
      <x:c r="D24" s="4" t="str">
        <x:v>CUOTA RECHAZADA</x:v>
      </x:c>
      <x:c r="E24" s="4" t="str">
        <x:v>29 PC-05/07</x:v>
      </x:c>
    </x:row>
    <x:row r="25" ht="47" customHeight="1">
      <x:c r="A25" s="4" t="str">
        <x:v>AA-21</x:v>
      </x:c>
      <x:c r="B25" s="4" t="str">
        <x:v>Elegir por comodidad de las fuentes de IA</x:v>
      </x:c>
      <x:c r="C25" s="4" t="str">
        <x:v>Se retira la preferencia preparatoria por CYO-23. Primero se compararán consecuencias de omitir enlaces, evidencia, representatividad y finitud.</x:v>
      </x:c>
      <x:c r="D25" s="4" t="str">
        <x:v>REORIENTADO POR MANDATO HUMANO</x:v>
      </x:c>
      <x:c r="E25" s="4" t="str">
        <x:v>29 PC-02/03; 34</x:v>
      </x:c>
    </x:row>
    <x:row r="26" ht="47" customHeight="1">
      <x:c r="A26" s="4" t="str">
        <x:v>AA-22</x:v>
      </x:c>
      <x:c r="B26" s="4" t="str">
        <x:v>Aprendizaje en línea atribuido a la IA consejera</x:v>
      </x:c>
      <x:c r="C26" s="4" t="str">
        <x:v>La formación constituye la base admitida; durante el consejo sólo se usa ese conocimiento. Nuevos datos del caso no autorizan nuevas reglas.</x:v>
      </x:c>
      <x:c r="D26" s="4" t="str">
        <x:v>DISTINCIÓN EXPRESA</x:v>
      </x:c>
      <x:c r="E26" s="4" t="str">
        <x:v>25 DL-17; 35</x:v>
      </x:c>
    </x:row>
    <x:row r="27" ht="47" customHeight="1">
      <x:c r="A27" s="4" t="str">
        <x:v>AA-23</x:v>
      </x:c>
      <x:c r="B27" s="4" t="str">
        <x:v>Consecuencias reducidas a barreras de seguridad</x:v>
      </x:c>
      <x:c r="C27" s="4" t="str">
        <x:v>Se añaden ocho cadenas de omisión: conocimiento previo, enlace necesario, consejo defectuoso y consecuencia potencial. Orientan constitución, no sólo prohibiciones.</x:v>
      </x:c>
      <x:c r="D27" s="4" t="str">
        <x:v>MOTOR CONSTITUTIVO EXPLÍCITO</x:v>
      </x:c>
      <x:c r="E27" s="4" t="str">
        <x:v>34</x:v>
      </x:c>
    </x:row>
    <x:row r="28" ht="47" customHeight="1">
      <x:c r="A28" s="4" t="str">
        <x:v>AA-24</x:v>
      </x:c>
      <x:c r="B28" s="4" t="str">
        <x:v>Frame técnicamente válido pero consejo incompleto</x:v>
      </x:c>
      <x:c r="C28" s="4" t="str">
        <x:v>El cierre relacional de IR no acredita exhaustividad de conocimiento para una operación. Hace falta contrastar dependencias necesarias y sus consecuencias.</x:v>
      </x:c>
      <x:c r="D28" s="4" t="str">
        <x:v>RIESGO CENTRAL IDENTIFICADO</x:v>
      </x:c>
      <x:c r="E28" s="4" t="str">
        <x:v>S016 §4.7; 35</x:v>
      </x:c>
    </x:row>
    <x:row r="29" ht="47" customHeight="1">
      <x:c r="A29" s="4" t="str">
        <x:v>AA-25</x:v>
      </x:c>
      <x:c r="B29" s="4" t="str">
        <x:v>Responsabilidad trasladada a la IA</x:v>
      </x:c>
      <x:c r="C29" s="4" t="str">
        <x:v>La IA es consejera vinculada al experto; su explicación no equivale a decisión ni descarga la responsabilidad humana fijada por el encargo.</x:v>
      </x:c>
      <x:c r="D29" s="4" t="str">
        <x:v>AUTORIDAD CONSERVADA</x:v>
      </x:c>
      <x:c r="E29" s="4" t="str">
        <x:v>I005 cierre; mandato humano</x:v>
      </x:c>
    </x:row>
  </x:sheetData>
  <x:mergeCells>
    <x:mergeCell ref="A1:D1"/>
    <x:mergeCell ref="A2:E2"/>
  </x:mergeCells>
  <x:pageMargins left="0.7" right="0.7" top="0.75" bottom="0.75" header="0.3" footer="0.3"/>
  <x:tableParts count="1">
    <x:tablePart xmlns:r="http://schemas.openxmlformats.org/officeDocument/2006/relationships" r:id="Rab8c7b9ee7234c2a"/>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5" hidden="0" customWidth="1"/>
    <x:col min="2" max="2" width="68" hidden="0" customWidth="1"/>
    <x:col min="3" max="3" width="37" hidden="0" customWidth="1"/>
    <x:col min="4" max="4" width="38" hidden="0" customWidth="1"/>
    <x:col min="5" max="5" width="109" hidden="0" customWidth="1"/>
  </x:cols>
  <x:sheetData>
    <x:row r="1" ht="35" customHeight="1">
      <x:c r="A1" s="6" t="str">
        <x:v>CONTROL · cobertura, referencias y sensibilidad</x:v>
      </x:c>
      <x:c r="B1" s="6"/>
      <x:c r="C1" s="6"/>
      <x:c r="D1" s="6"/>
      <x:c r="E1" s="6"/>
    </x:row>
    <x:row r="2" ht="52" customHeight="1">
      <x:c r="A2" s="8" t="str">
        <x:v>Fórmulas derivadas del contenido. Las mutaciones documentan sensibilidad de estos controles; no prueban suficiencia profesional, causalidad ni ejecución SV.</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CA-01</x:v>
      </x:c>
      <x:c r="B5" s="4" t="str">
        <x:v>Operaciones candidatas</x:v>
      </x:c>
      <x:c r="C5" s="14" t="n">
        <x:f>COUNTA('26_Mapa_universos'!$A$5:$A$33)</x:f>
        <x:v>29</x:v>
      </x:c>
      <x:c r="D5" s="15" t="n">
        <x:v>29</x:v>
      </x:c>
      <x:c r="E5" s="4" t="str">
        <x:v>Cardinalidad de identidades; no universos constituidos.</x:v>
      </x:c>
    </x:row>
    <x:row r="6" ht="47" customHeight="1">
      <x:c r="A6" s="4" t="str">
        <x:v>CA-02</x:v>
      </x:c>
      <x:c r="B6" s="4" t="str">
        <x:v>Fronteras condicionadas</x:v>
      </x:c>
      <x:c r="C6" s="14" t="n">
        <x:f>COUNTIF('26_Mapa_universos'!$M$5:$M$33,"FRONTERA CONDICIONADA")</x:f>
        <x:v>1</x:v>
      </x:c>
      <x:c r="D6" s="15" t="n">
        <x:v>1</x:v>
      </x:c>
      <x:c r="E6" s="4" t="str">
        <x:v>CYO-20; separada del núcleo de trabajo.</x:v>
      </x:c>
    </x:row>
    <x:row r="7" ht="47" customHeight="1">
      <x:c r="A7" s="4" t="str">
        <x:v>CA-03</x:v>
      </x:c>
      <x:c r="B7" s="4" t="str">
        <x:v>Duplicados o identidad incompleta</x:v>
      </x:c>
      <x:c r="C7" s="14" t="n">
        <x:f>SUM('26_Mapa_universos'!N5:O33)</x:f>
        <x:v>0</x:v>
      </x:c>
      <x:c r="D7" s="15" t="n">
        <x:v>0</x:v>
      </x:c>
      <x:c r="E7" s="4" t="str">
        <x:v>Campos de la tupla presentes; no prueba equivalencia semántica.</x:v>
      </x:c>
    </x:row>
    <x:row r="8" ht="47" customHeight="1">
      <x:c r="A8" s="4" t="str">
        <x:v>CA-04</x:v>
      </x:c>
      <x:c r="B8" s="4" t="str">
        <x:v>Destinos / fuentes de trazas inválidos</x:v>
      </x:c>
      <x:c r="C8" s="14" t="n">
        <x:f>SUM('27_Cobertura_aprendizaje'!K5:L131)</x:f>
        <x:v>0</x:v>
      </x:c>
      <x:c r="D8" s="15" t="n">
        <x:v>0</x:v>
      </x:c>
      <x:c r="E8" s="4" t="str">
        <x:v>Admite TRANSVERSAL y RESERVA expresamente.</x:v>
      </x:c>
    </x:row>
    <x:row r="9" ht="47" customHeight="1">
      <x:c r="A9" s="4" t="str">
        <x:v>CA-05</x:v>
      </x:c>
      <x:c r="B9" s="4" t="str">
        <x:v>Asignaturas sin destino</x:v>
      </x:c>
      <x:c r="C9" s="14" t="n">
        <x:f>IF(COUNTIF('27_Cobertura_aprendizaje'!$B$5:$B$131,"URJC-01")&gt;0,0,1)+IF(COUNTIF('27_Cobertura_aprendizaje'!$B$5:$B$131,"URJC-02")&gt;0,0,1)+IF(COUNTIF('27_Cobertura_aprendizaje'!$B$5:$B$131,"URJC-03")&gt;0,0,1)+IF(COUNTIF('27_Cobertura_aprendizaje'!$B$5:$B$131,"URJC-04")&gt;0,0,1)+IF(COUNTIF('27_Cobertura_aprendizaje'!$B$5:$B$131,"URJC-05")&gt;0,0,1)+IF(COUNTIF('27_Cobertura_aprendizaje'!$B$5:$B$131,"URJC-06")&gt;0,0,1)+IF(COUNTIF('27_Cobertura_aprendizaje'!$B$5:$B$131,"URJC-07")&gt;0,0,1)+IF(COUNTIF('27_Cobertura_aprendizaje'!$B$5:$B$131,"URJC-08")&gt;0,0,1)+IF(COUNTIF('27_Cobertura_aprendizaje'!$B$5:$B$131,"URJC-09")&gt;0,0,1)+IF(COUNTIF('27_Cobertura_aprendizaje'!$B$5:$B$131,"URJC-10")&gt;0,0,1)+IF(COUNTIF('27_Cobertura_aprendizaje'!$B$5:$B$131,"URJC-11")&gt;0,0,1)+IF(COUNTIF('27_Cobertura_aprendizaje'!$B$5:$B$131,"URJC-12")&gt;0,0,1)+IF(COUNTIF('27_Cobertura_aprendizaje'!$B$5:$B$131,"URJC-13")&gt;0,0,1)+IF(COUNTIF('27_Cobertura_aprendizaje'!$B$5:$B$131,"URJC-14")&gt;0,0,1)+IF(COUNTIF('27_Cobertura_aprendizaje'!$B$5:$B$131,"URJC-15")&gt;0,0,1)+IF(COUNTIF('27_Cobertura_aprendizaje'!$B$5:$B$131,"URJC-16")&gt;0,0,1)+IF(COUNTIF('27_Cobertura_aprendizaje'!$B$5:$B$131,"URJC-17")&gt;0,0,1)+IF(COUNTIF('27_Cobertura_aprendizaje'!$B$5:$B$131,"URJC-18")&gt;0,0,1)+IF(COUNTIF('27_Cobertura_aprendizaje'!$B$5:$B$131,"URJC-19")&gt;0,0,1)+IF(COUNTIF('27_Cobertura_aprendizaje'!$B$5:$B$131,"URJC-20")&gt;0,0,1)+IF(COUNTIF('27_Cobertura_aprendizaje'!$B$5:$B$131,"URJC-21")&gt;0,0,1)+IF(COUNTIF('27_Cobertura_aprendizaje'!$B$5:$B$131,"URJC-22")&gt;0,0,1)+IF(COUNTIF('27_Cobertura_aprendizaje'!$B$5:$B$131,"URJC-23")&gt;0,0,1)+IF(COUNTIF('27_Cobertura_aprendizaje'!$B$5:$B$131,"URJC-24")&gt;0,0,1)+IF(COUNTIF('27_Cobertura_aprendizaje'!$B$5:$B$131,"URJC-25")&gt;0,0,1)+IF(COUNTIF('27_Cobertura_aprendizaje'!$B$5:$B$131,"URJC-26")&gt;0,0,1)+IF(COUNTIF('27_Cobertura_aprendizaje'!$B$5:$B$131,"URJC-27")&gt;0,0,1)+IF(COUNTIF('27_Cobertura_aprendizaje'!$B$5:$B$131,"URJC-28")&gt;0,0,1)+IF(COUNTIF('27_Cobertura_aprendizaje'!$B$5:$B$131,"URJC-29")&gt;0,0,1)+IF(COUNTIF('27_Cobertura_aprendizaje'!$B$5:$B$131,"URJC-30")&gt;0,0,1)+IF(COUNTIF('27_Cobertura_aprendizaje'!$B$5:$B$131,"URJC-31")&gt;0,0,1)+IF(COUNTIF('27_Cobertura_aprendizaje'!$B$5:$B$131,"URJC-32")&gt;0,0,1)+IF(COUNTIF('27_Cobertura_aprendizaje'!$B$5:$B$131,"URJC-33")&gt;0,0,1)+IF(COUNTIF('27_Cobertura_aprendizaje'!$B$5:$B$131,"URJC-34")&gt;0,0,1)+IF(COUNTIF('27_Cobertura_aprendizaje'!$B$5:$B$131,"URJC-35")&gt;0,0,1)+IF(COUNTIF('27_Cobertura_aprendizaje'!$B$5:$B$131,"URJC-36")&gt;0,0,1)+IF(COUNTIF('27_Cobertura_aprendizaje'!$B$5:$B$131,"URJC-37")&gt;0,0,1)+IF(COUNTIF('27_Cobertura_aprendizaje'!$B$5:$B$131,"URJC-38")&gt;0,0,1)+IF(COUNTIF('27_Cobertura_aprendizaje'!$B$5:$B$131,"URJC-39")&gt;0,0,1)+IF(COUNTIF('27_Cobertura_aprendizaje'!$B$5:$B$131,"URJC-40")&gt;0,0,1)</x:f>
        <x:v>0</x:v>
      </x:c>
      <x:c r="D9" s="15" t="n">
        <x:v>0</x:v>
      </x:c>
      <x:c r="E9" s="4" t="str">
        <x:v>Cobertura por unidad de inventario, no todo el temario.</x:v>
      </x:c>
    </x:row>
    <x:row r="10" ht="47" customHeight="1">
      <x:c r="A10" s="4" t="str">
        <x:v>CA-06</x:v>
      </x:c>
      <x:c r="B10" s="4" t="str">
        <x:v>Complementos sin destino o reserva</x:v>
      </x:c>
      <x:c r="C10" s="14" t="n">
        <x:f>IF(COUNTIF('27_Cobertura_aprendizaje'!$B$5:$B$131,"CE-01")&gt;0,0,1)+IF(COUNTIF('27_Cobertura_aprendizaje'!$B$5:$B$131,"CE-02")&gt;0,0,1)+IF(COUNTIF('27_Cobertura_aprendizaje'!$B$5:$B$131,"CE-03")&gt;0,0,1)+IF(COUNTIF('27_Cobertura_aprendizaje'!$B$5:$B$131,"CE-04")&gt;0,0,1)+IF(COUNTIF('27_Cobertura_aprendizaje'!$B$5:$B$131,"CE-05")&gt;0,0,1)+IF(COUNTIF('27_Cobertura_aprendizaje'!$B$5:$B$131,"CE-06")&gt;0,0,1)+IF(COUNTIF('27_Cobertura_aprendizaje'!$B$5:$B$131,"CE-07")&gt;0,0,1)+IF(COUNTIF('27_Cobertura_aprendizaje'!$B$5:$B$131,"CE-08")&gt;0,0,1)+IF(COUNTIF('27_Cobertura_aprendizaje'!$B$5:$B$131,"CE-09")&gt;0,0,1)+IF(COUNTIF('27_Cobertura_aprendizaje'!$B$5:$B$131,"CE-10")&gt;0,0,1)+IF(COUNTIF('27_Cobertura_aprendizaje'!$B$5:$B$131,"CE-11")&gt;0,0,1)+IF(COUNTIF('27_Cobertura_aprendizaje'!$B$5:$B$131,"CE-12")&gt;0,0,1)</x:f>
        <x:v>0</x:v>
      </x:c>
      <x:c r="D10" s="15" t="n">
        <x:v>0</x:v>
      </x:c>
      <x:c r="E10" s="4" t="str">
        <x:v>Doce decisiones; no doce adiciones de conocimiento.</x:v>
      </x:c>
    </x:row>
    <x:row r="11" ht="47" customHeight="1">
      <x:c r="A11" s="4" t="str">
        <x:v>CA-07</x:v>
      </x:c>
      <x:c r="B11" s="4" t="str">
        <x:v>Necesidades humanas sin destino</x:v>
      </x:c>
      <x:c r="C11" s="14" t="n">
        <x:f>IF(COUNTIF('27_Cobertura_aprendizaje'!$B$5:$B$131,"AN-01")&gt;0,0,1)+IF(COUNTIF('27_Cobertura_aprendizaje'!$B$5:$B$131,"AN-02")&gt;0,0,1)+IF(COUNTIF('27_Cobertura_aprendizaje'!$B$5:$B$131,"AN-03")&gt;0,0,1)+IF(COUNTIF('27_Cobertura_aprendizaje'!$B$5:$B$131,"AN-04")&gt;0,0,1)+IF(COUNTIF('27_Cobertura_aprendizaje'!$B$5:$B$131,"AN-05")&gt;0,0,1)+IF(COUNTIF('27_Cobertura_aprendizaje'!$B$5:$B$131,"AN-06")&gt;0,0,1)+IF(COUNTIF('27_Cobertura_aprendizaje'!$B$5:$B$131,"AN-07")&gt;0,0,1)+IF(COUNTIF('27_Cobertura_aprendizaje'!$B$5:$B$131,"AN-08")&gt;0,0,1)</x:f>
        <x:v>0</x:v>
      </x:c>
      <x:c r="D11" s="15" t="n">
        <x:v>0</x:v>
      </x:c>
      <x:c r="E11" s="4" t="str">
        <x:v>Ocho necesidades; situación y reservas conservadas.</x:v>
      </x:c>
    </x:row>
    <x:row r="12" ht="47" customHeight="1">
      <x:c r="A12" s="4" t="str">
        <x:v>CA-08</x:v>
      </x:c>
      <x:c r="B12" s="4" t="str">
        <x:v>Operaciones sin traza educativa</x:v>
      </x:c>
      <x:c r="C12" s="14" t="n">
        <x:f>IF(COUNTIF('27_Cobertura_aprendizaje'!$D$5:$D$131,"CYO-01")&gt;0,0,1)+IF(COUNTIF('27_Cobertura_aprendizaje'!$D$5:$D$131,"CYO-02")&gt;0,0,1)+IF(COUNTIF('27_Cobertura_aprendizaje'!$D$5:$D$131,"CYO-03")&gt;0,0,1)+IF(COUNTIF('27_Cobertura_aprendizaje'!$D$5:$D$131,"CYO-04")&gt;0,0,1)+IF(COUNTIF('27_Cobertura_aprendizaje'!$D$5:$D$131,"CYO-05")&gt;0,0,1)+IF(COUNTIF('27_Cobertura_aprendizaje'!$D$5:$D$131,"CYO-06")&gt;0,0,1)+IF(COUNTIF('27_Cobertura_aprendizaje'!$D$5:$D$131,"CYO-07")&gt;0,0,1)+IF(COUNTIF('27_Cobertura_aprendizaje'!$D$5:$D$131,"CYO-08")&gt;0,0,1)+IF(COUNTIF('27_Cobertura_aprendizaje'!$D$5:$D$131,"CYO-09")&gt;0,0,1)+IF(COUNTIF('27_Cobertura_aprendizaje'!$D$5:$D$131,"CYO-10")&gt;0,0,1)+IF(COUNTIF('27_Cobertura_aprendizaje'!$D$5:$D$131,"CYO-11")&gt;0,0,1)+IF(COUNTIF('27_Cobertura_aprendizaje'!$D$5:$D$131,"CYO-12")&gt;0,0,1)+IF(COUNTIF('27_Cobertura_aprendizaje'!$D$5:$D$131,"CYO-13")&gt;0,0,1)+IF(COUNTIF('27_Cobertura_aprendizaje'!$D$5:$D$131,"CYO-14")&gt;0,0,1)+IF(COUNTIF('27_Cobertura_aprendizaje'!$D$5:$D$131,"CYO-15")&gt;0,0,1)+IF(COUNTIF('27_Cobertura_aprendizaje'!$D$5:$D$131,"CYO-16")&gt;0,0,1)+IF(COUNTIF('27_Cobertura_aprendizaje'!$D$5:$D$131,"CYO-17")&gt;0,0,1)+IF(COUNTIF('27_Cobertura_aprendizaje'!$D$5:$D$131,"CYO-18")&gt;0,0,1)+IF(COUNTIF('27_Cobertura_aprendizaje'!$D$5:$D$131,"CYO-19")&gt;0,0,1)+IF(COUNTIF('27_Cobertura_aprendizaje'!$D$5:$D$131,"CYO-20")&gt;0,0,1)+IF(COUNTIF('27_Cobertura_aprendizaje'!$D$5:$D$131,"CYO-21")&gt;0,0,1)+IF(COUNTIF('27_Cobertura_aprendizaje'!$D$5:$D$131,"CYO-22")&gt;0,0,1)+IF(COUNTIF('27_Cobertura_aprendizaje'!$D$5:$D$131,"CYO-23")&gt;0,0,1)+IF(COUNTIF('27_Cobertura_aprendizaje'!$D$5:$D$131,"CYO-24")&gt;0,0,1)+IF(COUNTIF('27_Cobertura_aprendizaje'!$D$5:$D$131,"CYO-25")&gt;0,0,1)+IF(COUNTIF('27_Cobertura_aprendizaje'!$D$5:$D$131,"CYO-26")&gt;0,0,1)+IF(COUNTIF('27_Cobertura_aprendizaje'!$D$5:$D$131,"CYO-27")&gt;0,0,1)+IF(COUNTIF('27_Cobertura_aprendizaje'!$D$5:$D$131,"CYO-28")&gt;0,0,1)+IF(COUNTIF('27_Cobertura_aprendizaje'!$D$5:$D$131,"CYO-29")&gt;0,0,1)</x:f>
        <x:v>0</x:v>
      </x:c>
      <x:c r="D12" s="15" t="n">
        <x:v>0</x:v>
      </x:c>
      <x:c r="E12" s="4" t="str">
        <x:v>Tener ancla no acredita fuente operacional suficiente.</x:v>
      </x:c>
    </x:row>
    <x:row r="13" ht="47" customHeight="1">
      <x:c r="A13" s="4" t="str">
        <x:v>CA-09</x:v>
      </x:c>
      <x:c r="B13" s="4" t="str">
        <x:v>Extremos inválidos de relaciones</x:v>
      </x:c>
      <x:c r="C13" s="14" t="n">
        <x:f>SUM('28_Relaciones_candidatas'!J5:K18)</x:f>
        <x:v>0</x:v>
      </x:c>
      <x:c r="D13" s="15" t="n">
        <x:v>0</x:v>
      </x:c>
      <x:c r="E13" s="4" t="str">
        <x:v>No comprueba todavía compatibilidad de codominios.</x:v>
      </x:c>
    </x:row>
    <x:row r="14" ht="47" customHeight="1">
      <x:c r="A14" s="4" t="str">
        <x:v>CA-10</x:v>
      </x:c>
      <x:c r="B14" s="4" t="str">
        <x:v>Destinos inválidos del mapa histórico</x:v>
      </x:c>
      <x:c r="C14" s="14" t="n">
        <x:f>SUM('33_Correspondencia_mapa'!$F$5:$F$34)</x:f>
        <x:v>0</x:v>
      </x:c>
      <x:c r="D14" s="15" t="n">
        <x:v>0</x:v>
      </x:c>
      <x:c r="E14" s="4" t="str">
        <x:v>CYO-23 se cuenta una vez aunque reciba dos antecedentes.</x:v>
      </x:c>
    </x:row>
    <x:row r="15" ht="47" customHeight="1">
      <x:c r="A15" s="4" t="str">
        <x:v>CA-11</x:v>
      </x:c>
      <x:c r="B15" s="4" t="str">
        <x:v>Fuentes de método: identidad / huella</x:v>
      </x:c>
      <x:c r="C15" s="14" t="n">
        <x:f>SUM('32_Fuentes_metodo'!I5:J23)</x:f>
        <x:v>0</x:v>
      </x:c>
      <x:c r="D15" s="15" t="n">
        <x:v>0</x:v>
      </x:c>
      <x:c r="E15" s="4" t="str">
        <x:v>Control formal; los bytes se verifican externamente.</x:v>
      </x:c>
    </x:row>
    <x:row r="16" ht="47" customHeight="1">
      <x:c r="A16" s="4" t="str">
        <x:v>CA-12</x:v>
      </x:c>
      <x:c r="B16" s="4" t="str">
        <x:v>Discordancias del control curricular v0.2</x:v>
      </x:c>
      <x:c r="C16" s="14"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c r="D16" s="15" t="n">
        <x:v>0</x:v>
      </x:c>
      <x:c r="E16" s="4" t="str">
        <x:v>Controles anteriores conservados y reejecutados.</x:v>
      </x:c>
    </x:row>
    <x:row r="17" ht="47" customHeight="1">
      <x:c r="A17" s="4" t="str">
        <x:v>CA-13</x:v>
      </x:c>
      <x:c r="B17" s="4" t="str">
        <x:v>Cadenas de omisión incompletas o con referencia inválida</x:v>
      </x:c>
      <x:c r="C17" s="14" t="n">
        <x:f>SUM('34_Consecuencias_enlace'!P5:R12)</x:f>
        <x:v>0</x:v>
      </x:c>
      <x:c r="D17" s="15" t="n">
        <x:v>0</x:v>
      </x:c>
      <x:c r="E17" s="4" t="str">
        <x:v>Ocho testigos especificados; no campaña operacional ejecutada.</x:v>
      </x:c>
    </x:row>
    <x:row r="18" ht="47" customHeight="1">
      <x:c r="A18" s="4" t="str">
        <x:v>MA-01</x:v>
      </x:c>
      <x:c r="B18" s="4" t="str">
        <x:v>Identidad operacional duplicada</x:v>
      </x:c>
      <x:c r="C18" s="4" t="str">
        <x:v>DETECTADO Y RESTAURADO</x:v>
      </x:c>
      <x:c r="D18" s="4" t="str">
        <x:v>DETECTADO Y RESTAURADO</x:v>
      </x:c>
      <x:c r="E18" s="4" t="str">
        <x:v>Mutación sobre copia de trabajo; original restaurado.</x:v>
      </x:c>
    </x:row>
    <x:row r="19" ht="47" customHeight="1">
      <x:c r="A19" s="4" t="str">
        <x:v>MA-02</x:v>
      </x:c>
      <x:c r="B19" s="4" t="str">
        <x:v>Campo de identidad vacío</x:v>
      </x:c>
      <x:c r="C19" s="4" t="str">
        <x:v>DETECTADO Y RESTAURADO</x:v>
      </x:c>
      <x:c r="D19" s="4" t="str">
        <x:v>DETECTADO Y RESTAURADO</x:v>
      </x:c>
      <x:c r="E19" s="4" t="str">
        <x:v>Mutación sobre copia de trabajo; original restaurado.</x:v>
      </x:c>
    </x:row>
    <x:row r="20" ht="47" customHeight="1">
      <x:c r="A20" s="4" t="str">
        <x:v>MA-03</x:v>
      </x:c>
      <x:c r="B20" s="4" t="str">
        <x:v>Destino de traza inexistente</x:v>
      </x:c>
      <x:c r="C20" s="4" t="str">
        <x:v>DETECTADO Y RESTAURADO</x:v>
      </x:c>
      <x:c r="D20" s="4" t="str">
        <x:v>DETECTADO Y RESTAURADO</x:v>
      </x:c>
      <x:c r="E20" s="4" t="str">
        <x:v>Mutación sobre copia de trabajo; original restaurado.</x:v>
      </x:c>
    </x:row>
    <x:row r="21" ht="47" customHeight="1">
      <x:c r="A21" s="4" t="str">
        <x:v>MA-04</x:v>
      </x:c>
      <x:c r="B21" s="4" t="str">
        <x:v>Asignatura privada de su destino</x:v>
      </x:c>
      <x:c r="C21" s="4" t="str">
        <x:v>DETECTADO Y RESTAURADO</x:v>
      </x:c>
      <x:c r="D21" s="4" t="str">
        <x:v>DETECTADO Y RESTAURADO</x:v>
      </x:c>
      <x:c r="E21" s="4" t="str">
        <x:v>Mutación sobre copia de trabajo; original restaurado.</x:v>
      </x:c>
    </x:row>
    <x:row r="22" ht="47" customHeight="1">
      <x:c r="A22" s="4" t="str">
        <x:v>MA-05</x:v>
      </x:c>
      <x:c r="B22" s="4" t="str">
        <x:v>Relación con extremo inexistente</x:v>
      </x:c>
      <x:c r="C22" s="4" t="str">
        <x:v>DETECTADO Y RESTAURADO</x:v>
      </x:c>
      <x:c r="D22" s="4" t="str">
        <x:v>DETECTADO Y RESTAURADO</x:v>
      </x:c>
      <x:c r="E22" s="4" t="str">
        <x:v>Mutación sobre copia de trabajo; original restaurado.</x:v>
      </x:c>
    </x:row>
    <x:row r="23" ht="47" customHeight="1">
      <x:c r="A23" s="4" t="str">
        <x:v>MA-06</x:v>
      </x:c>
      <x:c r="B23" s="4" t="str">
        <x:v>Unidad complementaria privada de su destino</x:v>
      </x:c>
      <x:c r="C23" s="4" t="str">
        <x:v>DETECTADO Y RESTAURADO</x:v>
      </x:c>
      <x:c r="D23" s="4" t="str">
        <x:v>DETECTADO Y RESTAURADO</x:v>
      </x:c>
      <x:c r="E23" s="4" t="str">
        <x:v>Mutación sobre copia de trabajo; original restaurado.</x:v>
      </x:c>
    </x:row>
    <x:row r="24" ht="47" customHeight="1">
      <x:c r="A24" s="4" t="str">
        <x:v>MA-07</x:v>
      </x:c>
      <x:c r="B24" s="4" t="str">
        <x:v>Conocimiento necesario ausente en cadena de consejo</x:v>
      </x:c>
      <x:c r="C24" s="4" t="str">
        <x:v>DETECTADO Y RESTAURADO</x:v>
      </x:c>
      <x:c r="D24" s="4" t="str">
        <x:v>DETECTADO Y RESTAURADO</x:v>
      </x:c>
      <x:c r="E24" s="4" t="str">
        <x:v>Sólo sensibilidad del control estructural de la cadena.</x:v>
      </x:c>
    </x:row>
    <x:row r="25" ht="47" customHeight="1">
      <x:c r="A25" s="4" t="str">
        <x:v>DICTAMEN</x:v>
      </x:c>
      <x:c r="B25" s="4" t="str">
        <x:v>PREACOTACIÓN PARA CONTRASTE</x:v>
      </x:c>
      <x:c r="C25" s="4" t="str">
        <x:v>CON RESERVAS EXPLÍCITAS</x:v>
      </x:c>
      <x:c r="D25" s="4" t="str">
        <x:v>NO CIERRE G0</x:v>
      </x:c>
      <x:c r="E25" s="4" t="str">
        <x:v>No selecciona ni constituye el primer universo.</x:v>
      </x:c>
    </x:row>
  </x:sheetData>
  <x:mergeCells>
    <x:mergeCell ref="A1:D1"/>
    <x:mergeCell ref="A2:E2"/>
  </x:mergeCells>
  <x:conditionalFormatting sqref="C5:C17">
    <x:cfRule type="expression" dxfId="21" priority="1">
      <x:formula>C5&lt;&gt;D5</x:formula>
    </x:cfRule>
  </x:conditionalFormatting>
  <x:pageMargins left="0.7" right="0.7" top="0.75" bottom="0.75" header="0.3" footer="0.3"/>
  <x:tableParts count="1">
    <x:tablePart xmlns:r="http://schemas.openxmlformats.org/officeDocument/2006/relationships" r:id="R95ccc69a89b14721"/>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 hidden="0" customWidth="1"/>
    <x:col min="2" max="2" width="110" hidden="0" customWidth="1"/>
    <x:col min="3" max="3" width="24" hidden="0" customWidth="1"/>
    <x:col min="4" max="4" width="21" hidden="0" customWidth="1"/>
    <x:col min="5" max="5" width="69" hidden="0" customWidth="1"/>
    <x:col min="6" max="6" width="106" hidden="0" customWidth="1"/>
    <x:col min="7" max="7" width="67" hidden="0" customWidth="1"/>
    <x:col min="8" max="8" width="72" hidden="0" customWidth="1"/>
    <x:col min="9" max="9" width="16" hidden="0" customWidth="1"/>
    <x:col min="10" max="10" width="20" hidden="0" customWidth="1"/>
  </x:cols>
  <x:sheetData>
    <x:row r="1" ht="35" customHeight="1">
      <x:c r="A1" s="6" t="str">
        <x:v>FUENTES · cortes de doctrina y experiencia contrastados</x:v>
      </x:c>
      <x:c r="B1" s="6"/>
      <x:c r="C1" s="6"/>
      <x:c r="D1" s="6"/>
      <x:c r="E1" s="6"/>
      <x:c r="F1" s="6"/>
      <x:c r="G1" s="6"/>
      <x:c r="H1" s="6"/>
      <x:c r="I1" s="6"/>
      <x:c r="J1" s="6"/>
    </x:row>
    <x:row r="2" ht="52" customHeight="1">
      <x:c r="A2" s="8" t="str">
        <x:v>Diecinueve registros: quince archivos disponibles y cuatro accesos rechazados. Los Documentos III y V se recuperaron íntegros en la sede doctrinal. No se declara lectura íntegra de los libros ITVIA.</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URL / identidad</x:v>
      </x:c>
      <x:c r="C4" s="10" t="str">
        <x:v>Adquisición</x:v>
      </x:c>
      <x:c r="D4" s="10" t="str">
        <x:v>Bytes · texto</x:v>
      </x:c>
      <x:c r="E4" s="10" t="str">
        <x:v>SHA-256</x:v>
      </x:c>
      <x:c r="F4" s="10" t="str">
        <x:v>Alcance de lectura</x:v>
      </x:c>
      <x:c r="G4" s="10" t="str">
        <x:v>Corte Git o límite</x:v>
      </x:c>
      <x:c r="H4" s="10" t="str">
        <x:v>Blob Git / incidencia</x:v>
      </x:c>
      <x:c r="I4" s="10" t="str">
        <x:v>Duplicado</x:v>
      </x:c>
      <x:c r="J4" s="10" t="str">
        <x:v>Huella defectuosa</x:v>
      </x:c>
    </x:row>
    <x:row r="5" ht="60" customHeight="1">
      <x:c r="A5" s="4" t="str">
        <x:v>S001</x:v>
      </x:c>
      <x:c r="B5" s="4" t="str">
        <x:v>https://raw.githubusercontent.com/juantoniolloretegea/SVcustos-dataset/5e0ed66c62fe753b6e94af500ec00f2674fb92e7/MANIFIESTO_DE_ARQUITECTURA_DERECHOS_OBLIGACIONES_GARANTIAS_Y_FUNDAMENTOS_DEL_SISTEMA_VECTORIAL_SV_V1.md</x:v>
      </x:c>
      <x:c r="C5" s="4" t="str">
        <x:v>CAPTURADO</x:v>
      </x:c>
      <x:c r="D5" s="4" t="str">
        <x:v>8768</x:v>
      </x:c>
      <x:c r="E5" s="4" t="str">
        <x:v>d7308508f352878576017fa515519ec15da1a53a6615523e61c09d7fd57c37d2</x:v>
      </x:c>
      <x:c r="F5" s="4" t="str">
        <x:v>Texto íntegro del manifiesto; arquitectura, invariantes y subordinación.</x:v>
      </x:c>
      <x:c r="G5" s="4" t="str">
        <x:v>5e0ed66c62fe753b6e94af500ec00f2674fb92e7</x:v>
      </x:c>
      <x:c r="H5" s="4" t="str"/>
      <x:c r="I5" s="12" t="n">
        <x:f>COUNTIF('32_Fuentes_metodo'!$A$5:$A$23,A5)-1</x:f>
        <x:v>0</x:v>
      </x:c>
      <x:c r="J5" s="12" t="n">
        <x:f>IF(C5="CAPTURADO",IF(LEN(E5)=64,0,1),0)</x:f>
        <x:v>0</x:v>
      </x:c>
    </x:row>
    <x:row r="6" ht="47" customHeight="1">
      <x:c r="A6" s="4" t="str">
        <x:v>S002</x:v>
      </x:c>
      <x:c r="B6" s="4" t="str">
        <x:v>https://raw.githubusercontent.com/juantoniolloretegea/SVcustos-dataset/5e0ed66c62fe753b6e94af500ec00f2674fb92e7/README.md</x:v>
      </x:c>
      <x:c r="C6" s="4" t="str">
        <x:v>CAPTURADO</x:v>
      </x:c>
      <x:c r="D6" s="4" t="str">
        <x:v>48551</x:v>
      </x:c>
      <x:c r="E6" s="4" t="str">
        <x:v>9131720681129e1161ad2581d0b9470fa1a132a5be6f801445347b268b9c0adf</x:v>
      </x:c>
      <x:c r="F6" s="4" t="str">
        <x:v>Apertura, mapa de sedes y niveles. Anexo clínico no utilizado.</x:v>
      </x:c>
      <x:c r="G6" s="4" t="str">
        <x:v>5e0ed66c62fe753b6e94af500ec00f2674fb92e7</x:v>
      </x:c>
      <x:c r="H6" s="4" t="str"/>
      <x:c r="I6" s="12" t="n">
        <x:f>COUNTIF('32_Fuentes_metodo'!$A$5:$A$23,A6)-1</x:f>
        <x:v>0</x:v>
      </x:c>
      <x:c r="J6" s="12" t="n">
        <x:f>IF(C6="CAPTURADO",IF(LEN(E6)=64,0,1),0)</x:f>
        <x:v>0</x:v>
      </x:c>
    </x:row>
    <x:row r="7" ht="47" customHeight="1">
      <x:c r="A7" s="4" t="str">
        <x:v>S003</x:v>
      </x:c>
      <x:c r="B7" s="4" t="str">
        <x:v>https://www.itvia.online/de-svcustos-el-marco-framework-de-intrusion-hasta-svperitus</x:v>
      </x:c>
      <x:c r="C7" s="4" t="str">
        <x:v>ERROR</x:v>
      </x:c>
      <x:c r="D7" s="4" t="str"/>
      <x:c r="E7" s="4" t="str"/>
      <x:c r="F7" s="4" t="str">
        <x:v>Sin acceso; no lectura del libro.</x:v>
      </x:c>
      <x:c r="G7" s="4" t="str">
        <x:v>ACCESO NO ACREDITADO</x:v>
      </x:c>
      <x:c r="H7" s="4" t="str">
        <x:v>HTTP Error 403: Forbidden</x:v>
      </x:c>
      <x:c r="I7" s="12" t="n">
        <x:f>COUNTIF('32_Fuentes_metodo'!$A$5:$A$23,A7)-1</x:f>
        <x:v>0</x:v>
      </x:c>
      <x:c r="J7" s="12" t="n">
        <x:f>IF(C7="CAPTURADO",IF(LEN(E7)=64,0,1),0)</x:f>
        <x:v>0</x:v>
      </x:c>
    </x:row>
    <x:row r="8" ht="47" customHeight="1">
      <x:c r="A8" s="4" t="str">
        <x:v>S004</x:v>
      </x:c>
      <x:c r="B8" s="4" t="str">
        <x:v>https://www.itvia.online/algebra-de-composicion-intercelularl-sv</x:v>
      </x:c>
      <x:c r="C8" s="4" t="str">
        <x:v>ERROR</x:v>
      </x:c>
      <x:c r="D8" s="4" t="str"/>
      <x:c r="E8" s="4" t="str"/>
      <x:c r="F8" s="4" t="str">
        <x:v>Sin acceso; no lectura del libro.</x:v>
      </x:c>
      <x:c r="G8" s="4" t="str">
        <x:v>ACCESO NO ACREDITADO</x:v>
      </x:c>
      <x:c r="H8" s="4" t="str">
        <x:v>HTTP Error 403: Forbidden</x:v>
      </x:c>
      <x:c r="I8" s="12" t="n">
        <x:f>COUNTIF('32_Fuentes_metodo'!$A$5:$A$23,A8)-1</x:f>
        <x:v>0</x:v>
      </x:c>
      <x:c r="J8" s="12" t="n">
        <x:f>IF(C8="CAPTURADO",IF(LEN(E8)=64,0,1),0)</x:f>
        <x:v>0</x:v>
      </x:c>
    </x:row>
    <x:row r="9" ht="47" customHeight="1">
      <x:c r="A9" s="4" t="str">
        <x:v>S005</x:v>
      </x:c>
      <x:c r="B9" s="4" t="str">
        <x:v>https://www.itvia.online/pub/algebra-de-composicion-intercelular-del-marco-sv--ii-gramatica-general-de-composicion</x:v>
      </x:c>
      <x:c r="C9" s="4" t="str">
        <x:v>ERROR</x:v>
      </x:c>
      <x:c r="D9" s="4" t="str"/>
      <x:c r="E9" s="4" t="str"/>
      <x:c r="F9" s="4" t="str">
        <x:v>Sin acceso al capítulo enlazado; no contenido admitido.</x:v>
      </x:c>
      <x:c r="G9" s="4" t="str">
        <x:v>ACCESO NO ACREDITADO</x:v>
      </x:c>
      <x:c r="H9" s="4" t="str">
        <x:v>HTTP Error 403: Forbidden</x:v>
      </x:c>
      <x:c r="I9" s="12" t="n">
        <x:f>COUNTIF('32_Fuentes_metodo'!$A$5:$A$23,A9)-1</x:f>
        <x:v>0</x:v>
      </x:c>
      <x:c r="J9" s="12" t="n">
        <x:f>IF(C9="CAPTURADO",IF(LEN(E9)=64,0,1),0)</x:f>
        <x:v>0</x:v>
      </x:c>
    </x:row>
    <x:row r="10" ht="47" customHeight="1">
      <x:c r="A10" s="4" t="str">
        <x:v>S006</x:v>
      </x:c>
      <x:c r="B10" s="4" t="str">
        <x:v>https://www.itvia.online/pub/algebra-de-composicion-intercelular--v-invariantes-agentes-especializados-y-operador-de-consulta-del-sistema</x:v>
      </x:c>
      <x:c r="C10" s="4" t="str">
        <x:v>ERROR</x:v>
      </x:c>
      <x:c r="D10" s="4" t="str"/>
      <x:c r="E10" s="4" t="str"/>
      <x:c r="F10" s="4" t="str">
        <x:v>Sin acceso a la ruta consultada del Documento V; no contenido admitido.</x:v>
      </x:c>
      <x:c r="G10" s="4" t="str">
        <x:v>ACCESO NO ACREDITADO</x:v>
      </x:c>
      <x:c r="H10" s="4" t="str">
        <x:v>HTTP Error 403: Forbidden</x:v>
      </x:c>
      <x:c r="I10" s="12" t="n">
        <x:f>COUNTIF('32_Fuentes_metodo'!$A$5:$A$23,A10)-1</x:f>
        <x:v>0</x:v>
      </x:c>
      <x:c r="J10" s="12" t="n">
        <x:f>IF(C10="CAPTURADO",IF(LEN(E10)=64,0,1),0)</x:f>
        <x:v>0</x:v>
      </x:c>
    </x:row>
    <x:row r="11" ht="60" customHeight="1">
      <x:c r="A11" s="4" t="str">
        <x:v>S007</x:v>
      </x:c>
      <x:c r="B11" s="4" t="str">
        <x:v>https://github.com/juantoniolloretegea/SVperitus-dataset/blob/2dce3c597c1e71439f304045283980fea69a7e9c/dominios/inmunologia/cambio-rumbo/01-doctrina-inviolable/Fundamentos algebraico-semánticos del Sistema Vectorial SV.md</x:v>
      </x:c>
      <x:c r="C11" s="4" t="str">
        <x:v>CAPTURADO</x:v>
      </x:c>
      <x:c r="D11" s="4" t="str">
        <x:v>38689</x:v>
      </x:c>
      <x:c r="E11" s="4" t="str">
        <x:v>904f7536def8194d01121ef9e90bc913466fc8869f9fec52fb43e6cb7aefbb31</x:v>
      </x:c>
      <x:c r="F11" s="4" t="str">
        <x:v>Texto íntegro disponible; relectura focal §§3 y 7; doble lectura previa inventariada.</x:v>
      </x:c>
      <x:c r="G11" s="4" t="str">
        <x:v>2dce3c597c1e71439f304045283980fea69a7e9c</x:v>
      </x:c>
      <x:c r="H11" s="4" t="str">
        <x:v>f5d634e353a19273ebe3eab319fac889eed4f84a</x:v>
      </x:c>
      <x:c r="I11" s="12" t="n">
        <x:f>COUNTIF('32_Fuentes_metodo'!$A$5:$A$23,A11)-1</x:f>
        <x:v>0</x:v>
      </x:c>
      <x:c r="J11" s="12" t="n">
        <x:f>IF(C11="CAPTURADO",IF(LEN(E11)=64,0,1),0)</x:f>
        <x:v>0</x:v>
      </x:c>
    </x:row>
    <x:row r="12" ht="60" customHeight="1">
      <x:c r="A12" s="4" t="str">
        <x:v>S008</x:v>
      </x:c>
      <x:c r="B12" s="4" t="str">
        <x:v>https://github.com/juantoniolloretegea/SVperitus-dataset/blob/2dce3c597c1e71439f304045283980fea69a7e9c/dominios/inmunologia/cambio-rumbo/01-doctrina-inviolable/Origen doctrinal, definición y alcance de la U en el Sistema Vectorial SV.md</x:v>
      </x:c>
      <x:c r="C12" s="4" t="str">
        <x:v>CAPTURADO</x:v>
      </x:c>
      <x:c r="D12" s="4" t="str">
        <x:v>28321</x:v>
      </x:c>
      <x:c r="E12" s="4" t="str">
        <x:v>4a692f1f61376eacf4343c7ac1e724403bdf4594607f17dba1a39050af22798a</x:v>
      </x:c>
      <x:c r="F12" s="4" t="str">
        <x:v>Texto íntegro: doble lectura previa; identidad exacta comprobada con corte citado.</x:v>
      </x:c>
      <x:c r="G12" s="4" t="str">
        <x:v>2dce3c597c1e71439f304045283980fea69a7e9c</x:v>
      </x:c>
      <x:c r="H12" s="4" t="str">
        <x:v>d55d431b8c200adf38410737f86c86a2b1d927c4</x:v>
      </x:c>
      <x:c r="I12" s="12" t="n">
        <x:f>COUNTIF('32_Fuentes_metodo'!$A$5:$A$23,A12)-1</x:f>
        <x:v>0</x:v>
      </x:c>
      <x:c r="J12" s="12" t="n">
        <x:f>IF(C12="CAPTURADO",IF(LEN(E12)=64,0,1),0)</x:f>
        <x:v>0</x:v>
      </x:c>
    </x:row>
    <x:row r="13" ht="76" customHeight="1">
      <x:c r="A13" s="4" t="str">
        <x:v>S009</x:v>
      </x:c>
      <x:c r="B13" s="4" t="str">
        <x:v>https://github.com/juantoniolloretegea/SVperitus-dataset/blob/2dce3c597c1e71439f304045283980fea69a7e9c/dominios/inmunologia/cambio-rumbo/02-contexto-algebraico/Álgebra de composición intercelular del Sistema Vectorial SV · Instituto Tecnológico Virtual de la Inteligencia Artificial para el Español®.pdf</x:v>
      </x:c>
      <x:c r="C13" s="4" t="str">
        <x:v>CAPTURADO</x:v>
      </x:c>
      <x:c r="D13" s="4" t="str">
        <x:v>214172</x:v>
      </x:c>
      <x:c r="E13" s="4" t="str">
        <x:v>ebd3e8196838e99c98417bd00ea3131dfb8e7c0b53504e55833a0c58f837e4ad</x:v>
      </x:c>
      <x:c r="F13" s="4" t="str">
        <x:v>Índice de seis páginas leído; no sustituye lectura de los capítulos enlazados.</x:v>
      </x:c>
      <x:c r="G13" s="4" t="str">
        <x:v>2dce3c597c1e71439f304045283980fea69a7e9c</x:v>
      </x:c>
      <x:c r="H13" s="4" t="str">
        <x:v>57f95536100fc48b8ca225c0fdbb63ba0b83e910</x:v>
      </x:c>
      <x:c r="I13" s="12" t="n">
        <x:f>COUNTIF('32_Fuentes_metodo'!$A$5:$A$23,A13)-1</x:f>
        <x:v>0</x:v>
      </x:c>
      <x:c r="J13" s="12" t="n">
        <x:f>IF(C13="CAPTURADO",IF(LEN(E13)=64,0,1),0)</x:f>
        <x:v>0</x:v>
      </x:c>
    </x:row>
    <x:row r="14" ht="60" customHeight="1">
      <x:c r="A14" s="4" t="str">
        <x:v>S010</x:v>
      </x:c>
      <x:c r="B14" s="4" t="str">
        <x:v>https://github.com/juantoniolloretegea/SVperitus-dataset/blob/fe8adf76aa030ba5ff4997be5772b5de5e4452f3/dominios/inmunologia/cambio-rumbo/03-base-documental-candidata/16-mapa-operaciones/Mapa_finito_universos_operacionales_catalogo_INMUNO_v0.8_v0.1_2026-09-03.md</x:v>
      </x:c>
      <x:c r="C14" s="4" t="str">
        <x:v>CAPTURADO</x:v>
      </x:c>
      <x:c r="D14" s="4" t="str">
        <x:v>16281</x:v>
      </x:c>
      <x:c r="E14" s="4" t="str">
        <x:v>8cad8abce94c691b5ea7a66fc5503b70a82cf8b426d700510e48a2412a88d77b</x:v>
      </x:c>
      <x:c r="F14" s="4" t="str">
        <x:v>Texto íntegro; identidad operacional, 32 candidatos, cobertura y límites.</x:v>
      </x:c>
      <x:c r="G14" s="4" t="str">
        <x:v>fe8adf76aa030ba5ff4997be5772b5de5e4452f3</x:v>
      </x:c>
      <x:c r="H14" s="4" t="str">
        <x:v>e53dad599ec1a66eb4d21a5405b186d9362661c0</x:v>
      </x:c>
      <x:c r="I14" s="12" t="n">
        <x:f>COUNTIF('32_Fuentes_metodo'!$A$5:$A$23,A14)-1</x:f>
        <x:v>0</x:v>
      </x:c>
      <x:c r="J14" s="12" t="n">
        <x:f>IF(C14="CAPTURADO",IF(LEN(E14)=64,0,1),0)</x:f>
        <x:v>0</x:v>
      </x:c>
    </x:row>
    <x:row r="15" ht="60" customHeight="1">
      <x:c r="A15" s="4" t="str">
        <x:v>S011</x:v>
      </x:c>
      <x:c r="B15" s="4" t="str">
        <x:v>https://github.com/juantoniolloretegea/SVperitus-dataset/blob/fe8adf76aa030ba5ff4997be5772b5de5e4452f3/dominios/inmunologia/cambio-rumbo/03-base-documental-candidata/10-atomicidad-en-evaluacion/Expediente_cierre_exhaustivo_G3-G5_raices_omitidas_y_SEM-MOD-007_OP-IMM-001_v0.1_2026-09-03.md</x:v>
      </x:c>
      <x:c r="C15" s="4" t="str">
        <x:v>CAPTURADO</x:v>
      </x:c>
      <x:c r="D15" s="4" t="str">
        <x:v>21646</x:v>
      </x:c>
      <x:c r="E15" s="4" t="str">
        <x:v>d18da1711834f37852343a6874aa04761a5e87a406336560082c795ab474cd20</x:v>
      </x:c>
      <x:c r="F15" s="4" t="str">
        <x:v>Doble lectura previa; relectura §§9–14 para 27 parámetros, 32 raíces y configuración.</x:v>
      </x:c>
      <x:c r="G15" s="4" t="str">
        <x:v>fe8adf76aa030ba5ff4997be5772b5de5e4452f3</x:v>
      </x:c>
      <x:c r="H15" s="4" t="str">
        <x:v>7fb204a874059b7895b1eeac0ef3e7d438fe4821</x:v>
      </x:c>
      <x:c r="I15" s="12" t="n">
        <x:f>COUNTIF('32_Fuentes_metodo'!$A$5:$A$23,A15)-1</x:f>
        <x:v>0</x:v>
      </x:c>
      <x:c r="J15" s="12" t="n">
        <x:f>IF(C15="CAPTURADO",IF(LEN(E15)=64,0,1),0)</x:f>
        <x:v>0</x:v>
      </x:c>
    </x:row>
    <x:row r="16" ht="60" customHeight="1">
      <x:c r="A16" s="4" t="str">
        <x:v>S012</x:v>
      </x:c>
      <x:c r="B16" s="4" t="str">
        <x:v>https://github.com/juantoniolloretegea/SVperitus-dataset/blob/fe8adf76aa030ba5ff4997be5772b5de5e4452f3/dominios/inmunologia/cambio-rumbo/03-base-documental-candidata/11-matrices-en-evaluacion/G6-MAT_propiedad_matricial_A0_OP-IMM-001_v0.1_2026-09-03.md</x:v>
      </x:c>
      <x:c r="C16" s="4" t="str">
        <x:v>CAPTURADO</x:v>
      </x:c>
      <x:c r="D16" s="4" t="str">
        <x:v>4854</x:v>
      </x:c>
      <x:c r="E16" s="4" t="str">
        <x:v>5abb320a662dfec3f7c4164e9660bea31d46a9cf2eda33b68867b792872e331b</x:v>
      </x:c>
      <x:c r="F16" s="4" t="str">
        <x:v>Relectura íntegra; propiedad, cuatro referencias y cuatro parámetros con configuración pendiente.</x:v>
      </x:c>
      <x:c r="G16" s="4" t="str">
        <x:v>fe8adf76aa030ba5ff4997be5772b5de5e4452f3</x:v>
      </x:c>
      <x:c r="H16" s="4" t="str">
        <x:v>ee894d6ee15c015caac229cf6ab69f3bbf7460ea</x:v>
      </x:c>
      <x:c r="I16" s="12" t="n">
        <x:f>COUNTIF('32_Fuentes_metodo'!$A$5:$A$23,A16)-1</x:f>
        <x:v>0</x:v>
      </x:c>
      <x:c r="J16" s="12" t="n">
        <x:f>IF(C16="CAPTURADO",IF(LEN(E16)=64,0,1),0)</x:f>
        <x:v>0</x:v>
      </x:c>
    </x:row>
    <x:row r="17" ht="60" customHeight="1">
      <x:c r="A17" s="4" t="str">
        <x:v>S013</x:v>
      </x:c>
      <x:c r="B17" s="4" t="str">
        <x:v>https://github.com/juantoniolloretegea/SVperitus-dataset/blob/fe8adf76aa030ba5ff4997be5772b5de5e4452f3/dominios/inmunologia/cambio-rumbo/03-base-documental-candidata/10-atomicidad-en-evaluacion/Adjudicacion_atomica_G5-ATM_SEM-EXP-005_OP-IMM-001_v0.1_2026-09-03.md</x:v>
      </x:c>
      <x:c r="C17" s="4" t="str">
        <x:v>CAPTURADO</x:v>
      </x:c>
      <x:c r="D17" s="4" t="str">
        <x:v>18256</x:v>
      </x:c>
      <x:c r="E17" s="4" t="str">
        <x:v>9a90e2a630c30dffe10032c27d4e81aeec5812ae4e6f04ee6ac4a938e029fb66</x:v>
      </x:c>
      <x:c r="F17" s="4" t="str">
        <x:v>Doble lectura previa; ejemplo de método G5, sin importar parámetro clínico.</x:v>
      </x:c>
      <x:c r="G17" s="4" t="str">
        <x:v>fe8adf76aa030ba5ff4997be5772b5de5e4452f3</x:v>
      </x:c>
      <x:c r="H17" s="4" t="str">
        <x:v>7454e0690f61c9d51eca9bad53e61a0144f1e4f2</x:v>
      </x:c>
      <x:c r="I17" s="12" t="n">
        <x:f>COUNTIF('32_Fuentes_metodo'!$A$5:$A$23,A17)-1</x:f>
        <x:v>0</x:v>
      </x:c>
      <x:c r="J17" s="12" t="n">
        <x:f>IF(C17="CAPTURADO",IF(LEN(E17)=64,0,1),0)</x:f>
        <x:v>0</x:v>
      </x:c>
    </x:row>
    <x:row r="18" ht="60" customHeight="1">
      <x:c r="A18" s="4" t="str">
        <x:v>S014</x:v>
      </x:c>
      <x:c r="B18" s="4" t="str">
        <x:v>https://raw.githubusercontent.com/juantoniolloretegea/SV-lenguaje-de-computacion/ab61d9bb7a2002d3a4a389e292c2a9b0a850d264/docs/calidad/PILARES_Y_RESTRICCIONES_DE_DISENO_DEL_LENGUAJE_DE_COMPUTACION_SV_2026_09_05.md</x:v>
      </x:c>
      <x:c r="C18" s="4" t="str">
        <x:v>CAPTURADO</x:v>
      </x:c>
      <x:c r="D18" s="4" t="str">
        <x:v>22330</x:v>
      </x:c>
      <x:c r="E18" s="4" t="str">
        <x:v>73875d22f35cc299d2a4103e35e369481e99289e9ee679b841f54b5e4f872650</x:v>
      </x:c>
      <x:c r="F18" s="4" t="str">
        <x:v>Texto íntegro leído: geometría, autoridad, prohibiciones, contratos y límites de realización.</x:v>
      </x:c>
      <x:c r="G18" s="4" t="str">
        <x:v>ab61d9bb7a2002d3a4a389e292c2a9b0a850d264</x:v>
      </x:c>
      <x:c r="H18" s="4" t="str">
        <x:v>bba81c4ab115899fc4ae812bc7214aab6f39a9bd</x:v>
      </x:c>
      <x:c r="I18" s="12" t="n">
        <x:f>COUNTIF('32_Fuentes_metodo'!$A$5:$A$23,A18)-1</x:f>
        <x:v>0</x:v>
      </x:c>
      <x:c r="J18" s="12" t="n">
        <x:f>IF(C18="CAPTURADO",IF(LEN(E18)=64,0,1),0)</x:f>
        <x:v>0</x:v>
      </x:c>
    </x:row>
    <x:row r="19" ht="60" customHeight="1">
      <x:c r="A19" s="4" t="str">
        <x:v>S015</x:v>
      </x:c>
      <x:c r="B19" s="4" t="str">
        <x:v>https://raw.githubusercontent.com/juantoniolloretegea/SV-lenguaje-de-computacion/ab61d9bb7a2002d3a4a389e292c2a9b0a850d264/docs/calidad/ACTA_TECNICA_DE_PERFILES_CONTRATOS_Y_ENSAMBLAJE_DEL_LENGUAJE_SV_2026_09_06.md</x:v>
      </x:c>
      <x:c r="C19" s="4" t="str">
        <x:v>CAPTURADO</x:v>
      </x:c>
      <x:c r="D19" s="4" t="str">
        <x:v>29014</x:v>
      </x:c>
      <x:c r="E19" s="4" t="str">
        <x:v>38673267da27fae204f81689aaaf4cb0fd123e7f2e4a3384850c44762c0c06d8</x:v>
      </x:c>
      <x:c r="F19" s="4" t="str">
        <x:v>Texto íntegro leído: perfiles, suficiencia, ensamblaje y reparto de autoridad.</x:v>
      </x:c>
      <x:c r="G19" s="4" t="str">
        <x:v>ab61d9bb7a2002d3a4a389e292c2a9b0a850d264</x:v>
      </x:c>
      <x:c r="H19" s="4" t="str">
        <x:v>1df9b818f3f531f628fe0e89dd2c497b5da52d4d</x:v>
      </x:c>
      <x:c r="I19" s="12" t="n">
        <x:f>COUNTIF('32_Fuentes_metodo'!$A$5:$A$23,A19)-1</x:f>
        <x:v>0</x:v>
      </x:c>
      <x:c r="J19" s="12" t="n">
        <x:f>IF(C19="CAPTURADO",IF(LEN(E19)=64,0,1),0)</x:f>
        <x:v>0</x:v>
      </x:c>
    </x:row>
    <x:row r="20" ht="47" customHeight="1">
      <x:c r="A20" s="4" t="str">
        <x:v>S016</x:v>
      </x:c>
      <x:c r="B20" s="4" t="str">
        <x:v>https://raw.githubusercontent.com/juantoniolloretegea/SV-lenguaje-de-computacion/ab61d9bb7a2002d3a4a389e292c2a9b0a850d264/IR_CANONICA_BIENFORMACION_SV_v0_3.md</x:v>
      </x:c>
      <x:c r="C20" s="4" t="str">
        <x:v>CAPTURADO</x:v>
      </x:c>
      <x:c r="D20" s="4" t="str">
        <x:v>30558</x:v>
      </x:c>
      <x:c r="E20" s="4" t="str">
        <x:v>d86f1642fdf0846668c77353b5c504b9c1b40cd110647ea464bd7ba3f23a22ea</x:v>
      </x:c>
      <x:c r="F20" s="4" t="str">
        <x:v>Relectura focal §4 completo: cierre relacional de Frame y no exhaustividad; resto no utilizado como evidencia nueva.</x:v>
      </x:c>
      <x:c r="G20" s="4" t="str">
        <x:v>ab61d9bb7a2002d3a4a389e292c2a9b0a850d264</x:v>
      </x:c>
      <x:c r="H20" s="4" t="str">
        <x:v>c1b4b0e1c06c1b22dff1f988fec1a1f079fcc5d2</x:v>
      </x:c>
      <x:c r="I20" s="12" t="n">
        <x:f>COUNTIF('32_Fuentes_metodo'!$A$5:$A$23,A20)-1</x:f>
        <x:v>0</x:v>
      </x:c>
      <x:c r="J20" s="12" t="n">
        <x:f>IF(C20="CAPTURADO",IF(LEN(E20)=64,0,1),0)</x:f>
        <x:v>0</x:v>
      </x:c>
    </x:row>
    <x:row r="21" ht="47" customHeight="1">
      <x:c r="A21" s="4" t="str">
        <x:v>S017</x:v>
      </x:c>
      <x:c r="B21" s="4" t="str">
        <x:v>https://raw.githubusercontent.com/juantoniolloretegea/SV-matematica-semantica/b8fd32978292d25adf9b87cf71e409005dce642c/documentos/composicion/V_invariantes_agentes_operador_consulta.md</x:v>
      </x:c>
      <x:c r="C21" s="4" t="str">
        <x:v>CAPTURADO</x:v>
      </x:c>
      <x:c r="D21" s="4" t="str">
        <x:v>18061</x:v>
      </x:c>
      <x:c r="E21" s="4" t="str">
        <x:v>fbf53f17d8cbeb17dedb12dd098121ba1591e0603c2aa196d7bb454784123c2b</x:v>
      </x:c>
      <x:c r="F21" s="4" t="str">
        <x:v>Documento V íntegro leído: dominio, agente y consulta r/J/M. Madurez histórica de ejemplos no acredita aptitud actual.</x:v>
      </x:c>
      <x:c r="G21" s="4" t="str">
        <x:v>b8fd32978292d25adf9b87cf71e409005dce642c</x:v>
      </x:c>
      <x:c r="H21" s="4" t="str">
        <x:v>d609810b4072a4b61e29ef10f4d26751862b0c86</x:v>
      </x:c>
      <x:c r="I21" s="12" t="n">
        <x:f>COUNTIF('32_Fuentes_metodo'!$A$5:$A$23,A21)-1</x:f>
        <x:v>0</x:v>
      </x:c>
      <x:c r="J21" s="12" t="n">
        <x:f>IF(C21="CAPTURADO",IF(LEN(E21)=64,0,1),0)</x:f>
        <x:v>0</x:v>
      </x:c>
    </x:row>
    <x:row r="22" ht="47" customHeight="1">
      <x:c r="A22" s="4" t="str">
        <x:v>S018</x:v>
      </x:c>
      <x:c r="B22" s="4" t="str">
        <x:v>https://raw.githubusercontent.com/juantoniolloretegea/SV-matematica-semantica/b8fd32978292d25adf9b87cf71e409005dce642c/documentos/composicion/III_horizonte_sucesos_reevaluacion_discreta.md</x:v>
      </x:c>
      <x:c r="C22" s="4" t="str">
        <x:v>CAPTURADO</x:v>
      </x:c>
      <x:c r="D22" s="4" t="str">
        <x:v>11928</x:v>
      </x:c>
      <x:c r="E22" s="4" t="str">
        <x:v>9aeb3ce7bdea0cd7769760ed22eb7dd7b814cc39a273c5fb4a0470791964eaea</x:v>
      </x:c>
      <x:c r="F22" s="4" t="str">
        <x:v>Documento III íntegro leído: horizonte, frame, trayectoria y reevaluación.</x:v>
      </x:c>
      <x:c r="G22" s="4" t="str">
        <x:v>b8fd32978292d25adf9b87cf71e409005dce642c</x:v>
      </x:c>
      <x:c r="H22" s="4" t="str">
        <x:v>92caea3f63ace2f494c4871f69680fd38ab3ee77</x:v>
      </x:c>
      <x:c r="I22" s="12" t="n">
        <x:f>COUNTIF('32_Fuentes_metodo'!$A$5:$A$23,A22)-1</x:f>
        <x:v>0</x:v>
      </x:c>
      <x:c r="J22" s="12" t="n">
        <x:f>IF(C22="CAPTURADO",IF(LEN(E22)=64,0,1),0)</x:f>
        <x:v>0</x:v>
      </x:c>
    </x:row>
    <x:row r="23" ht="60" customHeight="1">
      <x:c r="A23" s="4" t="str">
        <x:v>S019</x:v>
      </x:c>
      <x:c r="B23" s="4" t="str">
        <x:v>https://raw.githubusercontent.com/juantoniolloretegea/SV-matematica-semantica/b8fd32978292d25adf9b87cf71e409005dce642c/especificaciones/proposiciones/ESPECIFICACION_METODOLOGICA_SOBRE_SUCESOS_REEVALUACION_Y_FRAMES_EN_EL_SISTEMA_VECTORIAL_SV.md</x:v>
      </x:c>
      <x:c r="C23" s="4" t="str">
        <x:v>CAPTURADO</x:v>
      </x:c>
      <x:c r="D23" s="4" t="str">
        <x:v>5789</x:v>
      </x:c>
      <x:c r="E23" s="4" t="str">
        <x:v>e39bc5f235267b354a9f5b8d1538a8c96f43dbc3e333315e0028978b8bec3227</x:v>
      </x:c>
      <x:c r="F23" s="4" t="str">
        <x:v>Texto íntegro leído: suceso→reevaluación→frame; tiempo como dato externo.</x:v>
      </x:c>
      <x:c r="G23" s="4" t="str">
        <x:v>b8fd32978292d25adf9b87cf71e409005dce642c</x:v>
      </x:c>
      <x:c r="H23" s="4" t="str">
        <x:v>1fbaa8c83bc9b35d5008f1f4f7ee823dc741808c</x:v>
      </x:c>
      <x:c r="I23" s="12" t="n">
        <x:f>COUNTIF('32_Fuentes_metodo'!$A$5:$A$23,A23)-1</x:f>
        <x:v>0</x:v>
      </x:c>
      <x:c r="J23" s="12" t="n">
        <x:f>IF(C23="CAPTURADO",IF(LEN(E23)=64,0,1),0)</x:f>
        <x:v>0</x:v>
      </x:c>
    </x:row>
  </x:sheetData>
  <x:mergeCells>
    <x:mergeCell ref="A1:D1"/>
    <x:mergeCell ref="A2:F2"/>
  </x:mergeCells>
  <x:conditionalFormatting sqref="I5:I23">
    <x:cfRule type="expression" dxfId="16" priority="1">
      <x:formula>I5&gt;0</x:formula>
    </x:cfRule>
  </x:conditionalFormatting>
  <x:conditionalFormatting sqref="J5:J23">
    <x:cfRule type="expression" dxfId="17" priority="2">
      <x:formula>J5&gt;0</x:formula>
    </x:cfRule>
  </x:conditionalFormatting>
  <x:pageMargins left="0.7" right="0.7" top="0.75" bottom="0.75" header="0.3" footer="0.3"/>
  <x:tableParts count="1">
    <x:tablePart xmlns:r="http://schemas.openxmlformats.org/officeDocument/2006/relationships" r:id="Rbd932065da024354"/>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42" hidden="0" customWidth="1"/>
    <x:col min="4" max="4" width="112" hidden="0" customWidth="1"/>
    <x:col min="5" max="5" width="54" hidden="0" customWidth="1"/>
    <x:col min="6" max="6" width="20" hidden="0" customWidth="1"/>
  </x:cols>
  <x:sheetData>
    <x:row r="1" ht="35" customHeight="1">
      <x:c r="A1" s="6" t="str">
        <x:v>REVISIÓN DEL MAPA v0.1 · 22 → 29 candidatos</x:v>
      </x:c>
      <x:c r="B1" s="6"/>
      <x:c r="C1" s="6"/>
      <x:c r="D1" s="6"/>
      <x:c r="E1" s="6"/>
      <x:c r="F1" s="6"/>
    </x:row>
    <x:row r="2" ht="52" customHeight="1">
      <x:c r="A2" s="8" t="str">
        <x:v>Se conservan las 22 identidades históricas como antecedentes. El incremento neto de siete se explica por producto, autoridad o finalización; no por cupos ni por aparición de una herramienta.</x:v>
      </x:c>
      <x:c r="B2" s="8"/>
      <x:c r="C2" s="8"/>
      <x:c r="D2" s="8"/>
      <x:c r="E2" s="8"/>
      <x:c r="F2" s="8"/>
    </x:row>
    <x:row r="3">
      <x:c r="A3" s="4"/>
      <x:c r="B3" s="4"/>
      <x:c r="C3" s="4"/>
      <x:c r="D3" s="4"/>
      <x:c r="E3" s="4"/>
      <x:c r="F3" s="4"/>
    </x:row>
    <x:row r="4" ht="42" customHeight="1">
      <x:c r="A4" s="10" t="str">
        <x:v>Antecedente</x:v>
      </x:c>
      <x:c r="B4" s="10" t="str">
        <x:v>Destino</x:v>
      </x:c>
      <x:c r="C4" s="10" t="str">
        <x:v>Relación editorial</x:v>
      </x:c>
      <x:c r="D4" s="10" t="str">
        <x:v>Justificación</x:v>
      </x:c>
      <x:c r="E4" s="10" t="str">
        <x:v>Evidencia</x:v>
      </x:c>
      <x:c r="F4" s="10" t="str">
        <x:v>Destino inválido</x:v>
      </x:c>
    </x:row>
    <x:row r="5" ht="47" customHeight="1">
      <x:c r="A5" s="4" t="str">
        <x:v>OPC-01</x:v>
      </x:c>
      <x:c r="B5" s="4" t="str">
        <x:v>CYO-01</x:v>
      </x:c>
      <x:c r="C5" s="4" t="str">
        <x:v>REEXAMINADA</x:v>
      </x:c>
      <x:c r="D5" s="4" t="str">
        <x:v>Conservar identidad candidata y añadir ancla educativa; no adopción automática.</x:v>
      </x:c>
      <x:c r="E5" s="4" t="str">
        <x:v>07 histórico; 26 nueva síntesis</x:v>
      </x:c>
      <x:c r="F5" s="12" t="n">
        <x:f>IF(COUNTIF('26_Mapa_universos'!$A$5:$A$33,B5)=1,0,1)</x:f>
        <x:v>0</x:v>
      </x:c>
    </x:row>
    <x:row r="6" ht="47" customHeight="1">
      <x:c r="A6" s="4" t="str">
        <x:v>OPC-02</x:v>
      </x:c>
      <x:c r="B6" s="4" t="str">
        <x:v>CYO-02</x:v>
      </x:c>
      <x:c r="C6" s="4" t="str">
        <x:v>REEXAMINADA</x:v>
      </x:c>
      <x:c r="D6" s="4" t="str">
        <x:v>Conservar identidad candidata y añadir ancla educativa; no adopción automática.</x:v>
      </x:c>
      <x:c r="E6" s="4" t="str">
        <x:v>07 histórico; 26 nueva síntesis</x:v>
      </x:c>
      <x:c r="F6" s="12" t="n">
        <x:f>IF(COUNTIF('26_Mapa_universos'!$A$5:$A$33,B6)=1,0,1)</x:f>
        <x:v>0</x:v>
      </x:c>
    </x:row>
    <x:row r="7" ht="47" customHeight="1">
      <x:c r="A7" s="4" t="str">
        <x:v>OPC-03</x:v>
      </x:c>
      <x:c r="B7" s="4" t="str">
        <x:v>CYO-03</x:v>
      </x:c>
      <x:c r="C7" s="4" t="str">
        <x:v>REEXAMINADA</x:v>
      </x:c>
      <x:c r="D7" s="4" t="str">
        <x:v>Conservar identidad candidata y añadir ancla educativa; no adopción automática.</x:v>
      </x:c>
      <x:c r="E7" s="4" t="str">
        <x:v>07 histórico; 26 nueva síntesis</x:v>
      </x:c>
      <x:c r="F7" s="12" t="n">
        <x:f>IF(COUNTIF('26_Mapa_universos'!$A$5:$A$33,B7)=1,0,1)</x:f>
        <x:v>0</x:v>
      </x:c>
    </x:row>
    <x:row r="8" ht="47" customHeight="1">
      <x:c r="A8" s="4" t="str">
        <x:v>OPC-04</x:v>
      </x:c>
      <x:c r="B8" s="4" t="str">
        <x:v>CYO-04</x:v>
      </x:c>
      <x:c r="C8" s="4" t="str">
        <x:v>REEXAMINADA</x:v>
      </x:c>
      <x:c r="D8" s="4" t="str">
        <x:v>Conservar identidad candidata y añadir ancla educativa; no adopción automática.</x:v>
      </x:c>
      <x:c r="E8" s="4" t="str">
        <x:v>07 histórico; 26 nueva síntesis</x:v>
      </x:c>
      <x:c r="F8" s="12" t="n">
        <x:f>IF(COUNTIF('26_Mapa_universos'!$A$5:$A$33,B8)=1,0,1)</x:f>
        <x:v>0</x:v>
      </x:c>
    </x:row>
    <x:row r="9" ht="47" customHeight="1">
      <x:c r="A9" s="4" t="str">
        <x:v>OPC-05</x:v>
      </x:c>
      <x:c r="B9" s="4" t="str">
        <x:v>CYO-05</x:v>
      </x:c>
      <x:c r="C9" s="4" t="str">
        <x:v>DESCOMPOSICIÓN / CONVERGENCIA</x:v>
      </x:c>
      <x:c r="D9" s="4" t="str">
        <x:v>Separar seguridad de la entrega software y validación del comportamiento aprendido.</x:v>
      </x:c>
      <x:c r="E9" s="4" t="str">
        <x:v>07 histórico; 26 nueva síntesis</x:v>
      </x:c>
      <x:c r="F9" s="12" t="n">
        <x:f>IF(COUNTIF('26_Mapa_universos'!$A$5:$A$33,B9)=1,0,1)</x:f>
        <x:v>0</x:v>
      </x:c>
    </x:row>
    <x:row r="10" ht="47" customHeight="1">
      <x:c r="A10" s="4" t="str">
        <x:v>OPC-05</x:v>
      </x:c>
      <x:c r="B10" s="4" t="str">
        <x:v>CYO-23</x:v>
      </x:c>
      <x:c r="C10" s="4" t="str">
        <x:v>DESCOMPOSICIÓN / CONVERGENCIA</x:v>
      </x:c>
      <x:c r="D10" s="4" t="str">
        <x:v>Separar seguridad de la entrega software y validación del comportamiento aprendido.</x:v>
      </x:c>
      <x:c r="E10" s="4" t="str">
        <x:v>07 histórico; 26 nueva síntesis</x:v>
      </x:c>
      <x:c r="F10" s="12" t="n">
        <x:f>IF(COUNTIF('26_Mapa_universos'!$A$5:$A$33,B10)=1,0,1)</x:f>
        <x:v>0</x:v>
      </x:c>
    </x:row>
    <x:row r="11" ht="47" customHeight="1">
      <x:c r="A11" s="4" t="str">
        <x:v>OPC-06</x:v>
      </x:c>
      <x:c r="B11" s="4" t="str">
        <x:v>CYO-06</x:v>
      </x:c>
      <x:c r="C11" s="4" t="str">
        <x:v>REEXAMINADA</x:v>
      </x:c>
      <x:c r="D11" s="4" t="str">
        <x:v>Conservar identidad candidata y añadir ancla educativa; no adopción automática.</x:v>
      </x:c>
      <x:c r="E11" s="4" t="str">
        <x:v>07 histórico; 26 nueva síntesis</x:v>
      </x:c>
      <x:c r="F11" s="12" t="n">
        <x:f>IF(COUNTIF('26_Mapa_universos'!$A$5:$A$33,B11)=1,0,1)</x:f>
        <x:v>0</x:v>
      </x:c>
    </x:row>
    <x:row r="12" ht="47" customHeight="1">
      <x:c r="A12" s="4" t="str">
        <x:v>OPC-07</x:v>
      </x:c>
      <x:c r="B12" s="4" t="str">
        <x:v>CYO-07</x:v>
      </x:c>
      <x:c r="C12" s="4" t="str">
        <x:v>REEXAMINADA</x:v>
      </x:c>
      <x:c r="D12" s="4" t="str">
        <x:v>Conservar identidad candidata y añadir ancla educativa; no adopción automática.</x:v>
      </x:c>
      <x:c r="E12" s="4" t="str">
        <x:v>07 histórico; 26 nueva síntesis</x:v>
      </x:c>
      <x:c r="F12" s="12" t="n">
        <x:f>IF(COUNTIF('26_Mapa_universos'!$A$5:$A$33,B12)=1,0,1)</x:f>
        <x:v>0</x:v>
      </x:c>
    </x:row>
    <x:row r="13" ht="47" customHeight="1">
      <x:c r="A13" s="4" t="str">
        <x:v>OPC-08</x:v>
      </x:c>
      <x:c r="B13" s="4" t="str">
        <x:v>CYO-08</x:v>
      </x:c>
      <x:c r="C13" s="4" t="str">
        <x:v>REEXAMINADA</x:v>
      </x:c>
      <x:c r="D13" s="4" t="str">
        <x:v>Conservar identidad candidata y añadir ancla educativa; no adopción automática.</x:v>
      </x:c>
      <x:c r="E13" s="4" t="str">
        <x:v>07 histórico; 26 nueva síntesis</x:v>
      </x:c>
      <x:c r="F13" s="12" t="n">
        <x:f>IF(COUNTIF('26_Mapa_universos'!$A$5:$A$33,B13)=1,0,1)</x:f>
        <x:v>0</x:v>
      </x:c>
    </x:row>
    <x:row r="14" ht="47" customHeight="1">
      <x:c r="A14" s="4" t="str">
        <x:v>OPC-09</x:v>
      </x:c>
      <x:c r="B14" s="4" t="str">
        <x:v>CYO-09</x:v>
      </x:c>
      <x:c r="C14" s="4" t="str">
        <x:v>DESCOMPOSICIÓN / CONVERGENCIA</x:v>
      </x:c>
      <x:c r="D14" s="4" t="str">
        <x:v>Separar plan y expediente del efecto ejecutado, con permiso propio.</x:v>
      </x:c>
      <x:c r="E14" s="4" t="str">
        <x:v>07 histórico; 26 nueva síntesis</x:v>
      </x:c>
      <x:c r="F14" s="12" t="n">
        <x:f>IF(COUNTIF('26_Mapa_universos'!$A$5:$A$33,B14)=1,0,1)</x:f>
        <x:v>0</x:v>
      </x:c>
    </x:row>
    <x:row r="15" ht="47" customHeight="1">
      <x:c r="A15" s="4" t="str">
        <x:v>OPC-09</x:v>
      </x:c>
      <x:c r="B15" s="4" t="str">
        <x:v>CYO-24</x:v>
      </x:c>
      <x:c r="C15" s="4" t="str">
        <x:v>DESCOMPOSICIÓN / CONVERGENCIA</x:v>
      </x:c>
      <x:c r="D15" s="4" t="str">
        <x:v>Separar plan y expediente del efecto ejecutado, con permiso propio.</x:v>
      </x:c>
      <x:c r="E15" s="4" t="str">
        <x:v>07 histórico; 26 nueva síntesis</x:v>
      </x:c>
      <x:c r="F15" s="12" t="n">
        <x:f>IF(COUNTIF('26_Mapa_universos'!$A$5:$A$33,B15)=1,0,1)</x:f>
        <x:v>0</x:v>
      </x:c>
    </x:row>
    <x:row r="16" ht="47" customHeight="1">
      <x:c r="A16" s="4" t="str">
        <x:v>OPC-10</x:v>
      </x:c>
      <x:c r="B16" s="4" t="str">
        <x:v>CYO-10</x:v>
      </x:c>
      <x:c r="C16" s="4" t="str">
        <x:v>REEXAMINADA</x:v>
      </x:c>
      <x:c r="D16" s="4" t="str">
        <x:v>Conservar identidad candidata y añadir ancla educativa; no adopción automática.</x:v>
      </x:c>
      <x:c r="E16" s="4" t="str">
        <x:v>07 histórico; 26 nueva síntesis</x:v>
      </x:c>
      <x:c r="F16" s="12" t="n">
        <x:f>IF(COUNTIF('26_Mapa_universos'!$A$5:$A$33,B16)=1,0,1)</x:f>
        <x:v>0</x:v>
      </x:c>
    </x:row>
    <x:row r="17" ht="47" customHeight="1">
      <x:c r="A17" s="4" t="str">
        <x:v>OPC-11</x:v>
      </x:c>
      <x:c r="B17" s="4" t="str">
        <x:v>CYO-11</x:v>
      </x:c>
      <x:c r="C17" s="4" t="str">
        <x:v>DESCOMPOSICIÓN / CONVERGENCIA</x:v>
      </x:c>
      <x:c r="D17" s="4" t="str">
        <x:v>Separar preparación ensayada y restauración real con decisión de retorno.</x:v>
      </x:c>
      <x:c r="E17" s="4" t="str">
        <x:v>07 histórico; 26 nueva síntesis</x:v>
      </x:c>
      <x:c r="F17" s="12" t="n">
        <x:f>IF(COUNTIF('26_Mapa_universos'!$A$5:$A$33,B17)=1,0,1)</x:f>
        <x:v>0</x:v>
      </x:c>
    </x:row>
    <x:row r="18" ht="47" customHeight="1">
      <x:c r="A18" s="4" t="str">
        <x:v>OPC-11</x:v>
      </x:c>
      <x:c r="B18" s="4" t="str">
        <x:v>CYO-25</x:v>
      </x:c>
      <x:c r="C18" s="4" t="str">
        <x:v>DESCOMPOSICIÓN / CONVERGENCIA</x:v>
      </x:c>
      <x:c r="D18" s="4" t="str">
        <x:v>Separar preparación ensayada y restauración real con decisión de retorno.</x:v>
      </x:c>
      <x:c r="E18" s="4" t="str">
        <x:v>07 histórico; 26 nueva síntesis</x:v>
      </x:c>
      <x:c r="F18" s="12" t="n">
        <x:f>IF(COUNTIF('26_Mapa_universos'!$A$5:$A$33,B18)=1,0,1)</x:f>
        <x:v>0</x:v>
      </x:c>
    </x:row>
    <x:row r="19" ht="47" customHeight="1">
      <x:c r="A19" s="4" t="str">
        <x:v>OPC-12</x:v>
      </x:c>
      <x:c r="B19" s="4" t="str">
        <x:v>CYO-12</x:v>
      </x:c>
      <x:c r="C19" s="4" t="str">
        <x:v>REEXAMINADA</x:v>
      </x:c>
      <x:c r="D19" s="4" t="str">
        <x:v>Conservar identidad candidata y añadir ancla educativa; no adopción automática.</x:v>
      </x:c>
      <x:c r="E19" s="4" t="str">
        <x:v>07 histórico; 26 nueva síntesis</x:v>
      </x:c>
      <x:c r="F19" s="12" t="n">
        <x:f>IF(COUNTIF('26_Mapa_universos'!$A$5:$A$33,B19)=1,0,1)</x:f>
        <x:v>0</x:v>
      </x:c>
    </x:row>
    <x:row r="20" ht="47" customHeight="1">
      <x:c r="A20" s="4" t="str">
        <x:v>OPC-13</x:v>
      </x:c>
      <x:c r="B20" s="4" t="str">
        <x:v>CYO-13</x:v>
      </x:c>
      <x:c r="C20" s="4" t="str">
        <x:v>REEXAMINADA</x:v>
      </x:c>
      <x:c r="D20" s="4" t="str">
        <x:v>Conservar identidad candidata y añadir ancla educativa; no adopción automática.</x:v>
      </x:c>
      <x:c r="E20" s="4" t="str">
        <x:v>07 histórico; 26 nueva síntesis</x:v>
      </x:c>
      <x:c r="F20" s="12" t="n">
        <x:f>IF(COUNTIF('26_Mapa_universos'!$A$5:$A$33,B20)=1,0,1)</x:f>
        <x:v>0</x:v>
      </x:c>
    </x:row>
    <x:row r="21" ht="47" customHeight="1">
      <x:c r="A21" s="4" t="str">
        <x:v>OPC-14</x:v>
      </x:c>
      <x:c r="B21" s="4" t="str">
        <x:v>CYO-14</x:v>
      </x:c>
      <x:c r="C21" s="4" t="str">
        <x:v>REEXAMINADA</x:v>
      </x:c>
      <x:c r="D21" s="4" t="str">
        <x:v>Conservar identidad candidata y añadir ancla educativa; no adopción automática.</x:v>
      </x:c>
      <x:c r="E21" s="4" t="str">
        <x:v>07 histórico; 26 nueva síntesis</x:v>
      </x:c>
      <x:c r="F21" s="12" t="n">
        <x:f>IF(COUNTIF('26_Mapa_universos'!$A$5:$A$33,B21)=1,0,1)</x:f>
        <x:v>0</x:v>
      </x:c>
    </x:row>
    <x:row r="22" ht="47" customHeight="1">
      <x:c r="A22" s="4" t="str">
        <x:v>OPC-15</x:v>
      </x:c>
      <x:c r="B22" s="4" t="str">
        <x:v>CYO-15</x:v>
      </x:c>
      <x:c r="C22" s="4" t="str">
        <x:v>DESCOMPOSICIÓN / CONVERGENCIA</x:v>
      </x:c>
      <x:c r="D22" s="4" t="str">
        <x:v>Separar admisibilidad del uso y validez técnica; CYO-23 es una identidad compartida, no dos copias.</x:v>
      </x:c>
      <x:c r="E22" s="4" t="str">
        <x:v>07 histórico; 26 nueva síntesis</x:v>
      </x:c>
      <x:c r="F22" s="12" t="n">
        <x:f>IF(COUNTIF('26_Mapa_universos'!$A$5:$A$33,B22)=1,0,1)</x:f>
        <x:v>0</x:v>
      </x:c>
    </x:row>
    <x:row r="23" ht="47" customHeight="1">
      <x:c r="A23" s="4" t="str">
        <x:v>OPC-15</x:v>
      </x:c>
      <x:c r="B23" s="4" t="str">
        <x:v>CYO-23</x:v>
      </x:c>
      <x:c r="C23" s="4" t="str">
        <x:v>DESCOMPOSICIÓN / CONVERGENCIA</x:v>
      </x:c>
      <x:c r="D23" s="4" t="str">
        <x:v>Separar admisibilidad del uso y validez técnica; CYO-23 es una identidad compartida, no dos copias.</x:v>
      </x:c>
      <x:c r="E23" s="4" t="str">
        <x:v>07 histórico; 26 nueva síntesis</x:v>
      </x:c>
      <x:c r="F23" s="12" t="n">
        <x:f>IF(COUNTIF('26_Mapa_universos'!$A$5:$A$33,B23)=1,0,1)</x:f>
        <x:v>0</x:v>
      </x:c>
    </x:row>
    <x:row r="24" ht="47" customHeight="1">
      <x:c r="A24" s="4" t="str">
        <x:v>OPC-16</x:v>
      </x:c>
      <x:c r="B24" s="4" t="str">
        <x:v>CYO-16</x:v>
      </x:c>
      <x:c r="C24" s="4" t="str">
        <x:v>REEXAMINADA</x:v>
      </x:c>
      <x:c r="D24" s="4" t="str">
        <x:v>Conservar identidad candidata y añadir ancla educativa; no adopción automática.</x:v>
      </x:c>
      <x:c r="E24" s="4" t="str">
        <x:v>07 histórico; 26 nueva síntesis</x:v>
      </x:c>
      <x:c r="F24" s="12" t="n">
        <x:f>IF(COUNTIF('26_Mapa_universos'!$A$5:$A$33,B24)=1,0,1)</x:f>
        <x:v>0</x:v>
      </x:c>
    </x:row>
    <x:row r="25" ht="47" customHeight="1">
      <x:c r="A25" s="4" t="str">
        <x:v>OPC-17</x:v>
      </x:c>
      <x:c r="B25" s="4" t="str">
        <x:v>CYO-17</x:v>
      </x:c>
      <x:c r="C25" s="4" t="str">
        <x:v>REEXAMINADA</x:v>
      </x:c>
      <x:c r="D25" s="4" t="str">
        <x:v>Conservar identidad candidata y añadir ancla educativa; no adopción automática.</x:v>
      </x:c>
      <x:c r="E25" s="4" t="str">
        <x:v>07 histórico; 26 nueva síntesis</x:v>
      </x:c>
      <x:c r="F25" s="12" t="n">
        <x:f>IF(COUNTIF('26_Mapa_universos'!$A$5:$A$33,B25)=1,0,1)</x:f>
        <x:v>0</x:v>
      </x:c>
    </x:row>
    <x:row r="26" ht="47" customHeight="1">
      <x:c r="A26" s="4" t="str">
        <x:v>OPC-18</x:v>
      </x:c>
      <x:c r="B26" s="4" t="str">
        <x:v>CYO-18</x:v>
      </x:c>
      <x:c r="C26" s="4" t="str">
        <x:v>REEXAMINADA</x:v>
      </x:c>
      <x:c r="D26" s="4" t="str">
        <x:v>Conservar identidad candidata y añadir ancla educativa; no adopción automática.</x:v>
      </x:c>
      <x:c r="E26" s="4" t="str">
        <x:v>07 histórico; 26 nueva síntesis</x:v>
      </x:c>
      <x:c r="F26" s="12" t="n">
        <x:f>IF(COUNTIF('26_Mapa_universos'!$A$5:$A$33,B26)=1,0,1)</x:f>
        <x:v>0</x:v>
      </x:c>
    </x:row>
    <x:row r="27" ht="47" customHeight="1">
      <x:c r="A27" s="4" t="str">
        <x:v>OPC-19</x:v>
      </x:c>
      <x:c r="B27" s="4" t="str">
        <x:v>CYO-19</x:v>
      </x:c>
      <x:c r="C27" s="4" t="str">
        <x:v>REEXAMINADA</x:v>
      </x:c>
      <x:c r="D27" s="4" t="str">
        <x:v>Conservar identidad candidata y añadir ancla educativa; no adopción automática.</x:v>
      </x:c>
      <x:c r="E27" s="4" t="str">
        <x:v>07 histórico; 26 nueva síntesis</x:v>
      </x:c>
      <x:c r="F27" s="12" t="n">
        <x:f>IF(COUNTIF('26_Mapa_universos'!$A$5:$A$33,B27)=1,0,1)</x:f>
        <x:v>0</x:v>
      </x:c>
    </x:row>
    <x:row r="28" ht="47" customHeight="1">
      <x:c r="A28" s="4" t="str">
        <x:v>OPC-20</x:v>
      </x:c>
      <x:c r="B28" s="4" t="str">
        <x:v>CYO-20</x:v>
      </x:c>
      <x:c r="C28" s="4" t="str">
        <x:v>REEXAMINADA</x:v>
      </x:c>
      <x:c r="D28" s="4" t="str">
        <x:v>Conservar identidad candidata y añadir ancla educativa; no adopción automática.</x:v>
      </x:c>
      <x:c r="E28" s="4" t="str">
        <x:v>07 histórico; 26 nueva síntesis</x:v>
      </x:c>
      <x:c r="F28" s="12" t="n">
        <x:f>IF(COUNTIF('26_Mapa_universos'!$A$5:$A$33,B28)=1,0,1)</x:f>
        <x:v>0</x:v>
      </x:c>
    </x:row>
    <x:row r="29" ht="47" customHeight="1">
      <x:c r="A29" s="4" t="str">
        <x:v>OPC-21</x:v>
      </x:c>
      <x:c r="B29" s="4" t="str">
        <x:v>CYO-21</x:v>
      </x:c>
      <x:c r="C29" s="4" t="str">
        <x:v>REEXAMINADA</x:v>
      </x:c>
      <x:c r="D29" s="4" t="str">
        <x:v>Conservar identidad candidata y añadir ancla educativa; no adopción automática.</x:v>
      </x:c>
      <x:c r="E29" s="4" t="str">
        <x:v>07 histórico; 26 nueva síntesis</x:v>
      </x:c>
      <x:c r="F29" s="12" t="n">
        <x:f>IF(COUNTIF('26_Mapa_universos'!$A$5:$A$33,B29)=1,0,1)</x:f>
        <x:v>0</x:v>
      </x:c>
    </x:row>
    <x:row r="30" ht="47" customHeight="1">
      <x:c r="A30" s="4" t="str">
        <x:v>OPC-22</x:v>
      </x:c>
      <x:c r="B30" s="4" t="str">
        <x:v>CYO-22</x:v>
      </x:c>
      <x:c r="C30" s="4" t="str">
        <x:v>REEXAMINADA</x:v>
      </x:c>
      <x:c r="D30" s="4" t="str">
        <x:v>Conservar identidad candidata y añadir ancla educativa; no adopción automática.</x:v>
      </x:c>
      <x:c r="E30" s="4" t="str">
        <x:v>07 histórico; 26 nueva síntesis</x:v>
      </x:c>
      <x:c r="F30" s="12" t="n">
        <x:f>IF(COUNTIF('26_Mapa_universos'!$A$5:$A$33,B30)=1,0,1)</x:f>
        <x:v>0</x:v>
      </x:c>
    </x:row>
    <x:row r="31" ht="47" customHeight="1">
      <x:c r="A31" s="4" t="str">
        <x:v>SIN ID PREVIO</x:v>
      </x:c>
      <x:c r="B31" s="4" t="str">
        <x:v>CYO-26</x:v>
      </x:c>
      <x:c r="C31" s="4" t="str">
        <x:v>ADICIÓN PROPUESTA</x:v>
      </x:c>
      <x:c r="D31" s="4" t="str">
        <x:v>Hallazgo y tratamiento no cierran con el mismo producto.</x:v>
      </x:c>
      <x:c r="E31" s="4" t="str">
        <x:v>R033 / R035 / R037; AN-02</x:v>
      </x:c>
      <x:c r="F31" s="12" t="n">
        <x:f>IF(COUNTIF('26_Mapa_universos'!$A$5:$A$33,B31)=1,0,1)</x:f>
        <x:v>0</x:v>
      </x:c>
    </x:row>
    <x:row r="32" ht="47" customHeight="1">
      <x:c r="A32" s="4" t="str">
        <x:v>SIN ID PREVIO</x:v>
      </x:c>
      <x:c r="B32" s="4" t="str">
        <x:v>CYO-27</x:v>
      </x:c>
      <x:c r="C32" s="4" t="str">
        <x:v>ADICIÓN PROPUESTA</x:v>
      </x:c>
      <x:c r="D32" s="4" t="str">
        <x:v>Una capacidad de detección validada difiere del juicio de una alerta.</x:v>
      </x:c>
      <x:c r="E32" s="4" t="str">
        <x:v>R033 / R035 / R037; AN-02</x:v>
      </x:c>
      <x:c r="F32" s="12" t="n">
        <x:f>IF(COUNTIF('26_Mapa_universos'!$A$5:$A$33,B32)=1,0,1)</x:f>
        <x:v>0</x:v>
      </x:c>
    </x:row>
    <x:row r="33" ht="47" customHeight="1">
      <x:c r="A33" s="4" t="str">
        <x:v>SIN ID PREVIO</x:v>
      </x:c>
      <x:c r="B33" s="4" t="str">
        <x:v>CYO-28</x:v>
      </x:c>
      <x:c r="C33" s="4" t="str">
        <x:v>ADICIÓN PROPUESTA</x:v>
      </x:c>
      <x:c r="D33" s="4" t="str">
        <x:v>La búsqueda por hipótesis tiene disparador y cierre propios, sin requerir alerta.</x:v>
      </x:c>
      <x:c r="E33" s="4" t="str">
        <x:v>R033 / R035 / R037; AN-02</x:v>
      </x:c>
      <x:c r="F33" s="12" t="n">
        <x:f>IF(COUNTIF('26_Mapa_universos'!$A$5:$A$33,B33)=1,0,1)</x:f>
        <x:v>0</x:v>
      </x:c>
    </x:row>
    <x:row r="34" ht="47" customHeight="1">
      <x:c r="A34" s="4" t="str">
        <x:v>SIN ID PREVIO</x:v>
      </x:c>
      <x:c r="B34" s="4" t="str">
        <x:v>CYO-29</x:v>
      </x:c>
      <x:c r="C34" s="4" t="str">
        <x:v>ADICIÓN PROPUESTA</x:v>
      </x:c>
      <x:c r="D34" s="4" t="str">
        <x:v>Política corporativa y admisión de un uso concreto son actos diferentes.</x:v>
      </x:c>
      <x:c r="E34" s="4" t="str">
        <x:v>R033 / R035 / R037; AN-02</x:v>
      </x:c>
      <x:c r="F34" s="12" t="n">
        <x:f>IF(COUNTIF('26_Mapa_universos'!$A$5:$A$33,B34)=1,0,1)</x:f>
        <x:v>0</x:v>
      </x:c>
    </x:row>
  </x:sheetData>
  <x:mergeCells>
    <x:mergeCell ref="A1:D1"/>
    <x:mergeCell ref="A2:F2"/>
  </x:mergeCells>
  <x:conditionalFormatting sqref="F5:F34">
    <x:cfRule type="expression" dxfId="15" priority="1">
      <x:formula>F5&gt;0</x:formula>
    </x:cfRule>
  </x:conditionalFormatting>
  <x:pageMargins left="0.7" right="0.7" top="0.75" bottom="0.75" header="0.3" footer="0.3"/>
  <x:tableParts count="1">
    <x:tablePart xmlns:r="http://schemas.openxmlformats.org/officeDocument/2006/relationships" r:id="R2c65a5687f5743c2"/>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88" hidden="0" customWidth="1"/>
    <x:col min="7" max="7" width="97" hidden="0" customWidth="1"/>
    <x:col min="8" max="8" width="96" hidden="0" customWidth="1"/>
    <x:col min="9" max="9" width="95" hidden="0" customWidth="1"/>
    <x:col min="10" max="10" width="109" hidden="0" customWidth="1"/>
    <x:col min="11" max="11" width="15" hidden="0" customWidth="1"/>
    <x:col min="12" max="12" width="79" hidden="0" customWidth="1"/>
    <x:col min="13" max="13" width="105" hidden="0" customWidth="1"/>
    <x:col min="14" max="14" width="100" hidden="0" customWidth="1"/>
    <x:col min="15" max="15" width="45" hidden="0" customWidth="1"/>
    <x:col min="16" max="16" width="21" hidden="0" customWidth="1"/>
    <x:col min="17" max="17" width="23" hidden="0" customWidth="1"/>
    <x:col min="18" max="18" width="23" hidden="0" customWidth="1"/>
  </x:cols>
  <x:sheetData>
    <x:row r="1" ht="35" customHeight="1">
      <x:c r="A1" s="6" t="str">
        <x:v>CONSECUENCIAS · por qué debe enlazarse el conocimiento</x:v>
      </x:c>
      <x:c r="B1" s="6"/>
      <x:c r="C1" s="6"/>
      <x:c r="D1" s="6"/>
      <x:c r="E1" s="6"/>
      <x:c r="F1" s="6"/>
      <x:c r="G1" s="6"/>
      <x:c r="H1" s="6"/>
      <x:c r="I1" s="6"/>
      <x:c r="J1" s="6"/>
      <x:c r="K1" s="6"/>
      <x:c r="L1" s="6"/>
      <x:c r="M1" s="6"/>
      <x:c r="N1" s="6"/>
      <x:c r="O1" s="6"/>
      <x:c r="P1" s="6"/>
      <x:c r="Q1" s="6"/>
      <x:c r="R1" s="6"/>
    </x:row>
    <x:row r="2" ht="52" customHeight="1">
      <x:c r="A2" s="8" t="str">
        <x:v>Ocho testigos hipotéticos especificados. La prueba futura retirará un enlace necesario y comprobará qué consejo deja de estar fundado. No son daños observados, parámetros adjudicados ni una campaña ejecutada.</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Operación</x:v>
      </x:c>
      <x:c r="C4" s="10" t="str">
        <x:v>Conocimiento A</x:v>
      </x:c>
      <x:c r="D4" s="10" t="str">
        <x:v>Conocimiento B</x:v>
      </x:c>
      <x:c r="E4" s="10" t="str">
        <x:v>Conocimiento C</x:v>
      </x:c>
      <x:c r="F4" s="10" t="str">
        <x:v>Escenario hipotético</x:v>
      </x:c>
      <x:c r="G4" s="10" t="str">
        <x:v>Enlace necesario</x:v>
      </x:c>
      <x:c r="H4" s="10" t="str">
        <x:v>Consejo defectuoso si se omite</x:v>
      </x:c>
      <x:c r="I4" s="10" t="str">
        <x:v>Consecuencia potencial</x:v>
      </x:c>
      <x:c r="J4" s="10" t="str">
        <x:v>Consejo que debe poder fundamentarse</x:v>
      </x:c>
      <x:c r="K4" s="10" t="str">
        <x:v>Fuente principal</x:v>
      </x:c>
      <x:c r="L4" s="10" t="str">
        <x:v>Localizador</x:v>
      </x:c>
      <x:c r="M4" s="10" t="str">
        <x:v>Límite de la evidencia</x:v>
      </x:c>
      <x:c r="N4" s="10" t="str">
        <x:v>Necesidad de ruta / explicación</x:v>
      </x:c>
      <x:c r="O4" s="10" t="str">
        <x:v>Estado probatorio</x:v>
      </x:c>
      <x:c r="P4" s="10" t="str">
        <x:v>Operación inválida</x:v>
      </x:c>
      <x:c r="Q4" s="10" t="str">
        <x:v>Conocimiento inválido</x:v>
      </x:c>
      <x:c r="R4" s="10" t="str">
        <x:v>Campo esencial ausente</x:v>
      </x:c>
    </x:row>
    <x:row r="5" ht="47" customHeight="1">
      <x:c r="A5" s="4" t="str">
        <x:v>CE-OM-01</x:v>
      </x:c>
      <x:c r="B5" s="4" t="str">
        <x:v>CYO-07</x:v>
      </x:c>
      <x:c r="C5" s="4" t="str">
        <x:v>URJC-14</x:v>
      </x:c>
      <x:c r="D5" s="4" t="str">
        <x:v>URJC-33</x:v>
      </x:c>
      <x:c r="E5" s="4" t="str">
        <x:v>URJC-09</x:v>
      </x:c>
      <x:c r="F5" s="4" t="str">
        <x:v>Alerta de un servicio cuya fuente de logs está parcialmente ausente</x:v>
      </x:c>
      <x:c r="G5" s="4" t="str">
        <x:v>Enlazar alcance real de observación, señales e incertidumbre antes de interpretar silencio</x:v>
      </x:c>
      <x:c r="H5" s="4" t="str">
        <x:v>Dar por descartada actividad adversa porque no hay más señales</x:v>
      </x:c>
      <x:c r="I5" s="4" t="str">
        <x:v>Una actividad fuera de cobertura podría quedar sin investigar</x:v>
      </x:c>
      <x:c r="J5" s="4" t="str">
        <x:v>Explicar el límite de cobertura y la evidencia adicional necesaria para aconsejar el cierre</x:v>
      </x:c>
      <x:c r="K5" s="4" t="str">
        <x:v>F019</x:v>
      </x:c>
      <x:c r="L5" s="4" t="str">
        <x:v>DE.CM R1/R2; DE.AE; pp.23–27</x:v>
      </x:c>
      <x:c r="M5" s="4" t="str">
        <x:v>La fuente respalda cobertura y errores de detección; no demuestra un incidente en este escenario</x:v>
      </x:c>
      <x:c r="N5" s="4" t="str">
        <x:v>RC-01; cobertura del frame y enlace omitido</x:v>
      </x:c>
      <x:c r="O5" s="4" t="str">
        <x:v>ESPECIFICADO; NO EJECUTADO</x:v>
      </x:c>
      <x:c r="P5" s="12" t="n">
        <x:f>IF(COUNTIF('26_Mapa_universos'!$A$5:$A$33,B5)=1,0,1)</x:f>
        <x:v>0</x:v>
      </x:c>
      <x:c r="Q5" s="12" t="n">
        <x:f>IF(COUNTIF('15_Base_universitaria'!$A$5:$A$44,C5)+COUNTIF('17_Comp_educativos'!$A$5:$A$16,C5)=1,0,1)+IF(COUNTIF('15_Base_universitaria'!$A$5:$A$44,D5)+COUNTIF('17_Comp_educativos'!$A$5:$A$16,D5)=1,0,1)+IF(COUNTIF('15_Base_universitaria'!$A$5:$A$44,E5)+COUNTIF('17_Comp_educativos'!$A$5:$A$16,E5)=1,0,1)</x:f>
        <x:v>0</x:v>
      </x:c>
      <x:c r="R5" s="12" t="n">
        <x:f>COUNTBLANK(F5:N5)+IF(COUNTIF('21_Fuentes_educativas'!$A$5:$A$188,K5)+COUNTIF('01_Fuentes'!$A$5:$A$40,K5)+COUNTIF('32_Fuentes_metodo'!$A$5:$A$23,K5)=1,0,1)</x:f>
        <x:v>0</x:v>
      </x:c>
    </x:row>
    <x:row r="6" ht="47" customHeight="1">
      <x:c r="A6" s="4" t="str">
        <x:v>CE-OM-02</x:v>
      </x:c>
      <x:c r="B6" s="4" t="str">
        <x:v>CYO-14</x:v>
      </x:c>
      <x:c r="C6" s="4" t="str">
        <x:v>URJC-33</x:v>
      </x:c>
      <x:c r="D6" s="4" t="str">
        <x:v>URJC-36</x:v>
      </x:c>
      <x:c r="E6" s="4" t="str">
        <x:v>URJC-35</x:v>
      </x:c>
      <x:c r="F6" s="4" t="str">
        <x:v>Propuesta de aislar o reiniciar un componente que participa en un proceso físico</x:v>
      </x:c>
      <x:c r="G6" s="4" t="str">
        <x:v>Enlazar evidencia del incidente, dependencia ciberfísica y efectos de intervención</x:v>
      </x:c>
      <x:c r="H6" s="4" t="str">
        <x:v>Aconsejar la contención ordinaria sin examinar la función física</x:v>
      </x:c>
      <x:c r="I6" s="4" t="str">
        <x:v>Interrupción de una función o afectación a seguridad del proceso, según el caso</x:v>
      </x:c>
      <x:c r="J6" s="4" t="str">
        <x:v>Presentar alternativas y consecuencias al experto competente con las dependencias visibles</x:v>
      </x:c>
      <x:c r="K6" s="4" t="str">
        <x:v>F020</x:v>
      </x:c>
      <x:c r="L6" s="4" t="str">
        <x:v>§2.3; pp.28–30: disponibilidad, riesgo y efectos físicos</x:v>
      </x:c>
      <x:c r="M6" s="4" t="str">
        <x:v>La fuente documenta diferencias IT/OT; magnitud y causalidad del caso requieren evidencia propia</x:v>
      </x:c>
      <x:c r="N6" s="4" t="str">
        <x:v>RC-12; autoridades y consecuencias de intervenir/no intervenir</x:v>
      </x:c>
      <x:c r="O6" s="4" t="str">
        <x:v>ESPECIFICADO; NO EJECUTADO</x:v>
      </x:c>
      <x:c r="P6" s="12" t="n">
        <x:f>IF(COUNTIF('26_Mapa_universos'!$A$5:$A$33,B6)=1,0,1)</x:f>
        <x:v>0</x:v>
      </x:c>
      <x:c r="Q6" s="12" t="n">
        <x:f>IF(COUNTIF('15_Base_universitaria'!$A$5:$A$44,C6)+COUNTIF('17_Comp_educativos'!$A$5:$A$16,C6)=1,0,1)+IF(COUNTIF('15_Base_universitaria'!$A$5:$A$44,D6)+COUNTIF('17_Comp_educativos'!$A$5:$A$16,D6)=1,0,1)+IF(COUNTIF('15_Base_universitaria'!$A$5:$A$44,E6)+COUNTIF('17_Comp_educativos'!$A$5:$A$16,E6)=1,0,1)</x:f>
        <x:v>0</x:v>
      </x:c>
      <x:c r="R6" s="12" t="n">
        <x:f>COUNTBLANK(F6:N6)+IF(COUNTIF('21_Fuentes_educativas'!$A$5:$A$188,K6)+COUNTIF('01_Fuentes'!$A$5:$A$40,K6)+COUNTIF('32_Fuentes_metodo'!$A$5:$A$23,K6)=1,0,1)</x:f>
        <x:v>0</x:v>
      </x:c>
    </x:row>
    <x:row r="7" ht="47" customHeight="1">
      <x:c r="A7" s="4" t="str">
        <x:v>CE-OM-03</x:v>
      </x:c>
      <x:c r="B7" s="4" t="str">
        <x:v>CYO-25</x:v>
      </x:c>
      <x:c r="C7" s="4" t="str">
        <x:v>URJC-33</x:v>
      </x:c>
      <x:c r="D7" s="4" t="str">
        <x:v>URJC-24</x:v>
      </x:c>
      <x:c r="E7" s="4" t="str">
        <x:v>URJC-19</x:v>
      </x:c>
      <x:c r="F7" s="4" t="str">
        <x:v>Se dispone de una copia y se propone devolver un servicio a operación</x:v>
      </x:c>
      <x:c r="G7" s="4" t="str">
        <x:v>Enlazar integridad de copia, estado restaurado y orden de dependencias</x:v>
      </x:c>
      <x:c r="H7" s="4" t="str">
        <x:v>Aconsejar retorno por la mera existencia de la copia</x:v>
      </x:c>
      <x:c r="I7" s="4" t="str">
        <x:v>Podrían reaparecer compromiso, incoherencia de datos o fallo de una dependencia</x:v>
      </x:c>
      <x:c r="J7" s="4" t="str">
        <x:v>Explicar las verificaciones necesarias y el estado efectivo antes de la decisión de retorno</x:v>
      </x:c>
      <x:c r="K7" s="4" t="str">
        <x:v>F019</x:v>
      </x:c>
      <x:c r="L7" s="4" t="str">
        <x:v>RC.RP-03/04/05; p.34</x:v>
      </x:c>
      <x:c r="M7" s="4" t="str">
        <x:v>Se deriva un testigo de omisión de verificaciones prescritas; no se afirma que esa copia esté comprometida</x:v>
      </x:c>
      <x:c r="N7" s="4" t="str">
        <x:v>RC-07/08; distinguir prueba previa, restauración y permiso</x:v>
      </x:c>
      <x:c r="O7" s="4" t="str">
        <x:v>ESPECIFICADO; NO EJECUTADO</x:v>
      </x:c>
      <x:c r="P7" s="12" t="n">
        <x:f>IF(COUNTIF('26_Mapa_universos'!$A$5:$A$33,B7)=1,0,1)</x:f>
        <x:v>0</x:v>
      </x:c>
      <x:c r="Q7" s="12" t="n">
        <x:f>IF(COUNTIF('15_Base_universitaria'!$A$5:$A$44,C7)+COUNTIF('17_Comp_educativos'!$A$5:$A$16,C7)=1,0,1)+IF(COUNTIF('15_Base_universitaria'!$A$5:$A$44,D7)+COUNTIF('17_Comp_educativos'!$A$5:$A$16,D7)=1,0,1)+IF(COUNTIF('15_Base_universitaria'!$A$5:$A$44,E7)+COUNTIF('17_Comp_educativos'!$A$5:$A$16,E7)=1,0,1)</x:f>
        <x:v>0</x:v>
      </x:c>
      <x:c r="R7" s="12" t="n">
        <x:f>COUNTBLANK(F7:N7)+IF(COUNTIF('21_Fuentes_educativas'!$A$5:$A$188,K7)+COUNTIF('01_Fuentes'!$A$5:$A$40,K7)+COUNTIF('32_Fuentes_metodo'!$A$5:$A$23,K7)=1,0,1)</x:f>
        <x:v>0</x:v>
      </x:c>
    </x:row>
    <x:row r="8" ht="47" customHeight="1">
      <x:c r="A8" s="4" t="str">
        <x:v>CE-OM-04</x:v>
      </x:c>
      <x:c r="B8" s="4" t="str">
        <x:v>CYO-23</x:v>
      </x:c>
      <x:c r="C8" s="4" t="str">
        <x:v>URJC-09</x:v>
      </x:c>
      <x:c r="D8" s="4" t="str">
        <x:v>URJC-26</x:v>
      </x:c>
      <x:c r="E8" s="4" t="str">
        <x:v>CE-01</x:v>
      </x:c>
      <x:c r="F8" s="4" t="str">
        <x:v>Detector con una métrica favorable en un conjunto de evaluación</x:v>
      </x:c>
      <x:c r="G8" s="4" t="str">
        <x:v>Enlazar población de prueba, uso previsto y errores con consecuencias diferentes</x:v>
      </x:c>
      <x:c r="H8" s="4" t="str">
        <x:v>Aconsejar su uso sólo por la métrica agregada</x:v>
      </x:c>
      <x:c r="I8" s="4" t="str">
        <x:v>La evaluación podría no revelar fallos relevantes para el contexto de uso</x:v>
      </x:c>
      <x:c r="J8" s="4" t="str">
        <x:v>Justificar alcance, metodología, errores y límites de generalización ante el experto</x:v>
      </x:c>
      <x:c r="K8" s="4" t="str">
        <x:v>F024</x:v>
      </x:c>
      <x:c r="L8" s="4" t="str">
        <x:v>§3.1; pp.13–14; MEASURE 2.3/2.5</x:v>
      </x:c>
      <x:c r="M8" s="4" t="str">
        <x:v>La métrica es evidencia externa evaluada; no sustituye el juicio algebraico del SV</x:v>
      </x:c>
      <x:c r="N8" s="4" t="str">
        <x:v>RC-02; versión, cobertura y justificación del consejo</x:v>
      </x:c>
      <x:c r="O8" s="4" t="str">
        <x:v>ESPECIFICADO; NO EJECUTADO</x:v>
      </x:c>
      <x:c r="P8" s="12" t="n">
        <x:f>IF(COUNTIF('26_Mapa_universos'!$A$5:$A$33,B8)=1,0,1)</x:f>
        <x:v>0</x:v>
      </x:c>
      <x:c r="Q8" s="12" t="n">
        <x:f>IF(COUNTIF('15_Base_universitaria'!$A$5:$A$44,C8)+COUNTIF('17_Comp_educativos'!$A$5:$A$16,C8)=1,0,1)+IF(COUNTIF('15_Base_universitaria'!$A$5:$A$44,D8)+COUNTIF('17_Comp_educativos'!$A$5:$A$16,D8)=1,0,1)+IF(COUNTIF('15_Base_universitaria'!$A$5:$A$44,E8)+COUNTIF('17_Comp_educativos'!$A$5:$A$16,E8)=1,0,1)</x:f>
        <x:v>0</x:v>
      </x:c>
      <x:c r="R8" s="12" t="n">
        <x:f>COUNTBLANK(F8:N8)+IF(COUNTIF('21_Fuentes_educativas'!$A$5:$A$188,K8)+COUNTIF('01_Fuentes'!$A$5:$A$40,K8)+COUNTIF('32_Fuentes_metodo'!$A$5:$A$23,K8)=1,0,1)</x:f>
        <x:v>0</x:v>
      </x:c>
    </x:row>
    <x:row r="9" ht="47" customHeight="1">
      <x:c r="A9" s="4" t="str">
        <x:v>CE-OM-05</x:v>
      </x:c>
      <x:c r="B9" s="4" t="str">
        <x:v>CYO-15</x:v>
      </x:c>
      <x:c r="C9" s="4" t="str">
        <x:v>URJC-28</x:v>
      </x:c>
      <x:c r="D9" s="4" t="str">
        <x:v>URJC-24</x:v>
      </x:c>
      <x:c r="E9" s="4" t="str">
        <x:v>CE-03</x:v>
      </x:c>
      <x:c r="F9" s="4" t="str">
        <x:v>Aplicación LLM que recibe documentos externos y dispone de herramientas</x:v>
      </x:c>
      <x:c r="G9" s="4" t="str">
        <x:v>Enlazar procedencia del contenido, jerarquía de instrucciones y permisos efectivos</x:v>
      </x:c>
      <x:c r="H9" s="4" t="str">
        <x:v>Aconsejar habilitar acciones porque la respuesta generada resulta coherente</x:v>
      </x:c>
      <x:c r="I9" s="4" t="str">
        <x:v>Una entrada adversaria podría inducir una acción no autorizada si faltan controles efectivos</x:v>
      </x:c>
      <x:c r="J9" s="4" t="str">
        <x:v>Explicar qué controles, evidencia de prueba y permisos sostienen el uso propuesto</x:v>
      </x:c>
      <x:c r="K9" s="4" t="str">
        <x:v>F026</x:v>
      </x:c>
      <x:c r="L9" s="4" t="str">
        <x:v>§3.4: indirect prompt injection; pp.50 y siguientes</x:v>
      </x:c>
      <x:c r="M9" s="4" t="str">
        <x:v>Mecanismo general documentado; este libro no ejecuta ataques ni acredita una mitigación concreta</x:v>
      </x:c>
      <x:c r="N9" s="4" t="str">
        <x:v>RC-03/04; contenido externo no se convierte en mandato</x:v>
      </x:c>
      <x:c r="O9" s="4" t="str">
        <x:v>ESPECIFICADO; NO EJECUTADO</x:v>
      </x:c>
      <x:c r="P9" s="12" t="n">
        <x:f>IF(COUNTIF('26_Mapa_universos'!$A$5:$A$33,B9)=1,0,1)</x:f>
        <x:v>0</x:v>
      </x:c>
      <x:c r="Q9" s="12" t="n">
        <x:f>IF(COUNTIF('15_Base_universitaria'!$A$5:$A$44,C9)+COUNTIF('17_Comp_educativos'!$A$5:$A$16,C9)=1,0,1)+IF(COUNTIF('15_Base_universitaria'!$A$5:$A$44,D9)+COUNTIF('17_Comp_educativos'!$A$5:$A$16,D9)=1,0,1)+IF(COUNTIF('15_Base_universitaria'!$A$5:$A$44,E9)+COUNTIF('17_Comp_educativos'!$A$5:$A$16,E9)=1,0,1)</x:f>
        <x:v>0</x:v>
      </x:c>
      <x:c r="R9" s="12" t="n">
        <x:f>COUNTBLANK(F9:N9)+IF(COUNTIF('21_Fuentes_educativas'!$A$5:$A$188,K9)+COUNTIF('01_Fuentes'!$A$5:$A$40,K9)+COUNTIF('32_Fuentes_metodo'!$A$5:$A$23,K9)=1,0,1)</x:f>
        <x:v>0</x:v>
      </x:c>
    </x:row>
    <x:row r="10" ht="47" customHeight="1">
      <x:c r="A10" s="4" t="str">
        <x:v>CE-OM-06</x:v>
      </x:c>
      <x:c r="B10" s="4" t="str">
        <x:v>CYO-17</x:v>
      </x:c>
      <x:c r="C10" s="4" t="str">
        <x:v>URJC-07</x:v>
      </x:c>
      <x:c r="D10" s="4" t="str">
        <x:v>URJC-12</x:v>
      </x:c>
      <x:c r="E10" s="4" t="str">
        <x:v>CE-03</x:v>
      </x:c>
      <x:c r="F10" s="4" t="str">
        <x:v>Servicio ML que mantiene datos locales o declara un mecanismo de protección</x:v>
      </x:c>
      <x:c r="G10" s="4" t="str">
        <x:v>Enlazar información observable, objetivo del adversario y garantía concreta</x:v>
      </x:c>
      <x:c r="H10" s="4" t="str">
        <x:v>Aconsejar que la privacidad está resuelta por usar aprendizaje federado o cifrado</x:v>
      </x:c>
      <x:c r="I10" s="4" t="str">
        <x:v>Podría quedar sin tratar una vía de inferencia o reconstrucción de información</x:v>
      </x:c>
      <x:c r="J10" s="4" t="str">
        <x:v>Diferenciar amenaza, garantía, supuestos y riesgo residual; remitir la valoración jurídica al responsable</x:v>
      </x:c>
      <x:c r="K10" s="4" t="str">
        <x:v>F026</x:v>
      </x:c>
      <x:c r="L10" s="4" t="str">
        <x:v>§2.4.1: reconstrucción, p.28; §2.4.2: pertenencia, p.29; §1: confidencialidad/privacidad</x:v>
      </x:c>
      <x:c r="M10" s="4" t="str">
        <x:v>No se equiparan federado, privacidad diferencial y TEE; contratos y aprendizaje especializado siguen pendientes</x:v>
      </x:c>
      <x:c r="N10" s="4" t="str">
        <x:v>Garantía y amenaza identificadas; incertidumbre preservada</x:v>
      </x:c>
      <x:c r="O10" s="4" t="str">
        <x:v>ESPECIFICADO; NO EJECUTADO</x:v>
      </x:c>
      <x:c r="P10" s="12" t="n">
        <x:f>IF(COUNTIF('26_Mapa_universos'!$A$5:$A$33,B10)=1,0,1)</x:f>
        <x:v>0</x:v>
      </x:c>
      <x:c r="Q10" s="12" t="n">
        <x:f>IF(COUNTIF('15_Base_universitaria'!$A$5:$A$44,C10)+COUNTIF('17_Comp_educativos'!$A$5:$A$16,C10)=1,0,1)+IF(COUNTIF('15_Base_universitaria'!$A$5:$A$44,D10)+COUNTIF('17_Comp_educativos'!$A$5:$A$16,D10)=1,0,1)+IF(COUNTIF('15_Base_universitaria'!$A$5:$A$44,E10)+COUNTIF('17_Comp_educativos'!$A$5:$A$16,E10)=1,0,1)</x:f>
        <x:v>0</x:v>
      </x:c>
      <x:c r="R10" s="12" t="n">
        <x:f>COUNTBLANK(F10:N10)+IF(COUNTIF('21_Fuentes_educativas'!$A$5:$A$188,K10)+COUNTIF('01_Fuentes'!$A$5:$A$40,K10)+COUNTIF('32_Fuentes_metodo'!$A$5:$A$23,K10)=1,0,1)</x:f>
        <x:v>0</x:v>
      </x:c>
    </x:row>
    <x:row r="11" ht="47" customHeight="1">
      <x:c r="A11" s="4" t="str">
        <x:v>CE-OM-07</x:v>
      </x:c>
      <x:c r="B11" s="4" t="str">
        <x:v>CYO-01</x:v>
      </x:c>
      <x:c r="C11" s="4" t="str">
        <x:v>URJC-11</x:v>
      </x:c>
      <x:c r="D11" s="4" t="str">
        <x:v>URJC-35</x:v>
      </x:c>
      <x:c r="E11" s="4" t="str">
        <x:v>URJC-36</x:v>
      </x:c>
      <x:c r="F11" s="4" t="str">
        <x:v>Medida protectora con coste operativo y dependencias fuera del activo inmediato</x:v>
      </x:c>
      <x:c r="G11" s="4" t="str">
        <x:v>Enlazar coste total, alcance del valor protegido y consecuencias trasladadas</x:v>
      </x:c>
      <x:c r="H11" s="4" t="str">
        <x:v>Aconsejar la medida atendiendo sólo a su eficacia técnica</x:v>
      </x:c>
      <x:c r="I11" s="4" t="str">
        <x:v>La protección puede consumir más que el valor protegido o desplazar un daño no valorado</x:v>
      </x:c>
      <x:c r="J11" s="4" t="str">
        <x:v>Presentar alternativas, supuestos y valoración suficiente; decide el experto conforme al mandato</x:v>
      </x:c>
      <x:c r="K11" s="4" t="str">
        <x:v>R035</x:v>
      </x:c>
      <x:c r="L11" s="4" t="str">
        <x:v>IV: tratamiento, costes, retornos y calibración; mandato humano</x:v>
      </x:c>
      <x:c r="M11" s="4" t="str">
        <x:v>No se fija un precio de la vida ni una fórmula universal. Valores y alcance deben ser constituidos por la autoridad</x:v>
      </x:c>
      <x:c r="N11" s="4" t="str">
        <x:v>Balance completo y dependencia omitida visibles; no compensación automática</x:v>
      </x:c>
      <x:c r="O11" s="4" t="str">
        <x:v>ESPECIFICADO; NO EJECUTADO</x:v>
      </x:c>
      <x:c r="P11" s="12" t="n">
        <x:f>IF(COUNTIF('26_Mapa_universos'!$A$5:$A$33,B11)=1,0,1)</x:f>
        <x:v>0</x:v>
      </x:c>
      <x:c r="Q11" s="12" t="n">
        <x:f>IF(COUNTIF('15_Base_universitaria'!$A$5:$A$44,C11)+COUNTIF('17_Comp_educativos'!$A$5:$A$16,C11)=1,0,1)+IF(COUNTIF('15_Base_universitaria'!$A$5:$A$44,D11)+COUNTIF('17_Comp_educativos'!$A$5:$A$16,D11)=1,0,1)+IF(COUNTIF('15_Base_universitaria'!$A$5:$A$44,E11)+COUNTIF('17_Comp_educativos'!$A$5:$A$16,E11)=1,0,1)</x:f>
        <x:v>0</x:v>
      </x:c>
      <x:c r="R11" s="12" t="n">
        <x:f>COUNTBLANK(F11:N11)+IF(COUNTIF('21_Fuentes_educativas'!$A$5:$A$188,K11)+COUNTIF('01_Fuentes'!$A$5:$A$40,K11)+COUNTIF('32_Fuentes_metodo'!$A$5:$A$23,K11)=1,0,1)</x:f>
        <x:v>0</x:v>
      </x:c>
    </x:row>
    <x:row r="12" ht="47" customHeight="1">
      <x:c r="A12" s="4" t="str">
        <x:v>CE-OM-08</x:v>
      </x:c>
      <x:c r="B12" s="4" t="str">
        <x:v>CYO-19</x:v>
      </x:c>
      <x:c r="C12" s="4" t="str">
        <x:v>URJC-40</x:v>
      </x:c>
      <x:c r="D12" s="4" t="str">
        <x:v>URJC-09</x:v>
      </x:c>
      <x:c r="E12" s="4" t="str">
        <x:v>CE-07</x:v>
      </x:c>
      <x:c r="F12" s="4" t="str">
        <x:v>Consulta sobre un caso nuevo que muestra límites de una regla o evidencia anterior</x:v>
      </x:c>
      <x:c r="G12" s="4" t="str">
        <x:v>Enlazar conocimiento admitido, cobertura del caso y condición de reevaluación</x:v>
      </x:c>
      <x:c r="H12" s="4" t="str">
        <x:v>Aconsejar como si la referencia anterior cubriera el caso, o improvisar otra regla durante la consulta</x:v>
      </x:c>
      <x:c r="I12" s="4" t="str">
        <x:v>El experto podría recibir un fundamento que no corresponde al corte autorizado</x:v>
      </x:c>
      <x:c r="J12" s="4" t="str">
        <x:v>Exponer la carencia; nueva observación se procesa bajo contrato y nuevo conocimiento se somete a revisión humana</x:v>
      </x:c>
      <x:c r="K12" s="4" t="str">
        <x:v>S017</x:v>
      </x:c>
      <x:c r="L12" s="4" t="str">
        <x:v>§§6.3–6.5; S018 §§3–5; S019 §§2,7</x:v>
      </x:c>
      <x:c r="M12" s="4" t="str">
        <x:v>No se equipara actualizar un estado factual con aprender o admitir conocimiento nuevo</x:v>
      </x:c>
      <x:c r="N12" s="4" t="str">
        <x:v>Suceso, reevaluación, frame resultante y J reconstruible</x:v>
      </x:c>
      <x:c r="O12" s="4" t="str">
        <x:v>ESPECIFICADO; NO EJECUTADO</x:v>
      </x:c>
      <x:c r="P12" s="12" t="n">
        <x:f>IF(COUNTIF('26_Mapa_universos'!$A$5:$A$33,B12)=1,0,1)</x:f>
        <x:v>0</x:v>
      </x:c>
      <x:c r="Q12" s="12" t="n">
        <x:f>IF(COUNTIF('15_Base_universitaria'!$A$5:$A$44,C12)+COUNTIF('17_Comp_educativos'!$A$5:$A$16,C12)=1,0,1)+IF(COUNTIF('15_Base_universitaria'!$A$5:$A$44,D12)+COUNTIF('17_Comp_educativos'!$A$5:$A$16,D12)=1,0,1)+IF(COUNTIF('15_Base_universitaria'!$A$5:$A$44,E12)+COUNTIF('17_Comp_educativos'!$A$5:$A$16,E12)=1,0,1)</x:f>
        <x:v>0</x:v>
      </x:c>
      <x:c r="R12" s="12" t="n">
        <x:f>COUNTBLANK(F12:N12)+IF(COUNTIF('21_Fuentes_educativas'!$A$5:$A$188,K12)+COUNTIF('01_Fuentes'!$A$5:$A$40,K12)+COUNTIF('32_Fuentes_metodo'!$A$5:$A$23,K12)=1,0,1)</x:f>
        <x:v>0</x:v>
      </x:c>
    </x:row>
  </x:sheetData>
  <x:mergeCells>
    <x:mergeCell ref="A1:D1"/>
    <x:mergeCell ref="A2:F2"/>
  </x:mergeCells>
  <x:conditionalFormatting sqref="P5:P12">
    <x:cfRule type="expression" dxfId="18" priority="1">
      <x:formula>P5&gt;0</x:formula>
    </x:cfRule>
  </x:conditionalFormatting>
  <x:conditionalFormatting sqref="Q5:Q12">
    <x:cfRule type="expression" dxfId="19" priority="2">
      <x:formula>Q5&gt;0</x:formula>
    </x:cfRule>
  </x:conditionalFormatting>
  <x:conditionalFormatting sqref="R5:R12">
    <x:cfRule type="expression" dxfId="20" priority="3">
      <x:formula>R5&gt;0</x:formula>
    </x:cfRule>
  </x:conditionalFormatting>
  <x:pageMargins left="0.7" right="0.7" top="0.75" bottom="0.75" header="0.3" footer="0.3"/>
  <x:tableParts count="1">
    <x:tablePart xmlns:r="http://schemas.openxmlformats.org/officeDocument/2006/relationships" r:id="Rdacc4dd050364de3"/>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112" hidden="0" customWidth="1"/>
    <x:col min="4" max="4" width="106" hidden="0" customWidth="1"/>
    <x:col min="5" max="5" width="58" hidden="0" customWidth="1"/>
    <x:col min="6" max="6" width="91" hidden="0" customWidth="1"/>
  </x:cols>
  <x:sheetData>
    <x:row r="1" ht="35" customHeight="1">
      <x:c r="A1" s="6" t="str">
        <x:v>CONSEJO AL EXPERTO · conocimiento, explicación y frame</x:v>
      </x:c>
      <x:c r="B1" s="6"/>
      <x:c r="C1" s="6"/>
      <x:c r="D1" s="6"/>
      <x:c r="E1" s="6"/>
      <x:c r="F1" s="6"/>
    </x:row>
    <x:row r="2" ht="52" customHeight="1">
      <x:c r="A2" s="8" t="str">
        <x:v>Obligaciones doctrinales y de dominio. Se distingue exigencia de representación, realización existente y suficiencia pendiente; no se promete que el Lenguaje ya implemente todo lo necesario.</x:v>
      </x:c>
      <x:c r="B2" s="8"/>
      <x:c r="C2" s="8"/>
      <x:c r="D2" s="8"/>
      <x:c r="E2" s="8"/>
      <x:c r="F2" s="8"/>
    </x:row>
    <x:row r="3">
      <x:c r="A3" s="4"/>
      <x:c r="B3" s="4"/>
      <x:c r="C3" s="4"/>
      <x:c r="D3" s="4"/>
      <x:c r="E3" s="4"/>
      <x:c r="F3" s="4"/>
    </x:row>
    <x:row r="4" ht="42" customHeight="1">
      <x:c r="A4" s="10" t="str">
        <x:v>ID</x:v>
      </x:c>
      <x:c r="B4" s="10" t="str">
        <x:v>Objeto</x:v>
      </x:c>
      <x:c r="C4" s="10" t="str">
        <x:v>Obligación</x:v>
      </x:c>
      <x:c r="D4" s="10" t="str">
        <x:v>Omisión que debe impedirse</x:v>
      </x:c>
      <x:c r="E4" s="10" t="str">
        <x:v>Fuente / localizador</x:v>
      </x:c>
      <x:c r="F4" s="10" t="str">
        <x:v>Estatuto</x:v>
      </x:c>
    </x:row>
    <x:row r="5" ht="47" customHeight="1">
      <x:c r="A5" s="4" t="str">
        <x:v>CFM-01</x:v>
      </x:c>
      <x:c r="B5" s="4" t="str">
        <x:v>Experto y consejero</x:v>
      </x:c>
      <x:c r="C5" s="4" t="str">
        <x:v>La IA aporta consejo explicable dentro del dominio y cobertura recibidos; el experto conserva decisión y responsabilidad final</x:v>
      </x:c>
      <x:c r="D5" s="4" t="str">
        <x:v>No adjudicar a la IA autoridad, personalidad o responsabilidad jurídica por emitir texto</x:v>
      </x:c>
      <x:c r="E5" s="4" t="str">
        <x:v>Mandato humano; I005 cierre; S014 §2</x:v>
      </x:c>
      <x:c r="F5" s="4" t="str">
        <x:v>Requisito de gobierno, no contrato de agente constituido</x:v>
      </x:c>
    </x:row>
    <x:row r="6" ht="47" customHeight="1">
      <x:c r="A6" s="4" t="str">
        <x:v>CFM-02</x:v>
      </x:c>
      <x:c r="B6" s="4" t="str">
        <x:v>Conocimiento previamente admitido</x:v>
      </x:c>
      <x:c r="C6" s="4" t="str">
        <x:v>Identificar corpus, fuentes, versiones y reglas gobernantes antes de aconsejar</x:v>
      </x:c>
      <x:c r="D6" s="4" t="str">
        <x:v>Consulta no incorpora fuentes nuevas ni aprende reglas por su cuenta</x:v>
      </x:c>
      <x:c r="E6" s="4" t="str">
        <x:v>S017 §§1,6; S014 §9; mandato humano</x:v>
      </x:c>
      <x:c r="F6" s="4" t="str">
        <x:v>Adquisición para revisar ≠ adopción para aconsejar</x:v>
      </x:c>
    </x:row>
    <x:row r="7" ht="47" customHeight="1">
      <x:c r="A7" s="4" t="str">
        <x:v>CFM-03</x:v>
      </x:c>
      <x:c r="B7" s="4" t="str">
        <x:v>Conocimiento enlazado</x:v>
      </x:c>
      <x:c r="C7" s="4" t="str">
        <x:v>Declarar qué conocimientos y relaciones son necesarios para el propósito de la consulta</x:v>
      </x:c>
      <x:c r="D7" s="4" t="str">
        <x:v>Listar fuentes sin reconstruir el enlace no justifica el consejo</x:v>
      </x:c>
      <x:c r="E7" s="4" t="str">
        <x:v>S017 §6.3–6.4; 34</x:v>
      </x:c>
      <x:c r="F7" s="4" t="str">
        <x:v>Obligación candidata de suficiencia del dominio</x:v>
      </x:c>
    </x:row>
    <x:row r="8" ht="47" customHeight="1">
      <x:c r="A8" s="4" t="str">
        <x:v>CFM-04</x:v>
      </x:c>
      <x:c r="B8" s="4" t="str">
        <x:v>Consecuencia de omisión</x:v>
      </x:c>
      <x:c r="C8" s="4" t="str">
        <x:v>Mostrar el cambio de consejo al retirar un conocimiento o vínculo necesario, y la consecuencia que debe examinarse</x:v>
      </x:c>
      <x:c r="D8" s="4" t="str">
        <x:v>No inventar daño real, probabilidad ni gravedad numérica sin fuente y contexto</x:v>
      </x:c>
      <x:c r="E8" s="4" t="str">
        <x:v>I005 §7.3; mandato humano; 34</x:v>
      </x:c>
      <x:c r="F8" s="4" t="str">
        <x:v>Testigos propuestos; campaña profesional pendiente</x:v>
      </x:c>
    </x:row>
    <x:row r="9" ht="47" customHeight="1">
      <x:c r="A9" s="4" t="str">
        <x:v>CFM-05</x:v>
      </x:c>
      <x:c r="B9" s="4" t="str">
        <x:v>Salida de consulta</x:v>
      </x:c>
      <x:c r="C9" s="4" t="str">
        <x:v>Preservar respuesta r, justificación reconstruible J y metadatos M de cobertura, criticidad y U</x:v>
      </x:c>
      <x:c r="D9" s="4" t="str">
        <x:v>Una explicación narrativa no sustituye valores, reglas y trayectoria</x:v>
      </x:c>
      <x:c r="E9" s="4" t="str">
        <x:v>S017 §§6.3–6.5</x:v>
      </x:c>
      <x:c r="F9" s="4" t="str">
        <x:v>Contrato doctrinal, no implementación nueva</x:v>
      </x:c>
    </x:row>
    <x:row r="10" ht="47" customHeight="1">
      <x:c r="A10" s="4" t="str">
        <x:v>CFM-06</x:v>
      </x:c>
      <x:c r="B10" s="4" t="str">
        <x:v>Frame y arquitectura</x:v>
      </x:c>
      <x:c r="C10" s="4" t="str">
        <x:v>Frame vinculado a arquitectura constituida y estados/resultados de su cierre</x:v>
      </x:c>
      <x:c r="D10" s="4" t="str">
        <x:v>No construir un Frame con agrupaciones de tamaño no admitido ni con referencias ajenas</x:v>
      </x:c>
      <x:c r="E10" s="4" t="str">
        <x:v>S018 §3.4; S016 §§4.1–4.5; S014 §§1–3</x:v>
      </x:c>
      <x:c r="F10" s="4" t="str">
        <x:v>No se instancia ningún Frame CYB en este libro</x:v>
      </x:c>
    </x:row>
    <x:row r="11" ht="47" customHeight="1">
      <x:c r="A11" s="4" t="str">
        <x:v>CFM-07</x:v>
      </x:c>
      <x:c r="B11" s="4" t="str">
        <x:v>Suficiencia del consejo</x:v>
      </x:c>
      <x:c r="C11" s="4" t="str">
        <x:v>Comprobar las dependencias necesarias del alcance consultado además de coherencia del Frame</x:v>
      </x:c>
      <x:c r="D11" s="4" t="str">
        <x:v>IR v0.3 §4.7 no prueba exhaustividad; no interpretar validación verde como conocimiento suficiente</x:v>
      </x:c>
      <x:c r="E11" s="4" t="str">
        <x:v>S016 §4.7; S015 §§6–8</x:v>
      </x:c>
      <x:c r="F11" s="4" t="str">
        <x:v>Riesgo de omisión que el dominio debe contrastar</x:v>
      </x:c>
    </x:row>
    <x:row r="12" ht="47" customHeight="1">
      <x:c r="A12" s="4" t="str">
        <x:v>CFM-08</x:v>
      </x:c>
      <x:c r="B12" s="4" t="str">
        <x:v>Suceso y reevaluación</x:v>
      </x:c>
      <x:c r="C12" s="4" t="str">
        <x:v>Declarar suceso del horizonte, dato pertinente, reevaluación y nuevo frame</x:v>
      </x:c>
      <x:c r="D12" s="4" t="str">
        <x:v>El tiempo no es causa soberana; una observación nueva no modifica por sí sola el corpus de reglas</x:v>
      </x:c>
      <x:c r="E12" s="4" t="str">
        <x:v>S018 §§3–6; S019 §§2–7</x:v>
      </x:c>
      <x:c r="F12" s="4" t="str">
        <x:v>Actualización factual gobernada ≠ aprendizaje del consejero</x:v>
      </x:c>
    </x:row>
    <x:row r="13" ht="47" customHeight="1">
      <x:c r="A13" s="4" t="str">
        <x:v>CFM-09</x:v>
      </x:c>
      <x:c r="B13" s="4" t="str">
        <x:v>Historia y explicación recuperable</x:v>
      </x:c>
      <x:c r="C13" s="4" t="str">
        <x:v>Conservar frames previos y reconstruir el fundamento de cada consejo en su corte</x:v>
      </x:c>
      <x:c r="D13" s="4" t="str">
        <x:v>No reescribir el pasado para hacerlo parecer conforme a conocimiento posterior</x:v>
      </x:c>
      <x:c r="E13" s="4" t="str">
        <x:v>S018 §5.1; S017 §6.4</x:v>
      </x:c>
      <x:c r="F13" s="4" t="str">
        <x:v>Trayectoria por adición; reconstrucción de J</x:v>
      </x:c>
    </x:row>
    <x:row r="14" ht="47" customHeight="1">
      <x:c r="A14" s="4" t="str">
        <x:v>CFM-10</x:v>
      </x:c>
      <x:c r="B14" s="4" t="str">
        <x:v>U, fallo y desconocimiento</x:v>
      </x:c>
      <x:c r="C14" s="4" t="str">
        <x:v>Distinguir incertidumbre semántica, omisión constitutiva y fallo técnico</x:v>
      </x:c>
      <x:c r="D14" s="4" t="str">
        <x:v>No rellenar células, declarar certeza por plausibilidad ni convertir fallo técnico en Tri.U</x:v>
      </x:c>
      <x:c r="E14" s="4" t="str">
        <x:v>S014 §§1.5,3,5</x:v>
      </x:c>
      <x:c r="F14" s="4" t="str">
        <x:v>La distinción se reflejará en el contrato de operación</x:v>
      </x:c>
    </x:row>
    <x:row r="15" ht="47" customHeight="1">
      <x:c r="A15" s="4" t="str">
        <x:v>CFM-11</x:v>
      </x:c>
      <x:c r="B15" s="4" t="str">
        <x:v>Rutas críticas</x:v>
      </x:c>
      <x:c r="C15" s="4" t="str">
        <x:v>Constituir dependencias según consecuencias y relación semántica antes de escoger operador</x:v>
      </x:c>
      <x:c r="D15" s="4" t="str">
        <x:v>No elegir rutas sólo por proximidad temática ni aplicar una ley universal a toda arista</x:v>
      </x:c>
      <x:c r="E15" s="4" t="str">
        <x:v>S007 §7; S017 §5.6; I005 §7.2</x:v>
      </x:c>
      <x:c r="F15" s="4" t="str">
        <x:v>28 y 34 preparan requisitos; G7 pendiente</x:v>
      </x:c>
    </x:row>
    <x:row r="16" ht="47" customHeight="1">
      <x:c r="A16" s="4" t="str">
        <x:v>CFM-12</x:v>
      </x:c>
      <x:c r="B16" s="4" t="str">
        <x:v>Células y posiciones</x:v>
      </x:c>
      <x:c r="C16" s="4" t="str">
        <x:v>Constituir células exactas con b≥3, n=b², orden e identidad posicional explícitos</x:v>
      </x:c>
      <x:c r="D16" s="4" t="str">
        <x:v>Sin redondeo, relleno, duplicación ni tamaños importados del antecedente inmunológico</x:v>
      </x:c>
      <x:c r="E16" s="4" t="str">
        <x:v>S014 §§1–4; mandato humano</x:v>
      </x:c>
      <x:c r="F16" s="4" t="str">
        <x:v>Ningún tamaño ni número de células CYB decidido</x:v>
      </x:c>
    </x:row>
  </x:sheetData>
  <x:mergeCells>
    <x:mergeCell ref="A1:D1"/>
    <x:mergeCell ref="A2:F2"/>
  </x:mergeCells>
  <x:pageMargins left="0.7" right="0.7" top="0.75" bottom="0.75" header="0.3" footer="0.3"/>
  <x:tableParts count="1">
    <x:tablePart xmlns:r="http://schemas.openxmlformats.org/officeDocument/2006/relationships" r:id="Rc659ffea91f24ad7"/>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2" hidden="0" customWidth="1"/>
    <x:col min="2" max="2" width="33" hidden="0" customWidth="1"/>
    <x:col min="3" max="3" width="87" hidden="0" customWidth="1"/>
    <x:col min="4" max="4" width="80" hidden="0" customWidth="1"/>
    <x:col min="5" max="5" width="31" hidden="0" customWidth="1"/>
    <x:col min="6" max="6" width="40" hidden="0" customWidth="1"/>
  </x:cols>
  <x:sheetData>
    <x:row r="1" ht="35" customHeight="1">
      <x:c r="A1" s="6" t="str">
        <x:v>PRIMER PARÁMETRO · lagunas resueltas y selección</x:v>
      </x:c>
      <x:c r="B1" s="6"/>
      <x:c r="C1" s="6"/>
      <x:c r="D1" s="6"/>
      <x:c r="E1" s="6"/>
      <x:c r="F1" s="6"/>
    </x:row>
    <x:row r="2" ht="52" customHeight="1">
      <x:c r="A2" s="8" t="str">
        <x:v>v0.4 · comparación cualitativa, sin puntuación inventada. El alcance y el dictamen completo están en el expediente OP-CYB-001.</x:v>
      </x:c>
      <x:c r="B2" s="8"/>
      <x:c r="C2" s="8"/>
      <x:c r="D2" s="8"/>
      <x:c r="E2" s="8"/>
      <x:c r="F2" s="8"/>
    </x:row>
    <x:row r="3">
      <x:c r="A3" s="4"/>
      <x:c r="B3" s="4"/>
      <x:c r="C3" s="4"/>
      <x:c r="D3" s="4"/>
      <x:c r="E3" s="4"/>
      <x:c r="F3" s="4"/>
    </x:row>
    <x:row r="4" ht="42" customHeight="1">
      <x:c r="A4" s="10" t="str">
        <x:v>ID</x:v>
      </x:c>
      <x:c r="B4" s="10" t="str">
        <x:v>Cuestión</x:v>
      </x:c>
      <x:c r="C4" s="10" t="str">
        <x:v>Decisión fundada</x:v>
      </x:c>
      <x:c r="D4" s="10" t="str">
        <x:v>Límite que se conserva</x:v>
      </x:c>
      <x:c r="E4" s="10" t="str">
        <x:v>Estado</x:v>
      </x:c>
      <x:c r="F4" s="10" t="str">
        <x:v>Evidencia</x:v>
      </x:c>
    </x:row>
    <x:row r="5" ht="47" customHeight="1">
      <x:c r="A5" s="4" t="str">
        <x:v>LG-01</x:v>
      </x:c>
      <x:c r="B5" s="4" t="str">
        <x:v>Mandato actual</x:v>
      </x:c>
      <x:c r="C5" s="4" t="str">
        <x:v>El Director revisa los ingredientes de v0.3 y ordena buscar el primer parámetro; se ejecuta el trabajo documental necesario.</x:v>
      </x:c>
      <x:c r="D5" s="4" t="str">
        <x:v>No se atribuye aprobación nominal del parámetro que todavía no había visto.</x:v>
      </x:c>
      <x:c r="E5" s="4" t="str">
        <x:v>RESUELTA PARA TRABAJO</x:v>
      </x:c>
      <x:c r="F5" s="4" t="str">
        <x:v>Chat actual; I005 §§7–8</x:v>
      </x:c>
    </x:row>
    <x:row r="6" ht="47" customHeight="1">
      <x:c r="A6" s="4" t="str">
        <x:v>LG-02</x:v>
      </x:c>
      <x:c r="B6" s="4" t="str">
        <x:v>Perímetro de trabajo</x:v>
      </x:c>
      <x:c r="C6" s="4" t="str">
        <x:v>España/URJC 2026–27 y complementos de v0.3 sirven de corte de trabajo. Se seleccionan conocimientos pertinentes a la operación.</x:v>
      </x:c>
      <x:c r="D6" s="4" t="str">
        <x:v>No equivale a cerrar todo el dominio ni a admitir todas las cláusulas de cada fuente.</x:v>
      </x:c>
      <x:c r="E6" s="4" t="str">
        <x:v>RESUELTA EN ALCANCE</x:v>
      </x:c>
      <x:c r="F6" s="4" t="str">
        <x:v>15, 17, 37; v0.3</x:v>
      </x:c>
    </x:row>
    <x:row r="7" ht="60" customHeight="1">
      <x:c r="A7" s="4" t="str">
        <x:v>LG-03</x:v>
      </x:c>
      <x:c r="B7" s="4" t="str">
        <x:v>CYO-07: triaje de alerta</x:v>
      </x:c>
      <x:c r="C7" s="4" t="str">
        <x:v>La omisión de cobertura puede convertir falta de registros en falsa ausencia de actividad. Requiere fijar hipótesis, fuente, intervalo y política de triaje.</x:v>
      </x:c>
      <x:c r="D7" s="4" t="str">
        <x:v>Se conserva como candidata; no se declara inferior ni ajena al dominio.</x:v>
      </x:c>
      <x:c r="E7" s="4" t="str">
        <x:v>COMPARADA</x:v>
      </x:c>
      <x:c r="F7" s="4" t="str">
        <x:v>34 CE-OM-01; F019</x:v>
      </x:c>
    </x:row>
    <x:row r="8" ht="47" customHeight="1">
      <x:c r="A8" s="4" t="str">
        <x:v>LG-04</x:v>
      </x:c>
      <x:c r="B8" s="4" t="str">
        <x:v>CYO-14: cambio OT</x:v>
      </x:c>
      <x:c r="C8" s="4" t="str">
        <x:v>La intervención técnica puede afectar al proceso físico. Exige reglas del proceso, equipamiento y autoridad de seguridad física aún no constituidas.</x:v>
      </x:c>
      <x:c r="D8" s="4" t="str">
        <x:v>Una regla IT de reinicio no se traslada a OT.</x:v>
      </x:c>
      <x:c r="E8" s="4" t="str">
        <x:v>COMPARADA</x:v>
      </x:c>
      <x:c r="F8" s="4" t="str">
        <x:v>34 CE-OM-02; F020 §2.3</x:v>
      </x:c>
    </x:row>
    <x:row r="9" ht="47" customHeight="1">
      <x:c r="A9" s="4" t="str">
        <x:v>LG-05</x:v>
      </x:c>
      <x:c r="B9" s="4" t="str">
        <x:v>CYO-23: validez de un sistema IA</x:v>
      </x:c>
      <x:c r="C9" s="4" t="str">
        <x:v>La métrica agregada puede ocultar errores en el uso previsto. Hace falta fijar el uso, población y oráculo de evaluación.</x:v>
      </x:c>
      <x:c r="D9" s="4" t="str">
        <x:v>La disponibilidad de bibliografía IA no fija prioridad.</x:v>
      </x:c>
      <x:c r="E9" s="4" t="str">
        <x:v>COMPARADA</x:v>
      </x:c>
      <x:c r="F9" s="4" t="str">
        <x:v>34 CE-OM-04; F024</x:v>
      </x:c>
    </x:row>
    <x:row r="10" ht="60" customHeight="1">
      <x:c r="A10" s="4" t="str">
        <x:v>LG-06</x:v>
      </x:c>
      <x:c r="B10" s="4" t="str">
        <x:v>CYO-26: tratamiento de vulnerabilidad</x:v>
      </x:c>
      <x:c r="C10" s="4" t="str">
        <x:v>Elegida para el recorrido documental: ofrece un error profesional verificable, exige conocimientos de sistemas, evidencia de efecto, riesgo y continuidad.</x:v>
      </x:c>
      <x:c r="D10" s="4" t="str">
        <x:v>Recorte OP-CYB-001: dictamen sobre evidencia de cierre de una corrección por actualización; no todo el tratamiento.</x:v>
      </x:c>
      <x:c r="E10" s="4" t="str">
        <x:v>SELECCIONADA PARA CONTRASTE</x:v>
      </x:c>
      <x:c r="F10" s="4" t="str">
        <x:v>37; T001 §§2.2–2.3; R025/R035</x:v>
      </x:c>
    </x:row>
    <x:row r="11" ht="47" customHeight="1">
      <x:c r="A11" s="4" t="str">
        <x:v>LG-07</x:v>
      </x:c>
      <x:c r="B11" s="4" t="str">
        <x:v>Modelo de atomicidad</x:v>
      </x:c>
      <x:c r="C11" s="4" t="str">
        <x:v>Se aplican las diez pruebas del contrato IMM sólo como método y con vocabulario profesional CYB.</x:v>
      </x:c>
      <x:c r="D11" s="4" t="str">
        <x:v>No se trasladan cardinalidades, salidas, reglas clínicas ni el antiguo modelo de Frame.</x:v>
      </x:c>
      <x:c r="E11" s="4" t="str">
        <x:v>RESUELTA</x:v>
      </x:c>
      <x:c r="F11" s="4" t="str">
        <x:v>I005 §7.3; S013; AM-01</x:v>
      </x:c>
    </x:row>
    <x:row r="12" ht="47" customHeight="1">
      <x:c r="A12" s="4" t="str">
        <x:v>LG-08</x:v>
      </x:c>
      <x:c r="B12" s="4" t="str">
        <x:v>Exigencia histórica / deuda actual</x:v>
      </x:c>
      <x:c r="C12" s="4" t="str">
        <x:v>El átomo pregunta por el requisito que informó una instalación concreta al terminar. El reinicio posterior y la deuda actual son proposiciones distintas.</x:v>
      </x:c>
      <x:c r="D12" s="4" t="str">
        <x:v>Un reinicio posterior no cambia retrospectivamente ese valor histórico.</x:v>
      </x:c>
      <x:c r="E12" s="4" t="str">
        <x:v>CORREGIDA EN CONTRATO</x:v>
      </x:c>
      <x:c r="F12" s="4" t="str">
        <x:v>39; 42 AG-03</x:v>
      </x:c>
    </x:row>
    <x:row r="13" ht="47" customHeight="1">
      <x:c r="A13" s="4" t="str">
        <x:v>LG-09</x:v>
      </x:c>
      <x:c r="B13" s="4" t="str">
        <x:v>Consecuencia de omisión</x:v>
      </x:c>
      <x:c r="C13" s="4" t="str">
        <x:v>Se demuestra pérdida de una distinción documental en un testigo sintético y se conserva el mecanismo de perjuicio potencial.</x:v>
      </x:c>
      <x:c r="D13" s="4" t="str">
        <x:v>No se declara incidente, daño observado ni fallo del Lenguaje SV.</x:v>
      </x:c>
      <x:c r="E13" s="4" t="str">
        <x:v>RESUELTA EN ALCANCE</x:v>
      </x:c>
      <x:c r="F13" s="4" t="str">
        <x:v>40; 41; 42</x:v>
      </x:c>
    </x:row>
    <x:row r="14" ht="47" customHeight="1">
      <x:c r="A14" s="4" t="str">
        <x:v>LG-10</x:v>
      </x:c>
      <x:c r="B14" s="4" t="str">
        <x:v>Observación productiva</x:v>
      </x:c>
      <x:c r="C14" s="4" t="str">
        <x:v>Se dispone de semántica pública de un resultado individual WUA; se ensaya un perfil documental de ese resultado.</x:v>
      </x:c>
      <x:c r="D14" s="4" t="str">
        <x:v>No existe capturador WUA validado ni transducción productiva SV por este expediente.</x:v>
      </x:c>
      <x:c r="E14" s="4" t="str">
        <x:v>LIMITACIÓN ATRIBUIDA</x:v>
      </x:c>
      <x:c r="F14" s="4" t="str">
        <x:v>T002–T006; recepción RETP-105</x:v>
      </x:c>
    </x:row>
    <x:row r="15" ht="47" customHeight="1">
      <x:c r="A15" s="4" t="str">
        <x:v>LG-11</x:v>
      </x:c>
      <x:c r="B15" s="4" t="str">
        <x:v>Chats anteriores</x:v>
      </x:c>
      <x:c r="C15" s="4" t="str">
        <x:v>Se relee el debate visible y los antecedentes metodológicos locales. La recuperación adicional no aporta una elección previa de operación.</x:v>
      </x:c>
      <x:c r="D15" s="4" t="str">
        <x:v>No se afirman leídos chats completos que no se recibieron; el PDF de carpetas no es conversación completa.</x:v>
      </x:c>
      <x:c r="E15" s="4" t="str">
        <x:v>LÍMITE DE EVIDENCIA</x:v>
      </x:c>
      <x:c r="F15" s="4" t="str">
        <x:v>Chat visible; informe de doble lectura IMM</x:v>
      </x:c>
    </x:row>
    <x:row r="16" ht="47" customHeight="1">
      <x:c r="A16" s="4" t="str">
        <x:v>LG-12</x:v>
      </x:c>
      <x:c r="B16" s="4" t="str">
        <x:v>Preguntas al Director</x:v>
      </x:c>
      <x:c r="C16" s="4" t="str">
        <x:v>Ninguna incertidumbre de investigación impide formular y atacar este primer parámetro.</x:v>
      </x:c>
      <x:c r="D16" s="4" t="str">
        <x:v>La adopción soberana se distingue del dictamen de la unidad; no se crea una ronda de micropermisos.</x:v>
      </x:c>
      <x:c r="E16" s="4" t="str">
        <x:v>SIN PREGUNTA BLOQUEANTE</x:v>
      </x:c>
      <x:c r="F16" s="4" t="str">
        <x:v>Mandato humano actual; I005 §8</x:v>
      </x:c>
    </x:row>
  </x:sheetData>
  <x:mergeCells>
    <x:mergeCell ref="A1:D1"/>
    <x:mergeCell ref="A2:F2"/>
  </x:mergeCells>
  <x:pageMargins left="0.7" right="0.7" top="0.75" bottom="0.75" header="0.3" footer="0.3"/>
  <x:tableParts count="1">
    <x:tablePart xmlns:r="http://schemas.openxmlformats.org/officeDocument/2006/relationships" r:id="Rff4f3a8e2b7e4aca"/>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 min="3" max="3" width="105" hidden="0" customWidth="1"/>
  </x:cols>
  <x:sheetData>
    <x:row r="1" ht="35" customHeight="1">
      <x:c r="A1" s="6" t="str">
        <x:v>OP-CYB-001 · evidencia para cierre de una corrección</x:v>
      </x:c>
      <x:c r="B1" s="6"/>
      <x:c r="C1" s="6"/>
    </x:row>
    <x:row r="2" ht="52" customHeight="1">
      <x:c r="A2" s="8" t="str">
        <x:v>La operación evita confundir consejo de cierre, cierre administrativo y efecto técnico. CYO-26 conserva su identidad histórica más amplia.</x:v>
      </x:c>
      <x:c r="B2" s="8"/>
      <x:c r="C2" s="8"/>
    </x:row>
    <x:row r="3">
      <x:c r="A3" s="4"/>
      <x:c r="B3" s="4"/>
      <x:c r="C3" s="4"/>
    </x:row>
    <x:row r="4" ht="42" customHeight="1">
      <x:c r="A4" s="10" t="str">
        <x:v>Componente</x:v>
      </x:c>
      <x:c r="B4" s="10" t="str">
        <x:v>Contrato del recorte</x:v>
      </x:c>
      <x:c r="C4" s="10" t="str">
        <x:v>Frontera / fundamento</x:v>
      </x:c>
    </x:row>
    <x:row r="5" ht="47" customHeight="1">
      <x:c r="A5" s="4" t="str">
        <x:v>Identidad</x:v>
      </x:c>
      <x:c r="B5" s="4" t="str">
        <x:v>OP-CYB-001 / Q0 v0.1</x:v>
      </x:c>
      <x:c r="C5" s="4" t="str">
        <x:v>Recorte constitutivo propuesto de CYO-26; primera operación de trabajo seleccionada por Watson en ejecución del mandato.</x:v>
      </x:c>
    </x:row>
    <x:row r="6" ht="47" customHeight="1">
      <x:c r="A6" s="4" t="str">
        <x:v>Producto terminal</x:v>
      </x:c>
      <x:c r="B6" s="4" t="str">
        <x:v>Dictamen de suficiencia de la evidencia para cerrar la corrección de una vulnerabilidad mediante una actualización en un activo IT.</x:v>
      </x:c>
      <x:c r="C6" s="4" t="str">
        <x:v>Incluye qué está acreditado, qué falta y qué condiciones debe considerar el experto. El sistema no cierra el ticket ni modifica el activo.</x:v>
      </x:c>
    </x:row>
    <x:row r="7" ht="47" customHeight="1">
      <x:c r="A7" s="4" t="str">
        <x:v>Objeto</x:v>
      </x:c>
      <x:c r="B7" s="4" t="str">
        <x:v>Un activo IT identificado, una vulnerabilidad identificada, una actualización y un episodio de aplicación, en un corte documental.</x:v>
      </x:c>
      <x:c r="C7" s="4" t="str">
        <x:v>No se generaliza a una flota desde un activo ni de un CVE a otro.</x:v>
      </x:c>
    </x:row>
    <x:row r="8" ht="47" customHeight="1">
      <x:c r="A8" s="4" t="str">
        <x:v>Disparador</x:v>
      </x:c>
      <x:c r="B8" s="4" t="str">
        <x:v>Solicitud profesional de evaluar el cierre de una corrección por actualización, tras comunicar el sistema gestor un resultado de aplicación.</x:v>
      </x:c>
      <x:c r="C8" s="4" t="str">
        <x:v>Una publicación CVE, un número CVSS o una alerta no abren por sí solos esta operación.</x:v>
      </x:c>
    </x:row>
    <x:row r="9" ht="47" customHeight="1">
      <x:c r="A9" s="4" t="str">
        <x:v>Autoridad</x:v>
      </x:c>
      <x:c r="B9" s="4" t="str">
        <x:v>Experto responsable del dictamen; responsable del activo/cambio decide cierre y actuaciones en su organización. Dirección gobierna constitución del dominio.</x:v>
      </x:c>
      <x:c r="C9" s="4" t="str">
        <x:v>La IA conserva función de consejo. El mandato documental no concede permisos sobre sistemas reales ni responsabilidad jurídica a la IA.</x:v>
      </x:c>
    </x:row>
    <x:row r="10" ht="47" customHeight="1">
      <x:c r="A10" s="4" t="str">
        <x:v>Frontera</x:v>
      </x:c>
      <x:c r="B10" s="4" t="str">
        <x:v>Activo IT administrado; actualización identificada; evaluación de evidencia y condiciones de cierre.</x:v>
      </x:c>
      <x:c r="C10" s="4" t="str">
        <x:v>OT, respuesta a incidente, elegir qué vulnerabilidad parchear, ordenar un reinicio, despliegue y restauración son otros usos/operaciones.</x:v>
      </x:c>
    </x:row>
    <x:row r="11" ht="47" customHeight="1">
      <x:c r="A11" s="4" t="str">
        <x:v>Finalización</x:v>
      </x:c>
      <x:c r="B11" s="4" t="str">
        <x:v>Informe trazado al experto con evidencia suficiente en alcance declarado, evidencia insuficiente o exclusión fundada.</x:v>
      </x:c>
      <x:c r="C11" s="4" t="str">
        <x:v>La emisión de un informe insuficiente termina la consulta; no acredita cierre seguro. Fallo técnico queda fuera de estas conclusiones profesionales.</x:v>
      </x:c>
    </x:row>
    <x:row r="12" ht="47" customHeight="1">
      <x:c r="A12" s="4" t="str">
        <x:v>Primer perfil observacional</x:v>
      </x:c>
      <x:c r="B12" s="4" t="str">
        <x:v>WUA-INDIVIDUAL-INSTALACION-0.1: resultado individual de instalación comunicado como orcSucceeded.</x:v>
      </x:c>
      <x:c r="C12" s="4" t="str">
        <x:v>No se usa el resultado agregado del lote, predicción del paquete ni registro de historial reconstruido como sustituto.</x:v>
      </x:c>
    </x:row>
    <x:row r="13" ht="47" customHeight="1">
      <x:c r="A13" s="4" t="str">
        <x:v>Base educativa</x:v>
      </x:c>
      <x:c r="B13" s="4" t="str">
        <x:v>URJC-25 Sistemas Operativos: servicios, estados de procesos, memoria y ficheros; URJC-35 Gestión del Ciberriesgo: impacto, mitigación y sesgos.</x:v>
      </x:c>
      <x:c r="C13" s="4" t="str">
        <x:v>R025 IV temas 2/4/5/6; R035 IV unidades 6/9/11. R033 IV continuidad contextualiza dependencias del servicio.</x:v>
      </x:c>
    </x:row>
    <x:row r="14" ht="47" customHeight="1">
      <x:c r="A14" s="4" t="str">
        <x:v>Aprendizaje que se utiliza</x:v>
      </x:c>
      <x:c r="B14" s="4" t="str">
        <x:v>Relacionar estado del instalador, requisito de completar la instalación y prueba de efecto; después relacionar condiciones de actuación con servicio y coste.</x:v>
      </x:c>
      <x:c r="C14" s="4" t="str">
        <x:v>Las guías educativas explican qué conocimientos se forman; T001–T006 sostienen la distinción profesional y técnica.</x:v>
      </x:c>
    </x:row>
    <x:row r="15" ht="47" customHeight="1">
      <x:c r="A15" s="4" t="str">
        <x:v>Internacionalidad</x:v>
      </x:c>
      <x:c r="B15" s="4" t="str">
        <x:v>Se conserva el catálogo internacional de v0.3. El perfil Windows es un contrato de observación específico, no un currículo rector de fabricante.</x:v>
      </x:c>
      <x:c r="C15" s="4" t="str">
        <x:v>No se inventa un complemento extranjero para cada átomo ni se declara portabilidad a Linux, contenedores u OT.</x:v>
      </x:c>
    </x:row>
    <x:row r="16" ht="47" customHeight="1">
      <x:c r="A16" s="4" t="str">
        <x:v>Horizonte</x:v>
      </x:c>
      <x:c r="B16" s="4" t="str">
        <x:v>Resultado individual al finalizar aquella operación de instalación; corte de consulta que lo cita de forma histórica.</x:v>
      </x:c>
      <x:c r="C16" s="4" t="str">
        <x:v>Toda consulta posterior conserva la identidad del resultado; eventos posteriores se enlazan sin reescribirlo.</x:v>
      </x:c>
    </x:row>
    <x:row r="17" ht="47" customHeight="1">
      <x:c r="A17" s="4" t="str">
        <x:v>Coste y alcance</x:v>
      </x:c>
      <x:c r="B17" s="4" t="str">
        <x:v>Para proponer una actuación posterior se necesitan servicio, dependencias, alternativas y coste total proporcionado al valor protegido.</x:v>
      </x:c>
      <x:c r="C17" s="4" t="str">
        <x:v>No se asignan importes, criticidad automática ni permiso de interrupción a partir de este único estado.</x:v>
      </x:c>
    </x:row>
    <x:row r="18" ht="47" customHeight="1">
      <x:c r="A18" s="4" t="str">
        <x:v>Qué queda constituido documentalmente</x:v>
      </x:c>
      <x:c r="B18" s="4" t="str">
        <x:v>G0/G1 y Q0 de trabajo; G2/G3/G4 de una distinción; dictamen G5 favorable de un parámetro.</x:v>
      </x:c>
      <x:c r="C18" s="4" t="str">
        <x:v>No equivale a universo terminado, agente apto, adopción soberana nominal, matriz, ruta ni Frame.</x:v>
      </x:c>
    </x:row>
  </x:sheetData>
  <x:mergeCells>
    <x:mergeCell ref="A1:C1"/>
    <x:mergeCell ref="A2:C2"/>
  </x:mergeCells>
  <x:pageMargins left="0.7" right="0.7" top="0.75" bottom="0.75" header="0.3" footer="0.3"/>
  <x:tableParts count="1">
    <x:tablePart xmlns:r="http://schemas.openxmlformats.org/officeDocument/2006/relationships" r:id="R68295acaeae3462c"/>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79" hidden="0" customWidth="1"/>
    <x:col min="4" max="4" width="100" hidden="0" customWidth="1"/>
    <x:col min="5" max="5" width="14" hidden="0" customWidth="1"/>
    <x:col min="6" max="6" width="16" hidden="0" customWidth="1"/>
    <x:col min="7" max="7" width="15" hidden="0" customWidth="1"/>
    <x:col min="8" max="8" width="23" hidden="0" customWidth="1"/>
    <x:col min="9" max="9" width="37" hidden="0" customWidth="1"/>
    <x:col min="10" max="10" width="77" hidden="0" customWidth="1"/>
  </x:cols>
  <x:sheetData>
    <x:row r="1" ht="35" customHeight="1">
      <x:c r="A1" s="6" t="str">
        <x:v>Q0 v0.1 · preguntas finitas del recorte</x:v>
      </x:c>
      <x:c r="B1" s="6"/>
      <x:c r="C1" s="6"/>
      <x:c r="D1" s="6"/>
      <x:c r="E1" s="6"/>
      <x:c r="F1" s="6"/>
      <x:c r="G1" s="6"/>
      <x:c r="H1" s="6"/>
      <x:c r="I1" s="6"/>
      <x:c r="J1" s="6"/>
    </x:row>
    <x:row r="2" ht="52" customHeight="1">
      <x:c r="A2" s="8" t="str">
        <x:v>Las raíces son preguntas de trabajo, no células ni parámetros. La cardinalidad resulta de esta descomposición semántica y no gobierna geometría SV.</x:v>
      </x:c>
      <x:c r="B2" s="8"/>
      <x:c r="C2" s="8"/>
      <x:c r="D2" s="8"/>
      <x:c r="E2" s="8"/>
      <x:c r="F2" s="8"/>
      <x:c r="G2" s="8"/>
      <x:c r="H2" s="8"/>
      <x:c r="I2" s="8"/>
      <x:c r="J2" s="8"/>
    </x:row>
    <x:row r="3">
      <x:c r="A3" s="4"/>
      <x:c r="B3" s="4"/>
      <x:c r="C3" s="4"/>
      <x:c r="D3" s="4"/>
      <x:c r="E3" s="4"/>
      <x:c r="F3" s="4"/>
      <x:c r="G3" s="4"/>
      <x:c r="H3" s="4"/>
      <x:c r="I3" s="4"/>
      <x:c r="J3" s="4"/>
    </x:row>
    <x:row r="4" ht="42" customHeight="1">
      <x:c r="A4" s="10" t="str">
        <x:v>Raíz</x:v>
      </x:c>
      <x:c r="B4" s="10" t="str">
        <x:v>Familia de pregunta</x:v>
      </x:c>
      <x:c r="C4" s="10" t="str">
        <x:v>Pregunta</x:v>
      </x:c>
      <x:c r="D4" s="10" t="str">
        <x:v>Distinciones declaradas antes de G5</x:v>
      </x:c>
      <x:c r="E4" s="10" t="str">
        <x:v>D declaradas</x:v>
      </x:c>
      <x:c r="F4" s="10" t="str">
        <x:v>D dictaminadas</x:v>
      </x:c>
      <x:c r="G4" s="10" t="str">
        <x:v>D pendientes</x:v>
      </x:c>
      <x:c r="H4" s="10" t="str">
        <x:v>Estado</x:v>
      </x:c>
      <x:c r="I4" s="10" t="str">
        <x:v>Fuente</x:v>
      </x:c>
      <x:c r="J4" s="10" t="str">
        <x:v>Consecuencia del pendiente</x:v>
      </x:c>
    </x:row>
    <x:row r="5" ht="47" customHeight="1">
      <x:c r="A5" s="4" t="str">
        <x:v>QCY-01</x:v>
      </x:c>
      <x:c r="B5" s="4" t="str">
        <x:v>Aplicabilidad del hallazgo</x:v>
      </x:c>
      <x:c r="C5" s="4" t="str">
        <x:v>¿La vulnerabilidad y la actualización corresponden al componente/configuración del activo examinado?</x:v>
      </x:c>
      <x:c r="D5" s="4" t="str">
        <x:v>QCY-01-D1: activo; QCY-01-D2: componente/configuración; QCY-01-D3: vulnerabilidad; QCY-01-D4: actualización aplicable</x:v>
      </x:c>
      <x:c r="E5" s="13" t="n">
        <x:v>4</x:v>
      </x:c>
      <x:c r="F5" s="13" t="n">
        <x:v>0</x:v>
      </x:c>
      <x:c r="G5" s="17" t="n">
        <x:f>E5-F5</x:f>
        <x:v>4</x:v>
      </x:c>
      <x:c r="H5" s="4" t="str">
        <x:v>PENDIENTE</x:v>
      </x:c>
      <x:c r="I5" s="4" t="str">
        <x:v>R025; T001 §2.2</x:v>
      </x:c>
      <x:c r="J5" s="4" t="str">
        <x:v>Sin vínculo no se acredita corrección del hallazgo.</x:v>
      </x:c>
    </x:row>
    <x:row r="6" ht="47" customHeight="1">
      <x:c r="A6" s="4" t="str">
        <x:v>QCY-02</x:v>
      </x:c>
      <x:c r="B6" s="4" t="str">
        <x:v>Identidad y procedencia</x:v>
      </x:c>
      <x:c r="C6" s="4" t="str">
        <x:v>¿Los resultados, artefactos y capturas pertenecen a ese episodio y tienen procedencia admisible?</x:v>
      </x:c>
      <x:c r="D6" s="4" t="str">
        <x:v>QCY-02-D1: identidad del episodio; QCY-02-D2: integridad; QCY-02-D3: procedencia/admisión</x:v>
      </x:c>
      <x:c r="E6" s="13" t="n">
        <x:v>3</x:v>
      </x:c>
      <x:c r="F6" s="13" t="n">
        <x:v>0</x:v>
      </x:c>
      <x:c r="G6" s="17" t="n">
        <x:f>E6-F6</x:f>
        <x:v>3</x:v>
      </x:c>
      <x:c r="H6" s="4" t="str">
        <x:v>PENDIENTE</x:v>
      </x:c>
      <x:c r="I6" s="4" t="str">
        <x:v>I005 §§5.3/5.5; T001 §2.3.1</x:v>
      </x:c>
      <x:c r="J6" s="4" t="str">
        <x:v>Una huella por sí sola no acredita verdad ni aplicabilidad.</x:v>
      </x:c>
    </x:row>
    <x:row r="7" ht="47" customHeight="1">
      <x:c r="A7" s="4" t="str">
        <x:v>QCY-03</x:v>
      </x:c>
      <x:c r="B7" s="4" t="str">
        <x:v>Resultado de instalación</x:v>
      </x:c>
      <x:c r="C7" s="4" t="str">
        <x:v>¿Qué resultado individual comunicó la instalación?</x:v>
      </x:c>
      <x:c r="D7" s="4" t="str">
        <x:v>QCY-03-D1: operación individual; QCY-03-D2: estado final comunicado; QCY-03-D3: errores asociados</x:v>
      </x:c>
      <x:c r="E7" s="13" t="n">
        <x:v>3</x:v>
      </x:c>
      <x:c r="F7" s="13" t="n">
        <x:v>0</x:v>
      </x:c>
      <x:c r="G7" s="17" t="n">
        <x:f>E7-F7</x:f>
        <x:v>3</x:v>
      </x:c>
      <x:c r="H7" s="4" t="str">
        <x:v>PENDIENTE</x:v>
      </x:c>
      <x:c r="I7" s="4" t="str">
        <x:v>T004–T006</x:v>
      </x:c>
      <x:c r="J7" s="4" t="str">
        <x:v>El éxito comunicado no implica efecto ni ausencia de requisitos posteriores.</x:v>
      </x:c>
    </x:row>
    <x:row r="8" ht="47" customHeight="1">
      <x:c r="A8" s="4" t="str">
        <x:v>QCY-04</x:v>
      </x:c>
      <x:c r="B8" s="4" t="str">
        <x:v>Condiciones de completitud</x:v>
      </x:c>
      <x:c r="C8" s="4" t="str">
        <x:v>¿Qué cambios de estado o configuración requiere completar la instalación y cuáles se han realizado?</x:v>
      </x:c>
      <x:c r="D8" s="4" t="str">
        <x:v>QCY-04-D1: requisito de reinicio del sistema; QCY-04-D2: reinicio posterior realizado; QCY-04-D3: otros cambios requeridos; QCY-04-D4: otros cambios realizados</x:v>
      </x:c>
      <x:c r="E8" s="13" t="n">
        <x:v>4</x:v>
      </x:c>
      <x:c r="F8" s="13" t="n">
        <x:v>1</x:v>
      </x:c>
      <x:c r="G8" s="17" t="n">
        <x:f>E8-F8</x:f>
        <x:v>3</x:v>
      </x:c>
      <x:c r="H8" s="4" t="str">
        <x:v>PARCIAL</x:v>
      </x:c>
      <x:c r="I8" s="4" t="str">
        <x:v>T001 §2.3.2; T002–T003</x:v>
      </x:c>
      <x:c r="J8" s="4" t="str">
        <x:v>D1 recibe dictamen G5. D2–D4 siguen pendientes y bloquean un cierre que dependa de ellas.</x:v>
      </x:c>
    </x:row>
    <x:row r="9" ht="47" customHeight="1">
      <x:c r="A9" s="4" t="str">
        <x:v>QCY-05</x:v>
      </x:c>
      <x:c r="B9" s="4" t="str">
        <x:v>Efecto de la corrección</x:v>
      </x:c>
      <x:c r="C9" s="4" t="str">
        <x:v>¿La comprobación pertinente acredita el estado corregido del componente realmente activo?</x:v>
      </x:c>
      <x:c r="D9" s="4" t="str">
        <x:v>QCY-05-D1: criterio de comprobación; QCY-05-D2: estado activo; QCY-05-D3: resultado de comprobación</x:v>
      </x:c>
      <x:c r="E9" s="13" t="n">
        <x:v>3</x:v>
      </x:c>
      <x:c r="F9" s="13" t="n">
        <x:v>0</x:v>
      </x:c>
      <x:c r="G9" s="17" t="n">
        <x:f>E9-F9</x:f>
        <x:v>3</x:v>
      </x:c>
      <x:c r="H9" s="4" t="str">
        <x:v>PENDIENTE</x:v>
      </x:c>
      <x:c r="I9" s="4" t="str">
        <x:v>T001 §2.3.3; R025</x:v>
      </x:c>
      <x:c r="J9" s="4" t="str">
        <x:v>Reinicio efectuado no es prueba suficiente de efecto.</x:v>
      </x:c>
    </x:row>
    <x:row r="10" ht="47" customHeight="1">
      <x:c r="A10" s="4" t="str">
        <x:v>QCY-06</x:v>
      </x:c>
      <x:c r="B10" s="4" t="str">
        <x:v>Consecuencias de completar</x:v>
      </x:c>
      <x:c r="C10" s="4" t="str">
        <x:v>¿Qué funciones y dependencias se afectarían por los cambios todavía necesarios?</x:v>
      </x:c>
      <x:c r="D10" s="4" t="str">
        <x:v>QCY-06-D1: servicio afectado; QCY-06-D2: dependencias; QCY-06-D3: impacto de interrupción</x:v>
      </x:c>
      <x:c r="E10" s="13" t="n">
        <x:v>3</x:v>
      </x:c>
      <x:c r="F10" s="13" t="n">
        <x:v>0</x:v>
      </x:c>
      <x:c r="G10" s="17" t="n">
        <x:f>E10-F10</x:f>
        <x:v>3</x:v>
      </x:c>
      <x:c r="H10" s="4" t="str">
        <x:v>PENDIENTE</x:v>
      </x:c>
      <x:c r="I10" s="4" t="str">
        <x:v>R033/R035; T001 §3.2</x:v>
      </x:c>
      <x:c r="J10" s="4" t="str">
        <x:v>No se recomienda reinicio automático ni se supone que toda interrupción cause daño.</x:v>
      </x:c>
    </x:row>
    <x:row r="11" ht="47" customHeight="1">
      <x:c r="A11" s="4" t="str">
        <x:v>QCY-07</x:v>
      </x:c>
      <x:c r="B11" s="4" t="str">
        <x:v>Condiciones de actuación</x:v>
      </x:c>
      <x:c r="C11" s="4" t="str">
        <x:v>¿Hay alternativa, ventana y autoridad para completar lo pendiente con coste proporcionado?</x:v>
      </x:c>
      <x:c r="D11" s="4" t="str">
        <x:v>QCY-07-D1: alternativas; QCY-07-D2: ventana; QCY-07-D3: autoridad concreta; QCY-07-D4: balance de coste/valor</x:v>
      </x:c>
      <x:c r="E11" s="13" t="n">
        <x:v>4</x:v>
      </x:c>
      <x:c r="F11" s="13" t="n">
        <x:v>0</x:v>
      </x:c>
      <x:c r="G11" s="17" t="n">
        <x:f>E11-F11</x:f>
        <x:v>4</x:v>
      </x:c>
      <x:c r="H11" s="4" t="str">
        <x:v>PENDIENTE</x:v>
      </x:c>
      <x:c r="I11" s="4" t="str">
        <x:v>R035; mandato humano; T001 §3.2</x:v>
      </x:c>
      <x:c r="J11" s="4" t="str">
        <x:v>Estas condiciones no cambian la verdad histórica del requisito.</x:v>
      </x:c>
    </x:row>
    <x:row r="12" ht="47" customHeight="1">
      <x:c r="A12" s="4" t="str">
        <x:v>QCY-08</x:v>
      </x:c>
      <x:c r="B12" s="4" t="str">
        <x:v>Vigencia hasta el corte</x:v>
      </x:c>
      <x:c r="C12" s="4" t="str">
        <x:v>¿Hay eventos posteriores que alteran el estado corregido o la aplicabilidad de la evidencia?</x:v>
      </x:c>
      <x:c r="D12" s="4" t="str">
        <x:v>QCY-08-D1: retirada/reversión; QCY-08-D2: cambio de componente; QCY-08-D3: restauración de estado previo</x:v>
      </x:c>
      <x:c r="E12" s="13" t="n">
        <x:v>3</x:v>
      </x:c>
      <x:c r="F12" s="13" t="n">
        <x:v>0</x:v>
      </x:c>
      <x:c r="G12" s="17" t="n">
        <x:f>E12-F12</x:f>
        <x:v>3</x:v>
      </x:c>
      <x:c r="H12" s="4" t="str">
        <x:v>PENDIENTE</x:v>
      </x:c>
      <x:c r="I12" s="4" t="str">
        <x:v>T001 §2.3.4; S018</x:v>
      </x:c>
      <x:c r="J12" s="4" t="str">
        <x:v>No hay caducidad temporal inventada; nuevo evento puede requerir nueva evaluación gobernada.</x:v>
      </x:c>
    </x:row>
    <x:row r="13" ht="47" customHeight="1">
      <x:c r="A13" s="4" t="str">
        <x:v>QCY-09</x:v>
      </x:c>
      <x:c r="B13" s="4" t="str">
        <x:v>Cierre y justificación</x:v>
      </x:c>
      <x:c r="C13" s="4" t="str">
        <x:v>¿Puede emitirse el dictamen con incertidumbres localizadas, enlaces necesarios y responsabilidad explícita?</x:v>
      </x:c>
      <x:c r="D13" s="4" t="str">
        <x:v>QCY-09-D1: cobertura de dependencias; QCY-09-D2: incertidumbres; QCY-09-D3: justificación; QCY-09-D4: destinatario responsable</x:v>
      </x:c>
      <x:c r="E13" s="13" t="n">
        <x:v>4</x:v>
      </x:c>
      <x:c r="F13" s="13" t="n">
        <x:v>0</x:v>
      </x:c>
      <x:c r="G13" s="17" t="n">
        <x:f>E13-F13</x:f>
        <x:v>4</x:v>
      </x:c>
      <x:c r="H13" s="4" t="str">
        <x:v>PENDIENTE</x:v>
      </x:c>
      <x:c r="I13" s="4" t="str">
        <x:v>I005 §8; S017–S019</x:v>
      </x:c>
      <x:c r="J13" s="4" t="str">
        <x:v>Mientras las dependencias permanezcan abiertas no se declara suficiencia de la operación.</x:v>
      </x:c>
    </x:row>
  </x:sheetData>
  <x:mergeCells>
    <x:mergeCell ref="A1:D1"/>
    <x:mergeCell ref="A2:F2"/>
  </x:mergeCells>
  <x:pageMargins left="0.7" right="0.7" top="0.75" bottom="0.75" header="0.3" footer="0.3"/>
  <x:tableParts count="1">
    <x:tablePart xmlns:r="http://schemas.openxmlformats.org/officeDocument/2006/relationships" r:id="Rb55067248d4a42de"/>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1" hidden="0" customWidth="1"/>
    <x:col min="2" max="2" width="106" hidden="0" customWidth="1"/>
    <x:col min="3" max="3" width="107" hidden="0" customWidth="1"/>
  </x:cols>
  <x:sheetData>
    <x:row r="1" ht="35" customHeight="1">
      <x:c r="A1" s="6" t="str">
        <x:v>G3 + G5 · requisito de reinicio de una instalación</x:v>
      </x:c>
      <x:c r="B1" s="6"/>
      <x:c r="C1" s="6"/>
    </x:row>
    <x:row r="2" ht="52" customHeight="1">
      <x:c r="A2" s="8" t="str">
        <x:v>Dictamen de atomicidad en un perfil documental delimitado. La tabla conserva identidad, observable, uso y límites en el mismo objeto.</x:v>
      </x:c>
      <x:c r="B2" s="8"/>
      <x:c r="C2" s="8"/>
    </x:row>
    <x:row r="3">
      <x:c r="A3" s="4"/>
      <x:c r="B3" s="4"/>
      <x:c r="C3" s="4"/>
    </x:row>
    <x:row r="4" ht="42" customHeight="1">
      <x:c r="A4" s="10" t="str">
        <x:v>Elemento</x:v>
      </x:c>
      <x:c r="B4" s="10" t="str">
        <x:v>Contrato</x:v>
      </x:c>
      <x:c r="C4" s="10" t="str">
        <x:v>Justificación / límite</x:v>
      </x:c>
    </x:row>
    <x:row r="5" ht="47" customHeight="1">
      <x:c r="A5" s="4" t="str">
        <x:v>Identificador</x:v>
      </x:c>
      <x:c r="B5" s="4" t="str">
        <x:v>PAR-CYB-REINICIO-SISTEMA-REQUERIDO-001</x:v>
      </x:c>
      <x:c r="C5" s="4" t="str">
        <x:v>Identidad documental de la distinción; versión 0.1.</x:v>
      </x:c>
    </x:row>
    <x:row r="6" ht="47" customHeight="1">
      <x:c r="A6" s="4" t="str">
        <x:v>Estatuto G5</x:v>
      </x:c>
      <x:c r="B6" s="4" t="str">
        <x:v>PARAMETRO_ATOMICO — dictamen documental favorable de la unidad</x:v>
      </x:c>
      <x:c r="C6" s="4" t="str">
        <x:v>Propuesta concreta y revisable para adopción soberana. No se registra una aprobación nominal no emitida por el Director.</x:v>
      </x:c>
    </x:row>
    <x:row r="7" ht="47" customHeight="1">
      <x:c r="A7" s="4" t="str">
        <x:v>Proposición canónica</x:v>
      </x:c>
      <x:c r="B7" s="4" t="str">
        <x:v>Al terminar la operación individual de instalación identificada, era necesario reiniciar el sistema anfitrión para completar esa instalación.</x:v>
      </x:c>
      <x:c r="C7" s="4" t="str">
        <x:v>Sujeto: la instalación individual en un anfitrión. Predicado: requisito de reinicio del sistema. No incluye la eficacia del parche.</x:v>
      </x:c>
    </x:row>
    <x:row r="8" ht="47" customHeight="1">
      <x:c r="A8" s="4" t="str">
        <x:v>Raíz / distinción</x:v>
      </x:c>
      <x:c r="B8" s="4" t="str">
        <x:v>QCY-04 / QCY-04-D1</x:v>
      </x:c>
      <x:c r="C8" s="4" t="str">
        <x:v>El requisito, su cumplimiento y otras condiciones se separan antes de adjudicar.</x:v>
      </x:c>
    </x:row>
    <x:row r="9" ht="47" customHeight="1">
      <x:c r="A9" s="4" t="str">
        <x:v>Familia / subfamilia</x:v>
      </x:c>
      <x:c r="B9" s="4" t="str">
        <x:v>Completitud de instalación / requisito de reinicio del sistema</x:v>
      </x:c>
      <x:c r="C9" s="4" t="str">
        <x:v>Clasificación editorial; sin propietario matricial adjudicado.</x:v>
      </x:c>
    </x:row>
    <x:row r="10" ht="47" customHeight="1">
      <x:c r="A10" s="4" t="str">
        <x:v>Sujeto semántico</x:v>
      </x:c>
      <x:c r="B10" s="4" t="str">
        <x:v>Instalacion_ID + Activo_ID + Actualizacion_ID/version + operación INSTALAR</x:v>
      </x:c>
      <x:c r="C10" s="4" t="str">
        <x:v>Estos campos fijan el sujeto y son controles/identificadores; no son cuatro parámetros.</x:v>
      </x:c>
    </x:row>
    <x:row r="11" ht="47" customHeight="1">
      <x:c r="A11" s="4" t="str">
        <x:v>Horizonte</x:v>
      </x:c>
      <x:c r="B11" s="4" t="str">
        <x:v>Terminación del resultado individual de instalación</x:v>
      </x:c>
      <x:c r="C11" s="4" t="str">
        <x:v>Un evento posterior no cambia la proposición histórica. La deuda de reinicio actual sería otra proposición.</x:v>
      </x:c>
    </x:row>
    <x:row r="12" ht="47" customHeight="1">
      <x:c r="A12" s="4" t="str">
        <x:v>Perfil 0.1</x:v>
      </x:c>
      <x:c r="B12" s="4" t="str">
        <x:v>WUA-INDIVIDUAL-INSTALACION-0.1</x:v>
      </x:c>
      <x:c r="C12" s="4" t="str">
        <x:v>Único perfil admitido para esta especificación. Ampliarlo exige nueva revisión y decisión humana; no autodetección ni aprendizaje en uso.</x:v>
      </x:c>
    </x:row>
    <x:row r="13" ht="47" customHeight="1">
      <x:c r="A13" s="4" t="str">
        <x:v>Observable profesional</x:v>
      </x:c>
      <x:c r="B13" s="4" t="str">
        <x:v>IUpdateInstallationResult.RebootRequired del resultado individual identificado</x:v>
      </x:c>
      <x:c r="C13" s="4" t="str">
        <x:v>Booleano con semántica del fabricante. No equivale a existencia de un campo; su valor documenta un requisito técnico.</x:v>
      </x:c>
    </x:row>
    <x:row r="14" ht="47" customHeight="1">
      <x:c r="A14" s="4" t="str">
        <x:v>Otros observables de entrada</x:v>
      </x:c>
      <x:c r="B14" s="4" t="str">
        <x:v>ResultCode, tipo de operación y vinculación del índice de resultado a la actualización original</x:v>
      </x:c>
      <x:c r="C14" s="4" t="str">
        <x:v>GetUpdateResult devuelve el resultado de una actualización según su índice. El índice se conserva vinculado a la colección original.</x:v>
      </x:c>
    </x:row>
    <x:row r="15" ht="47" customHeight="1">
      <x:c r="A15" s="4" t="str">
        <x:v>Controles previos</x:v>
      </x:c>
      <x:c r="B15" s="4" t="str">
        <x:v>Perfil, procedencia admitida, identidad exacta, captura legible, ámbito individual, operación INSTALAR y resultado orcSucceeded</x:v>
      </x:c>
      <x:c r="C15" s="4" t="str">
        <x:v>La tabla de testigos supone premisas sintéticas explícitas; no valida autenticidad real ni implementa el capturador COM.</x:v>
      </x:c>
    </x:row>
    <x:row r="16" ht="47" customHeight="1">
      <x:c r="A16" s="4" t="str">
        <x:v>Transductor especificado</x:v>
      </x:c>
      <x:c r="B16" s="4" t="str">
        <x:v>I_CYB_REINICIO_WUA_0.1</x:v>
      </x:c>
      <x:c r="C16" s="4" t="str">
        <x:v>Después de controles: true → 1; false → 0; ausencia documental declarada o conflicto entre observaciones admisibles → U.</x:v>
      </x:c>
    </x:row>
    <x:row r="17" ht="47" customHeight="1">
      <x:c r="A17" s="4" t="str">
        <x:v>Estado 1</x:v>
      </x:c>
      <x:c r="B17" s="4" t="str">
        <x:v>El resultado individual exige reinicio del sistema para completar esa instalación</x:v>
      </x:c>
      <x:c r="C17" s="4" t="str">
        <x:v>No significa reinicie ahora, alto riesgo, reinicio pendiente actual ni parche eficaz.</x:v>
      </x:c>
    </x:row>
    <x:row r="18" ht="47" customHeight="1">
      <x:c r="A18" s="4" t="str">
        <x:v>Estado 0</x:v>
      </x:c>
      <x:c r="B18" s="4" t="str">
        <x:v>El resultado individual declara que no requiere ese reinicio del sistema para completar la instalación</x:v>
      </x:c>
      <x:c r="C18" s="4" t="str">
        <x:v>No significa no quedan otros cambios, ausencia de vulnerabilidad, autorización de cierre ni seguridad del sistema.</x:v>
      </x:c>
    </x:row>
    <x:row r="19" ht="47" customHeight="1">
      <x:c r="A19" s="4" t="str">
        <x:v>U propia</x:v>
      </x:c>
      <x:c r="B19" s="4" t="str">
        <x:v>U_DATO_AUSENTE o U_CONFLICTO_OBSERVACIONAL</x:v>
      </x:c>
      <x:c r="C19" s="4" t="str">
        <x:v>No borra otros resultados de la instalación; no se convierte en 0 por silencio ni en 1 por prudencia.</x:v>
      </x:c>
    </x:row>
    <x:row r="20" ht="47" customHeight="1">
      <x:c r="A20" s="4" t="str">
        <x:v>Exclusiones sin Tri</x:v>
      </x:c>
      <x:c r="B20" s="4" t="str">
        <x:v>NO_ADMISION; FUERA_PERFIL; FALLO_CAPTURA</x:v>
      </x:c>
      <x:c r="C20" s="4" t="str">
        <x:v>Distinguir desconocimiento válido, entrada no admisible, perfil fuera de alcance y ausencia de ejecución válida por fallo de captura. No amplían {0,1,U}.</x:v>
      </x:c>
    </x:row>
    <x:row r="21" ht="47" customHeight="1">
      <x:c r="A21" s="4" t="str">
        <x:v>Resultado fallido de instalación</x:v>
      </x:c>
      <x:c r="B21" s="4" t="str">
        <x:v>Se conserva como hecho del dominio en QCY-03 y queda fuera del perfil 0.1 de este átomo</x:v>
      </x:c>
      <x:c r="C21" s="4" t="str">
        <x:v>orcFailed/orcAborted no son un fallo técnico del Lenguaje. orcSucceededWithErrors tampoco se acepta silenciosamente como orcSucceeded.</x:v>
      </x:c>
    </x:row>
    <x:row r="22" ht="47" customHeight="1">
      <x:c r="A22" s="4" t="str">
        <x:v>No se acepta como sustituto</x:v>
      </x:c>
      <x:c r="B22" s="4" t="str">
        <x:v>Resultado de lote, ISystemInformation, historial sin correspondencia, InstallationRebootBehavior, uptime o nota libre</x:v>
      </x:c>
      <x:c r="C22" s="4" t="str">
        <x:v>La predicción condicional del paquete no determina qué ocurrió en esta instalación individual.</x:v>
      </x:c>
    </x:row>
    <x:row r="23" ht="47" customHeight="1">
      <x:c r="A23" s="4" t="str">
        <x:v>Tipo exacto del ensayo</x:v>
      </x:c>
      <x:c r="B23" s="4" t="str">
        <x:v>Lexema documental true/false; AUSENTE explícito; marcas de conflicto o fallo separadas</x:v>
      </x:c>
      <x:c r="C23" s="4" t="str">
        <x:v>La celda contiene texto del lexema original; no es llamada COM ni conversión implícita de 0, 1, -1 o cadenas al booleano.</x:v>
      </x:c>
    </x:row>
    <x:row r="24" ht="47" customHeight="1">
      <x:c r="A24" s="4" t="str">
        <x:v>Activación u(p,OP-CYB-001)</x:v>
      </x:c>
      <x:c r="B24" s="4" t="str">
        <x:v>Al evaluar evidencia de cierre que cita aquella instalación; la admisión valida el perfil individual</x:v>
      </x:c>
      <x:c r="C24" s="4" t="str">
        <x:v>La identidad paramétrica no contiene la orden de cerrar ni la autoridad sobre el activo.</x:v>
      </x:c>
    </x:row>
    <x:row r="25" ht="47" customHeight="1">
      <x:c r="A25" s="4" t="str">
        <x:v>Función profesional del uso</x:v>
      </x:c>
      <x:c r="B25" s="4" t="str">
        <x:v>Conservar si el análisis de completitud debe enlazar evidencia de satisfacción del requisito de reinicio</x:v>
      </x:c>
      <x:c r="C25" s="4" t="str">
        <x:v>La necesidad de enlazar esa evidencia no es una ruta SV implementada.</x:v>
      </x:c>
    </x:row>
    <x:row r="26" ht="47" customHeight="1">
      <x:c r="A26" s="4" t="str">
        <x:v>Consecuencias vinculadas</x:v>
      </x:c>
      <x:c r="B26" s="4" t="str">
        <x:v>CON-CYB-RBT-01 / -02 / -03 / -04</x:v>
      </x:c>
      <x:c r="C26" s="4" t="str">
        <x:v>Dos pérdidas epistemológicas y dos perjuicios operacionales potenciales condicionados.</x:v>
      </x:c>
    </x:row>
    <x:row r="27" ht="47" customHeight="1">
      <x:c r="A27" s="4" t="str">
        <x:v>Independencia</x:v>
      </x:c>
      <x:c r="B27" s="4" t="str">
        <x:v>Puede variar el requisito sin variar éxito comunicado, autorización de interrupción o impacto del servicio</x:v>
      </x:c>
      <x:c r="C27" s="4" t="str">
        <x:v>La realización posterior y el efecto no forman parte de este predicado; los pares de contraste los mantienen separados.</x:v>
      </x:c>
    </x:row>
    <x:row r="28" ht="47" customHeight="1">
      <x:c r="A28" s="4" t="str">
        <x:v>Ablación</x:v>
      </x:c>
      <x:c r="B28" s="4" t="str">
        <x:v>Quitar la distinción impide diferenciar dos obligaciones documentales de completitud</x:v>
      </x:c>
      <x:c r="C28" s="4" t="str">
        <x:v>La prueba usa una proyección semántica declarada sin canales laterales. No prueba pérdida del expediente completo SV.</x:v>
      </x:c>
    </x:row>
    <x:row r="29" ht="47" customHeight="1">
      <x:c r="A29" s="4" t="str">
        <x:v>Partición</x:v>
      </x:c>
      <x:c r="B29" s="4" t="str">
        <x:v>Requisito de reinicio y reinicio efectuado sí se separan; dividir el requisito en palabras/campos no produce otro predicado útil en este uso</x:v>
      </x:c>
      <x:c r="C29" s="4" t="str">
        <x:v>No se demuestra atomicidad universal de todos los usos futuros. Nueva refutación material requiere revisar esta identidad.</x:v>
      </x:c>
    </x:row>
    <x:row r="30" ht="47" customHeight="1">
      <x:c r="A30" s="4" t="str">
        <x:v>Propiedad / geometría</x:v>
      </x:c>
      <x:c r="B30" s="4" t="str">
        <x:v>PENDIENTE_G6; 0 células, 0 rutas, 0 Frames constituidos por este lote</x:v>
      </x:c>
      <x:c r="C30" s="4" t="str">
        <x:v>No se fabrica célula con un parámetro ni se rellenan ocho posiciones.</x:v>
      </x:c>
    </x:row>
    <x:row r="31" ht="47" customHeight="1">
      <x:c r="A31" s="4" t="str">
        <x:v>Explicación al experto</x:v>
      </x:c>
      <x:c r="B31" s="4" t="str">
        <x:v>Resultado y horizonte; observación aplicada; regla y fuente; incertidumbre; enlace a satisfacción/efecto; consecuencia y límite</x:v>
      </x:c>
      <x:c r="C31" s="4" t="str">
        <x:v>La traza de este ensayo es un registro documental. No se llama Frame a una tabla, prosa o JSON sin arquitectura SV constituida.</x:v>
      </x:c>
    </x:row>
    <x:row r="32" ht="47" customHeight="1">
      <x:c r="A32" s="4" t="str">
        <x:v>Representación recibida</x:v>
      </x:c>
      <x:c r="B32" s="4" t="str">
        <x:v>RETP-105 / 66967a80a40f4e2781ef983bd725690db54c25c5; corte técnico ab61d9bb7a2002d3a4a389e292c2a9b0a850d264</x:v>
      </x:c>
      <x:c r="C32" s="4" t="str">
        <x:v>La recepción no acredita observación productiva a Tri. Este lote no modifica el Lenguaje ni usa el compilador Python retirado.</x:v>
      </x:c>
    </x:row>
  </x:sheetData>
  <x:mergeCells>
    <x:mergeCell ref="A1:C1"/>
    <x:mergeCell ref="A2:C2"/>
  </x:mergeCells>
  <x:pageMargins left="0.7" right="0.7" top="0.75" bottom="0.75" header="0.3" footer="0.3"/>
  <x:tableParts count="1">
    <x:tablePart xmlns:r="http://schemas.openxmlformats.org/officeDocument/2006/relationships" r:id="R13811ce542474c86"/>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26" hidden="0" customWidth="1"/>
    <x:col min="2" max="2" width="29" hidden="0" customWidth="1"/>
    <x:col min="3" max="3" width="75" hidden="0" customWidth="1"/>
    <x:col min="4" max="4" width="65" hidden="0" customWidth="1"/>
    <x:col min="5" max="5" width="66" hidden="0" customWidth="1"/>
    <x:col min="6" max="6" width="76" hidden="0" customWidth="1"/>
    <x:col min="7" max="7" width="79" hidden="0" customWidth="1"/>
    <x:col min="8" max="8" width="49" hidden="0" customWidth="1"/>
  </x:cols>
  <x:sheetData>
    <x:row r="1" ht="35" customHeight="1">
      <x:c r="A1" s="6" t="str">
        <x:v>G4-CON · consecuencias de omitir conocimiento enlazado</x:v>
      </x:c>
      <x:c r="B1" s="6"/>
      <x:c r="C1" s="6"/>
      <x:c r="D1" s="6"/>
      <x:c r="E1" s="6"/>
      <x:c r="F1" s="6"/>
      <x:c r="G1" s="6"/>
      <x:c r="H1" s="6"/>
    </x:row>
    <x:row r="2" ht="52" customHeight="1">
      <x:c r="A2" s="8" t="str">
        <x:v>La evidencia y el mecanismo preceden al dictamen G5. Los perjuicios son potenciales y condicionados; ninguna fila es un incidente observado.</x:v>
      </x:c>
      <x:c r="B2" s="8"/>
      <x:c r="C2" s="8"/>
      <x:c r="D2" s="8"/>
      <x:c r="E2" s="8"/>
      <x:c r="F2" s="8"/>
      <x:c r="G2" s="8"/>
      <x:c r="H2" s="8"/>
    </x:row>
    <x:row r="3">
      <x:c r="A3" s="4"/>
      <x:c r="B3" s="4"/>
      <x:c r="C3" s="4"/>
      <x:c r="D3" s="4"/>
      <x:c r="E3" s="4"/>
      <x:c r="F3" s="4"/>
      <x:c r="G3" s="4"/>
      <x:c r="H3" s="4"/>
    </x:row>
    <x:row r="4" ht="42" customHeight="1">
      <x:c r="A4" s="10" t="str">
        <x:v>ID</x:v>
      </x:c>
      <x:c r="B4" s="10" t="str">
        <x:v>Clase</x:v>
      </x:c>
      <x:c r="C4" s="10" t="str">
        <x:v>Conocimiento que debe enlazarse</x:v>
      </x:c>
      <x:c r="D4" s="10" t="str">
        <x:v>Error u omisión</x:v>
      </x:c>
      <x:c r="E4" s="10" t="str">
        <x:v>Consejo afectado</x:v>
      </x:c>
      <x:c r="F4" s="10" t="str">
        <x:v>Consecuencia</x:v>
      </x:c>
      <x:c r="G4" s="10" t="str">
        <x:v>Condición / límite causal</x:v>
      </x:c>
      <x:c r="H4" s="10" t="str">
        <x:v>Fuentes previas</x:v>
      </x:c>
    </x:row>
    <x:row r="5" ht="47" customHeight="1">
      <x:c r="A5" s="4" t="str">
        <x:v>CON-CYB-RBT-01</x:v>
      </x:c>
      <x:c r="B5" s="4" t="str">
        <x:v>EPISTEMOLOGICA</x:v>
      </x:c>
      <x:c r="C5" s="4" t="str">
        <x:v>Éxito comunicado + requisito de reinicio → examen de satisfacción del requisito</x:v>
      </x:c>
      <x:c r="D5" s="4" t="str">
        <x:v>Omitir el valor o sustituirlo por éxito</x:v>
      </x:c>
      <x:c r="E5" s="4" t="str">
        <x:v>Cerrar evidencia como completa sin revisar la condición requerida</x:v>
      </x:c>
      <x:c r="F5" s="4" t="str">
        <x:v>La conclusión excede la evidencia; el testigo sintético demuestra pérdida de distinción.</x:v>
      </x:c>
      <x:c r="G5" s="4" t="str">
        <x:v>No presupone vulnerabilidad explotable ni daño real.</x:v>
      </x:c>
      <x:c r="H5" s="4" t="str">
        <x:v>R025 IV; T001 §2.3.2; T002; testigo AB-01</x:v>
      </x:c>
    </x:row>
    <x:row r="6" ht="47" customHeight="1">
      <x:c r="A6" s="4" t="str">
        <x:v>CON-CYB-RBT-02</x:v>
      </x:c>
      <x:c r="B6" s="4" t="str">
        <x:v>OPERACIONAL_POTENCIAL</x:v>
      </x:c>
      <x:c r="C6" s="4" t="str">
        <x:v>Requisito existente + no satisfecho + corrección que depende de completarlo</x:v>
      </x:c>
      <x:c r="D6" s="4" t="str">
        <x:v>Omitir el enlace entre requisito y cumplimiento</x:v>
      </x:c>
      <x:c r="E6" s="4" t="str">
        <x:v>Dar por corregido el componente antes de satisfacer una condición necesaria</x:v>
      </x:c>
      <x:c r="F6" s="4" t="str">
        <x:v>Puede persistir el estado vulnerable que la corrección pretendía resolver.</x:v>
      </x:c>
      <x:c r="G6" s="4" t="str">
        <x:v>Requiere aplicabilidad y prueba de estado activo; no implica explotación ni pérdida consumada.</x:v>
      </x:c>
      <x:c r="H6" s="4" t="str">
        <x:v>T001 §§2.3.2–2.3.3; QCY-01/04/05</x:v>
      </x:c>
    </x:row>
    <x:row r="7" ht="47" customHeight="1">
      <x:c r="A7" s="4" t="str">
        <x:v>CON-CYB-RBT-03</x:v>
      </x:c>
      <x:c r="B7" s="4" t="str">
        <x:v>OPERACIONAL_POTENCIAL</x:v>
      </x:c>
      <x:c r="C7" s="4" t="str">
        <x:v>Requisito técnico + condiciones del servicio + permiso + alternativas/coste</x:v>
      </x:c>
      <x:c r="D7" s="4" t="str">
        <x:v>Convertir 1 en orden inmediata o inventar requisito con 0/U</x:v>
      </x:c>
      <x:c r="E7" s="4" t="str">
        <x:v>Aconsejar una interrupción sin evaluar condiciones y autoridad</x:v>
      </x:c>
      <x:c r="F7" s="4" t="str">
        <x:v>Puede provocar interrupción evitable o coste desproporcionado para el servicio protegido.</x:v>
      </x:c>
      <x:c r="G7" s="4" t="str">
        <x:v>No todo reinicio interrumpe el servicio; redundancia, ventana e impacto se deben valorar.</x:v>
      </x:c>
      <x:c r="H7" s="4" t="str">
        <x:v>R025/R033/R035; T001 §3.2; mandato humano</x:v>
      </x:c>
    </x:row>
    <x:row r="8" ht="47" customHeight="1">
      <x:c r="A8" s="4" t="str">
        <x:v>CON-CYB-RBT-04</x:v>
      </x:c>
      <x:c r="B8" s="4" t="str">
        <x:v>EPISTEMOLOGICA</x:v>
      </x:c>
      <x:c r="C8" s="4" t="str">
        <x:v>Requisito histórico + evento posterior → relación de cumplimiento</x:v>
      </x:c>
      <x:c r="D8" s="4" t="str">
        <x:v>Sobrescribir 1 con 0 cuando se reinicia, o usar el 1 histórico como deuda actual</x:v>
      </x:c>
      <x:c r="E8" s="4" t="str">
        <x:v>Perder por qué se exigió una comprobación o repetir una exigencia ya satisfecha</x:v>
      </x:c>
      <x:c r="F8" s="4" t="str">
        <x:v>La explicación temporal deja de distinguir requisito de cumplimiento.</x:v>
      </x:c>
      <x:c r="G8" s="4" t="str">
        <x:v>No se ordena una acción ni se constituye aquí el átomo de cumplimiento.</x:v>
      </x:c>
      <x:c r="H8" s="4" t="str">
        <x:v>T002; S018/S019; testigos TI-01/TI-02</x:v>
      </x:c>
    </x:row>
  </x:sheetData>
  <x:mergeCells>
    <x:mergeCell ref="A1:D1"/>
    <x:mergeCell ref="A2:F2"/>
  </x:mergeCells>
  <x:pageMargins left="0.7" right="0.7" top="0.75" bottom="0.75" header="0.3" footer="0.3"/>
  <x:tableParts count="1">
    <x:tablePart xmlns:r="http://schemas.openxmlformats.org/officeDocument/2006/relationships" r:id="R70cf7010da90430d"/>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4" hidden="0" customWidth="1"/>
    <x:col min="4" max="4" width="28" hidden="0" customWidth="1"/>
    <x:col min="5" max="5" width="23" hidden="0" customWidth="1"/>
    <x:col min="6" max="6" width="19" hidden="0" customWidth="1"/>
    <x:col min="7" max="7" width="29" hidden="0" customWidth="1"/>
    <x:col min="8" max="8" width="29" hidden="0" customWidth="1"/>
    <x:col min="9" max="9" width="23" hidden="0" customWidth="1"/>
    <x:col min="10" max="10" width="27" hidden="0" customWidth="1"/>
    <x:col min="11" max="11" width="24" hidden="0" customWidth="1"/>
    <x:col min="12" max="12" width="15" hidden="0" customWidth="1"/>
    <x:col min="13" max="13" width="38" hidden="0" customWidth="1"/>
    <x:col min="14" max="14" width="24" hidden="0" customWidth="1"/>
    <x:col min="15" max="15" width="15" hidden="0" customWidth="1"/>
    <x:col min="16" max="16" width="38" hidden="0" customWidth="1"/>
    <x:col min="17" max="17" width="18" hidden="0" customWidth="1"/>
    <x:col min="18" max="18" width="80" hidden="0" customWidth="1"/>
  </x:cols>
  <x:sheetData>
    <x:row r="1" ht="35" customHeight="1">
      <x:c r="A1" s="6" t="str">
        <x:v>G5 · testigos documentales sintéticos</x:v>
      </x:c>
      <x:c r="B1" s="6"/>
      <x:c r="C1" s="6"/>
      <x:c r="D1" s="6"/>
      <x:c r="E1" s="6"/>
      <x:c r="F1" s="6"/>
      <x:c r="G1" s="6"/>
      <x:c r="H1" s="6"/>
      <x:c r="I1" s="6"/>
      <x:c r="J1" s="6"/>
      <x:c r="K1" s="6"/>
      <x:c r="L1" s="6"/>
      <x:c r="M1" s="6"/>
      <x:c r="N1" s="6"/>
      <x:c r="O1" s="6"/>
      <x:c r="P1" s="6"/>
      <x:c r="Q1" s="6"/>
      <x:c r="R1" s="6"/>
    </x:row>
    <x:row r="2" ht="52" customHeight="1">
      <x:c r="A2" s="8" t="str">
        <x:v>Esperados fijados antes de cálculo. Las fórmulas ensayan el contrato documental; no ejecutan WUA, SV, instalaciones ni consejo operacional.</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Ataque / familia</x:v>
      </x:c>
      <x:c r="C4" s="10" t="str">
        <x:v>Perfil</x:v>
      </x:c>
      <x:c r="D4" s="10" t="str">
        <x:v>Identidad</x:v>
      </x:c>
      <x:c r="E4" s="10" t="str">
        <x:v>Procedencia</x:v>
      </x:c>
      <x:c r="F4" s="10" t="str">
        <x:v>Captura</x:v>
      </x:c>
      <x:c r="G4" s="10" t="str">
        <x:v>Ámbito</x:v>
      </x:c>
      <x:c r="H4" s="10" t="str">
        <x:v>Resultado instalación</x:v>
      </x:c>
      <x:c r="I4" s="10" t="str">
        <x:v>Observación</x:v>
      </x:c>
      <x:c r="J4" s="10" t="str">
        <x:v>Lexema exacto</x:v>
      </x:c>
      <x:c r="K4" s="10" t="str">
        <x:v>Clase esperada</x:v>
      </x:c>
      <x:c r="L4" s="10" t="str">
        <x:v>Tri esperado</x:v>
      </x:c>
      <x:c r="M4" s="10" t="str">
        <x:v>Diagnóstico esperado</x:v>
      </x:c>
      <x:c r="N4" s="10" t="str">
        <x:v>Clase calculada</x:v>
      </x:c>
      <x:c r="O4" s="10" t="str">
        <x:v>Tri calculado</x:v>
      </x:c>
      <x:c r="P4" s="10" t="str">
        <x:v>Diagnóstico calculado</x:v>
      </x:c>
      <x:c r="Q4" s="10" t="str">
        <x:v>Concordancia</x:v>
      </x:c>
      <x:c r="R4" s="10" t="str">
        <x:v>Interpretación</x:v>
      </x:c>
    </x:row>
    <x:row r="5" ht="47" customHeight="1">
      <x:c r="A5" s="4" t="str">
        <x:v>TA-01</x:v>
      </x:c>
      <x:c r="B5" s="4" t="str">
        <x:v>SEMANTICA</x:v>
      </x:c>
      <x:c r="C5" s="4" t="str">
        <x:v>WUA-IND-0.1</x:v>
      </x:c>
      <x:c r="D5" s="4" t="str">
        <x:v>COINCIDE</x:v>
      </x:c>
      <x:c r="E5" s="4" t="str">
        <x:v>ADMITIDA</x:v>
      </x:c>
      <x:c r="F5" s="4" t="str">
        <x:v>LEGIBLE</x:v>
      </x:c>
      <x:c r="G5" s="4" t="str">
        <x:v>INDIVIDUAL_INSTALAR</x:v>
      </x:c>
      <x:c r="H5" s="4" t="str">
        <x:v>orcSucceeded</x:v>
      </x:c>
      <x:c r="I5" s="4" t="str">
        <x:v>UNICA</x:v>
      </x:c>
      <x:c r="J5" s="4" t="str">
        <x:v>true</x:v>
      </x:c>
      <x:c r="K5" s="4" t="str">
        <x:v>VALIDA</x:v>
      </x:c>
      <x:c r="L5" s="4" t="str">
        <x:v>1</x:v>
      </x:c>
      <x:c r="M5" s="4" t="str">
        <x:v>REQUISITO_SI</x:v>
      </x:c>
      <x:c r="N5" s="12" t="str">
        <x:f>IF(F5="FALLO","FALLO_CAPTURA",IF(F5&lt;&gt;"LEGIBLE","NO_ADMISION",IF(D5&lt;&gt;"COINCIDE","NO_ADMISION",IF(E5&lt;&gt;"ADMITIDA","NO_ADMISION",IF(C5&lt;&gt;"WUA-IND-0.1","FUERA_PERFIL",IF(G5&lt;&gt;"INDIVIDUAL_INSTALAR","FUERA_PERFIL",IF(NOT(OR(H5="orcNotStarted",H5="orcInProgress",H5="orcSucceeded",H5="orcSucceededWithErrors",H5="orcFailed",H5="orcAborted")),"NO_ADMISION",IF(H5&lt;&gt;"orcSucceeded","FUERA_PERFIL",IF(OR(AND(I5="AUSENTE",J5=""),AND(I5="CONFLICTO",J5="true|false"),AND(I5="UNICA",OR(J5="true",J5="false"))),"VALIDA","NO_ADMISION")))))))))</x:f>
        <x:v>VALIDA</x:v>
      </x:c>
      <x:c r="O5" s="12" t="str">
        <x:f>IF(N5&lt;&gt;"VALIDA","",IF(I5&lt;&gt;"UNICA","U",IF(J5="true","1","0")))</x:f>
        <x:v>1</x:v>
      </x:c>
      <x:c r="P5" s="12" t="str">
        <x:f>IF(F5="FALLO","SIN_EJECUCION_DOMINIO",IF(F5&lt;&gt;"LEGIBLE","CAPTURA_MAL_FORMADA",IF(D5&lt;&gt;"COINCIDE","IDENTIDAD",IF(E5&lt;&gt;"ADMITIDA","PROCEDENCIA",IF(C5&lt;&gt;"WUA-IND-0.1","PERFIL_NO_CONSTITUIDO",IF(G5&lt;&gt;"INDIVIDUAL_INSTALAR","AMBITO_RESULTADO",IF(NOT(OR(H5="orcNotStarted",H5="orcInProgress",H5="orcSucceeded",H5="orcSucceededWithErrors",H5="orcFailed",H5="orcAborted")),"RESULTADO_DESCONOCIDO",IF(H5&lt;&gt;"orcSucceeded","RESULTADO_INSTALACION",IF(N5="NO_ADMISION",IF(I5="UNICA","LEXEMA_NO_BOOLEANO","OBSERVACION_MAL_FORMADA"),IF(I5="AUSENTE","DATO_AUSENTE",IF(I5="CONFLICTO","CONFLICTO_OBSERVACIONAL",IF(J5="true","REQUISITO_SI","REQUISITO_NO"))))))))))))</x:f>
        <x:v>REQUISITO_SI</x:v>
      </x:c>
      <x:c r="Q5" s="12" t="str">
        <x:f>IF(AND(K5=N5,L5=O5,M5=P5),"PASA","NO_PASA")</x:f>
        <x:v>PASA</x:v>
      </x:c>
      <x:c r="R5" s="4" t="str">
        <x:v>Éxito comunicado y reinicio requerido coexisten.</x:v>
      </x:c>
    </x:row>
    <x:row r="6" ht="47" customHeight="1">
      <x:c r="A6" s="4" t="str">
        <x:v>TA-02</x:v>
      </x:c>
      <x:c r="B6" s="4" t="str">
        <x:v>SEMANTICA</x:v>
      </x:c>
      <x:c r="C6" s="4" t="str">
        <x:v>WUA-IND-0.1</x:v>
      </x:c>
      <x:c r="D6" s="4" t="str">
        <x:v>COINCIDE</x:v>
      </x:c>
      <x:c r="E6" s="4" t="str">
        <x:v>ADMITIDA</x:v>
      </x:c>
      <x:c r="F6" s="4" t="str">
        <x:v>LEGIBLE</x:v>
      </x:c>
      <x:c r="G6" s="4" t="str">
        <x:v>INDIVIDUAL_INSTALAR</x:v>
      </x:c>
      <x:c r="H6" s="4" t="str">
        <x:v>orcSucceeded</x:v>
      </x:c>
      <x:c r="I6" s="4" t="str">
        <x:v>UNICA</x:v>
      </x:c>
      <x:c r="J6" s="4" t="str">
        <x:v>false</x:v>
      </x:c>
      <x:c r="K6" s="4" t="str">
        <x:v>VALIDA</x:v>
      </x:c>
      <x:c r="L6" s="4" t="str">
        <x:v>0</x:v>
      </x:c>
      <x:c r="M6" s="4" t="str">
        <x:v>REQUISITO_NO</x:v>
      </x:c>
      <x:c r="N6" s="12" t="str">
        <x:f>IF(F6="FALLO","FALLO_CAPTURA",IF(F6&lt;&gt;"LEGIBLE","NO_ADMISION",IF(D6&lt;&gt;"COINCIDE","NO_ADMISION",IF(E6&lt;&gt;"ADMITIDA","NO_ADMISION",IF(C6&lt;&gt;"WUA-IND-0.1","FUERA_PERFIL",IF(G6&lt;&gt;"INDIVIDUAL_INSTALAR","FUERA_PERFIL",IF(NOT(OR(H6="orcNotStarted",H6="orcInProgress",H6="orcSucceeded",H6="orcSucceededWithErrors",H6="orcFailed",H6="orcAborted")),"NO_ADMISION",IF(H6&lt;&gt;"orcSucceeded","FUERA_PERFIL",IF(OR(AND(I6="AUSENTE",J6=""),AND(I6="CONFLICTO",J6="true|false"),AND(I6="UNICA",OR(J6="true",J6="false"))),"VALIDA","NO_ADMISION")))))))))</x:f>
        <x:v>VALIDA</x:v>
      </x:c>
      <x:c r="O6" s="12" t="str">
        <x:f>IF(N6&lt;&gt;"VALIDA","",IF(I6&lt;&gt;"UNICA","U",IF(J6="true","1","0")))</x:f>
        <x:v>0</x:v>
      </x:c>
      <x:c r="P6" s="12" t="str">
        <x:f>IF(F6="FALLO","SIN_EJECUCION_DOMINIO",IF(F6&lt;&gt;"LEGIBLE","CAPTURA_MAL_FORMADA",IF(D6&lt;&gt;"COINCIDE","IDENTIDAD",IF(E6&lt;&gt;"ADMITIDA","PROCEDENCIA",IF(C6&lt;&gt;"WUA-IND-0.1","PERFIL_NO_CONSTITUIDO",IF(G6&lt;&gt;"INDIVIDUAL_INSTALAR","AMBITO_RESULTADO",IF(NOT(OR(H6="orcNotStarted",H6="orcInProgress",H6="orcSucceeded",H6="orcSucceededWithErrors",H6="orcFailed",H6="orcAborted")),"RESULTADO_DESCONOCIDO",IF(H6&lt;&gt;"orcSucceeded","RESULTADO_INSTALACION",IF(N6="NO_ADMISION",IF(I6="UNICA","LEXEMA_NO_BOOLEANO","OBSERVACION_MAL_FORMADA"),IF(I6="AUSENTE","DATO_AUSENTE",IF(I6="CONFLICTO","CONFLICTO_OBSERVACIONAL",IF(J6="true","REQUISITO_SI","REQUISITO_NO"))))))))))))</x:f>
        <x:v>REQUISITO_NO</x:v>
      </x:c>
      <x:c r="Q6" s="12" t="str">
        <x:f>IF(AND(K6=N6,L6=O6,M6=P6),"PASA","NO_PASA")</x:f>
        <x:v>PASA</x:v>
      </x:c>
      <x:c r="R6" s="4" t="str">
        <x:v>Ausencia explícita del requisito; no autoriza cierre.</x:v>
      </x:c>
    </x:row>
    <x:row r="7" ht="47" customHeight="1">
      <x:c r="A7" s="4" t="str">
        <x:v>TA-03</x:v>
      </x:c>
      <x:c r="B7" s="4" t="str">
        <x:v>U PROPIA</x:v>
      </x:c>
      <x:c r="C7" s="4" t="str">
        <x:v>WUA-IND-0.1</x:v>
      </x:c>
      <x:c r="D7" s="4" t="str">
        <x:v>COINCIDE</x:v>
      </x:c>
      <x:c r="E7" s="4" t="str">
        <x:v>ADMITIDA</x:v>
      </x:c>
      <x:c r="F7" s="4" t="str">
        <x:v>LEGIBLE</x:v>
      </x:c>
      <x:c r="G7" s="4" t="str">
        <x:v>INDIVIDUAL_INSTALAR</x:v>
      </x:c>
      <x:c r="H7" s="4" t="str">
        <x:v>orcSucceeded</x:v>
      </x:c>
      <x:c r="I7" s="4" t="str">
        <x:v>AUSENTE</x:v>
      </x:c>
      <x:c r="J7" s="4" t="str"/>
      <x:c r="K7" s="4" t="str">
        <x:v>VALIDA</x:v>
      </x:c>
      <x:c r="L7" s="4" t="str">
        <x:v>U</x:v>
      </x:c>
      <x:c r="M7" s="4" t="str">
        <x:v>DATO_AUSENTE</x:v>
      </x:c>
      <x:c r="N7" s="12" t="str">
        <x:f>IF(F7="FALLO","FALLO_CAPTURA",IF(F7&lt;&gt;"LEGIBLE","NO_ADMISION",IF(D7&lt;&gt;"COINCIDE","NO_ADMISION",IF(E7&lt;&gt;"ADMITIDA","NO_ADMISION",IF(C7&lt;&gt;"WUA-IND-0.1","FUERA_PERFIL",IF(G7&lt;&gt;"INDIVIDUAL_INSTALAR","FUERA_PERFIL",IF(NOT(OR(H7="orcNotStarted",H7="orcInProgress",H7="orcSucceeded",H7="orcSucceededWithErrors",H7="orcFailed",H7="orcAborted")),"NO_ADMISION",IF(H7&lt;&gt;"orcSucceeded","FUERA_PERFIL",IF(OR(AND(I7="AUSENTE",J7=""),AND(I7="CONFLICTO",J7="true|false"),AND(I7="UNICA",OR(J7="true",J7="false"))),"VALIDA","NO_ADMISION")))))))))</x:f>
        <x:v>VALIDA</x:v>
      </x:c>
      <x:c r="O7" s="12" t="str">
        <x:f>IF(N7&lt;&gt;"VALIDA","",IF(I7&lt;&gt;"UNICA","U",IF(J7="true","1","0")))</x:f>
        <x:v>U</x:v>
      </x:c>
      <x:c r="P7" s="12" t="str">
        <x:f>IF(F7="FALLO","SIN_EJECUCION_DOMINIO",IF(F7&lt;&gt;"LEGIBLE","CAPTURA_MAL_FORMADA",IF(D7&lt;&gt;"COINCIDE","IDENTIDAD",IF(E7&lt;&gt;"ADMITIDA","PROCEDENCIA",IF(C7&lt;&gt;"WUA-IND-0.1","PERFIL_NO_CONSTITUIDO",IF(G7&lt;&gt;"INDIVIDUAL_INSTALAR","AMBITO_RESULTADO",IF(NOT(OR(H7="orcNotStarted",H7="orcInProgress",H7="orcSucceeded",H7="orcSucceededWithErrors",H7="orcFailed",H7="orcAborted")),"RESULTADO_DESCONOCIDO",IF(H7&lt;&gt;"orcSucceeded","RESULTADO_INSTALACION",IF(N7="NO_ADMISION",IF(I7="UNICA","LEXEMA_NO_BOOLEANO","OBSERVACION_MAL_FORMADA"),IF(I7="AUSENTE","DATO_AUSENTE",IF(I7="CONFLICTO","CONFLICTO_OBSERVACIONAL",IF(J7="true","REQUISITO_SI","REQUISITO_NO"))))))))))))</x:f>
        <x:v>DATO_AUSENTE</x:v>
      </x:c>
      <x:c r="Q7" s="12" t="str">
        <x:f>IF(AND(K7=N7,L7=O7,M7=P7),"PASA","NO_PASA")</x:f>
        <x:v>PASA</x:v>
      </x:c>
      <x:c r="R7" s="4" t="str">
        <x:v>Captura parcial declarada; silencio no significa false.</x:v>
      </x:c>
    </x:row>
    <x:row r="8" ht="47" customHeight="1">
      <x:c r="A8" s="4" t="str">
        <x:v>TA-04</x:v>
      </x:c>
      <x:c r="B8" s="4" t="str">
        <x:v>U PROPIA</x:v>
      </x:c>
      <x:c r="C8" s="4" t="str">
        <x:v>WUA-IND-0.1</x:v>
      </x:c>
      <x:c r="D8" s="4" t="str">
        <x:v>COINCIDE</x:v>
      </x:c>
      <x:c r="E8" s="4" t="str">
        <x:v>ADMITIDA</x:v>
      </x:c>
      <x:c r="F8" s="4" t="str">
        <x:v>LEGIBLE</x:v>
      </x:c>
      <x:c r="G8" s="4" t="str">
        <x:v>INDIVIDUAL_INSTALAR</x:v>
      </x:c>
      <x:c r="H8" s="4" t="str">
        <x:v>orcSucceeded</x:v>
      </x:c>
      <x:c r="I8" s="4" t="str">
        <x:v>CONFLICTO</x:v>
      </x:c>
      <x:c r="J8" s="4" t="str">
        <x:v>true|false</x:v>
      </x:c>
      <x:c r="K8" s="4" t="str">
        <x:v>VALIDA</x:v>
      </x:c>
      <x:c r="L8" s="4" t="str">
        <x:v>U</x:v>
      </x:c>
      <x:c r="M8" s="4" t="str">
        <x:v>CONFLICTO_OBSERVACIONAL</x:v>
      </x:c>
      <x:c r="N8" s="12" t="str">
        <x:f>IF(F8="FALLO","FALLO_CAPTURA",IF(F8&lt;&gt;"LEGIBLE","NO_ADMISION",IF(D8&lt;&gt;"COINCIDE","NO_ADMISION",IF(E8&lt;&gt;"ADMITIDA","NO_ADMISION",IF(C8&lt;&gt;"WUA-IND-0.1","FUERA_PERFIL",IF(G8&lt;&gt;"INDIVIDUAL_INSTALAR","FUERA_PERFIL",IF(NOT(OR(H8="orcNotStarted",H8="orcInProgress",H8="orcSucceeded",H8="orcSucceededWithErrors",H8="orcFailed",H8="orcAborted")),"NO_ADMISION",IF(H8&lt;&gt;"orcSucceeded","FUERA_PERFIL",IF(OR(AND(I8="AUSENTE",J8=""),AND(I8="CONFLICTO",J8="true|false"),AND(I8="UNICA",OR(J8="true",J8="false"))),"VALIDA","NO_ADMISION")))))))))</x:f>
        <x:v>VALIDA</x:v>
      </x:c>
      <x:c r="O8" s="12" t="str">
        <x:f>IF(N8&lt;&gt;"VALIDA","",IF(I8&lt;&gt;"UNICA","U",IF(J8="true","1","0")))</x:f>
        <x:v>U</x:v>
      </x:c>
      <x:c r="P8" s="12" t="str">
        <x:f>IF(F8="FALLO","SIN_EJECUCION_DOMINIO",IF(F8&lt;&gt;"LEGIBLE","CAPTURA_MAL_FORMADA",IF(D8&lt;&gt;"COINCIDE","IDENTIDAD",IF(E8&lt;&gt;"ADMITIDA","PROCEDENCIA",IF(C8&lt;&gt;"WUA-IND-0.1","PERFIL_NO_CONSTITUIDO",IF(G8&lt;&gt;"INDIVIDUAL_INSTALAR","AMBITO_RESULTADO",IF(NOT(OR(H8="orcNotStarted",H8="orcInProgress",H8="orcSucceeded",H8="orcSucceededWithErrors",H8="orcFailed",H8="orcAborted")),"RESULTADO_DESCONOCIDO",IF(H8&lt;&gt;"orcSucceeded","RESULTADO_INSTALACION",IF(N8="NO_ADMISION",IF(I8="UNICA","LEXEMA_NO_BOOLEANO","OBSERVACION_MAL_FORMADA"),IF(I8="AUSENTE","DATO_AUSENTE",IF(I8="CONFLICTO","CONFLICTO_OBSERVACIONAL",IF(J8="true","REQUISITO_SI","REQUISITO_NO"))))))))))))</x:f>
        <x:v>CONFLICTO_OBSERVACIONAL</x:v>
      </x:c>
      <x:c r="Q8" s="12" t="str">
        <x:f>IF(AND(K8=N8,L8=O8,M8=P8),"PASA","NO_PASA")</x:f>
        <x:v>PASA</x:v>
      </x:c>
      <x:c r="R8" s="4" t="str">
        <x:v>Dos afirmaciones admitidas del mismo sujeto discrepan.</x:v>
      </x:c>
    </x:row>
    <x:row r="9" ht="47" customHeight="1">
      <x:c r="A9" s="4" t="str">
        <x:v>TA-05</x:v>
      </x:c>
      <x:c r="B9" s="4" t="str">
        <x:v>FRONTERA</x:v>
      </x:c>
      <x:c r="C9" s="4" t="str">
        <x:v>OT</x:v>
      </x:c>
      <x:c r="D9" s="4" t="str">
        <x:v>COINCIDE</x:v>
      </x:c>
      <x:c r="E9" s="4" t="str">
        <x:v>ADMITIDA</x:v>
      </x:c>
      <x:c r="F9" s="4" t="str">
        <x:v>LEGIBLE</x:v>
      </x:c>
      <x:c r="G9" s="4" t="str">
        <x:v>INDIVIDUAL_INSTALAR</x:v>
      </x:c>
      <x:c r="H9" s="4" t="str">
        <x:v>orcSucceeded</x:v>
      </x:c>
      <x:c r="I9" s="4" t="str">
        <x:v>UNICA</x:v>
      </x:c>
      <x:c r="J9" s="4" t="str">
        <x:v>true</x:v>
      </x:c>
      <x:c r="K9" s="4" t="str">
        <x:v>FUERA_PERFIL</x:v>
      </x:c>
      <x:c r="L9" s="4" t="str"/>
      <x:c r="M9" s="4" t="str">
        <x:v>PERFIL_NO_CONSTITUIDO</x:v>
      </x:c>
      <x:c r="N9" s="12" t="str">
        <x:f>IF(F9="FALLO","FALLO_CAPTURA",IF(F9&lt;&gt;"LEGIBLE","NO_ADMISION",IF(D9&lt;&gt;"COINCIDE","NO_ADMISION",IF(E9&lt;&gt;"ADMITIDA","NO_ADMISION",IF(C9&lt;&gt;"WUA-IND-0.1","FUERA_PERFIL",IF(G9&lt;&gt;"INDIVIDUAL_INSTALAR","FUERA_PERFIL",IF(NOT(OR(H9="orcNotStarted",H9="orcInProgress",H9="orcSucceeded",H9="orcSucceededWithErrors",H9="orcFailed",H9="orcAborted")),"NO_ADMISION",IF(H9&lt;&gt;"orcSucceeded","FUERA_PERFIL",IF(OR(AND(I9="AUSENTE",J9=""),AND(I9="CONFLICTO",J9="true|false"),AND(I9="UNICA",OR(J9="true",J9="false"))),"VALIDA","NO_ADMISION")))))))))</x:f>
        <x:v>FUERA_PERFIL</x:v>
      </x:c>
      <x:c r="O9" s="12" t="str">
        <x:f>IF(N9&lt;&gt;"VALIDA","",IF(I9&lt;&gt;"UNICA","U",IF(J9="true","1","0")))</x:f>
      </x:c>
      <x:c r="P9" s="12" t="str">
        <x:f>IF(F9="FALLO","SIN_EJECUCION_DOMINIO",IF(F9&lt;&gt;"LEGIBLE","CAPTURA_MAL_FORMADA",IF(D9&lt;&gt;"COINCIDE","IDENTIDAD",IF(E9&lt;&gt;"ADMITIDA","PROCEDENCIA",IF(C9&lt;&gt;"WUA-IND-0.1","PERFIL_NO_CONSTITUIDO",IF(G9&lt;&gt;"INDIVIDUAL_INSTALAR","AMBITO_RESULTADO",IF(NOT(OR(H9="orcNotStarted",H9="orcInProgress",H9="orcSucceeded",H9="orcSucceededWithErrors",H9="orcFailed",H9="orcAborted")),"RESULTADO_DESCONOCIDO",IF(H9&lt;&gt;"orcSucceeded","RESULTADO_INSTALACION",IF(N9="NO_ADMISION",IF(I9="UNICA","LEXEMA_NO_BOOLEANO","OBSERVACION_MAL_FORMADA"),IF(I9="AUSENTE","DATO_AUSENTE",IF(I9="CONFLICTO","CONFLICTO_OBSERVACIONAL",IF(J9="true","REQUISITO_SI","REQUISITO_NO"))))))))))))</x:f>
        <x:v>PERFIL_NO_CONSTITUIDO</x:v>
      </x:c>
      <x:c r="Q9" s="12" t="str">
        <x:f>IF(AND(K9=N9,L9=O9,M9=P9),"PASA","NO_PASA")</x:f>
        <x:v>PASA</x:v>
      </x:c>
      <x:c r="R9" s="4" t="str">
        <x:v>No trasladar semántica WUA a OT.</x:v>
      </x:c>
    </x:row>
    <x:row r="10" ht="47" customHeight="1">
      <x:c r="A10" s="4" t="str">
        <x:v>TA-06</x:v>
      </x:c>
      <x:c r="B10" s="4" t="str">
        <x:v>FRONTERA</x:v>
      </x:c>
      <x:c r="C10" s="4" t="str">
        <x:v>WUA-IND-0.1</x:v>
      </x:c>
      <x:c r="D10" s="4" t="str">
        <x:v>OTRA_ACTUALIZACION</x:v>
      </x:c>
      <x:c r="E10" s="4" t="str">
        <x:v>ADMITIDA</x:v>
      </x:c>
      <x:c r="F10" s="4" t="str">
        <x:v>LEGIBLE</x:v>
      </x:c>
      <x:c r="G10" s="4" t="str">
        <x:v>INDIVIDUAL_INSTALAR</x:v>
      </x:c>
      <x:c r="H10" s="4" t="str">
        <x:v>orcSucceeded</x:v>
      </x:c>
      <x:c r="I10" s="4" t="str">
        <x:v>UNICA</x:v>
      </x:c>
      <x:c r="J10" s="4" t="str">
        <x:v>true</x:v>
      </x:c>
      <x:c r="K10" s="4" t="str">
        <x:v>NO_ADMISION</x:v>
      </x:c>
      <x:c r="L10" s="4" t="str"/>
      <x:c r="M10" s="4" t="str">
        <x:v>IDENTIDAD</x:v>
      </x:c>
      <x:c r="N10" s="12" t="str">
        <x:f>IF(F10="FALLO","FALLO_CAPTURA",IF(F10&lt;&gt;"LEGIBLE","NO_ADMISION",IF(D10&lt;&gt;"COINCIDE","NO_ADMISION",IF(E10&lt;&gt;"ADMITIDA","NO_ADMISION",IF(C10&lt;&gt;"WUA-IND-0.1","FUERA_PERFIL",IF(G10&lt;&gt;"INDIVIDUAL_INSTALAR","FUERA_PERFIL",IF(NOT(OR(H10="orcNotStarted",H10="orcInProgress",H10="orcSucceeded",H10="orcSucceededWithErrors",H10="orcFailed",H10="orcAborted")),"NO_ADMISION",IF(H10&lt;&gt;"orcSucceeded","FUERA_PERFIL",IF(OR(AND(I10="AUSENTE",J10=""),AND(I10="CONFLICTO",J10="true|false"),AND(I10="UNICA",OR(J10="true",J10="false"))),"VALIDA","NO_ADMISION")))))))))</x:f>
        <x:v>NO_ADMISION</x:v>
      </x:c>
      <x:c r="O10" s="12" t="str">
        <x:f>IF(N10&lt;&gt;"VALIDA","",IF(I10&lt;&gt;"UNICA","U",IF(J10="true","1","0")))</x:f>
      </x:c>
      <x:c r="P10" s="12" t="str">
        <x:f>IF(F10="FALLO","SIN_EJECUCION_DOMINIO",IF(F10&lt;&gt;"LEGIBLE","CAPTURA_MAL_FORMADA",IF(D10&lt;&gt;"COINCIDE","IDENTIDAD",IF(E10&lt;&gt;"ADMITIDA","PROCEDENCIA",IF(C10&lt;&gt;"WUA-IND-0.1","PERFIL_NO_CONSTITUIDO",IF(G10&lt;&gt;"INDIVIDUAL_INSTALAR","AMBITO_RESULTADO",IF(NOT(OR(H10="orcNotStarted",H10="orcInProgress",H10="orcSucceeded",H10="orcSucceededWithErrors",H10="orcFailed",H10="orcAborted")),"RESULTADO_DESCONOCIDO",IF(H10&lt;&gt;"orcSucceeded","RESULTADO_INSTALACION",IF(N10="NO_ADMISION",IF(I10="UNICA","LEXEMA_NO_BOOLEANO","OBSERVACION_MAL_FORMADA"),IF(I10="AUSENTE","DATO_AUSENTE",IF(I10="CONFLICTO","CONFLICTO_OBSERVACIONAL",IF(J10="true","REQUISITO_SI","REQUISITO_NO"))))))))))))</x:f>
        <x:v>IDENTIDAD</x:v>
      </x:c>
      <x:c r="Q10" s="12" t="str">
        <x:f>IF(AND(K10=N10,L10=O10,M10=P10),"PASA","NO_PASA")</x:f>
        <x:v>PASA</x:v>
      </x:c>
      <x:c r="R10" s="4" t="str">
        <x:v>No atribuir a otra actualización el reinicio del lote.</x:v>
      </x:c>
    </x:row>
    <x:row r="11" ht="47" customHeight="1">
      <x:c r="A11" s="4" t="str">
        <x:v>TA-07</x:v>
      </x:c>
      <x:c r="B11" s="4" t="str">
        <x:v>FRONTERA</x:v>
      </x:c>
      <x:c r="C11" s="4" t="str">
        <x:v>WUA-IND-0.1</x:v>
      </x:c>
      <x:c r="D11" s="4" t="str">
        <x:v>COINCIDE</x:v>
      </x:c>
      <x:c r="E11" s="4" t="str">
        <x:v>NO_ADMITIDA</x:v>
      </x:c>
      <x:c r="F11" s="4" t="str">
        <x:v>LEGIBLE</x:v>
      </x:c>
      <x:c r="G11" s="4" t="str">
        <x:v>INDIVIDUAL_INSTALAR</x:v>
      </x:c>
      <x:c r="H11" s="4" t="str">
        <x:v>orcSucceeded</x:v>
      </x:c>
      <x:c r="I11" s="4" t="str">
        <x:v>UNICA</x:v>
      </x:c>
      <x:c r="J11" s="4" t="str">
        <x:v>true</x:v>
      </x:c>
      <x:c r="K11" s="4" t="str">
        <x:v>NO_ADMISION</x:v>
      </x:c>
      <x:c r="L11" s="4" t="str"/>
      <x:c r="M11" s="4" t="str">
        <x:v>PROCEDENCIA</x:v>
      </x:c>
      <x:c r="N11" s="12" t="str">
        <x:f>IF(F11="FALLO","FALLO_CAPTURA",IF(F11&lt;&gt;"LEGIBLE","NO_ADMISION",IF(D11&lt;&gt;"COINCIDE","NO_ADMISION",IF(E11&lt;&gt;"ADMITIDA","NO_ADMISION",IF(C11&lt;&gt;"WUA-IND-0.1","FUERA_PERFIL",IF(G11&lt;&gt;"INDIVIDUAL_INSTALAR","FUERA_PERFIL",IF(NOT(OR(H11="orcNotStarted",H11="orcInProgress",H11="orcSucceeded",H11="orcSucceededWithErrors",H11="orcFailed",H11="orcAborted")),"NO_ADMISION",IF(H11&lt;&gt;"orcSucceeded","FUERA_PERFIL",IF(OR(AND(I11="AUSENTE",J11=""),AND(I11="CONFLICTO",J11="true|false"),AND(I11="UNICA",OR(J11="true",J11="false"))),"VALIDA","NO_ADMISION")))))))))</x:f>
        <x:v>NO_ADMISION</x:v>
      </x:c>
      <x:c r="O11" s="12" t="str">
        <x:f>IF(N11&lt;&gt;"VALIDA","",IF(I11&lt;&gt;"UNICA","U",IF(J11="true","1","0")))</x:f>
      </x:c>
      <x:c r="P11" s="12" t="str">
        <x:f>IF(F11="FALLO","SIN_EJECUCION_DOMINIO",IF(F11&lt;&gt;"LEGIBLE","CAPTURA_MAL_FORMADA",IF(D11&lt;&gt;"COINCIDE","IDENTIDAD",IF(E11&lt;&gt;"ADMITIDA","PROCEDENCIA",IF(C11&lt;&gt;"WUA-IND-0.1","PERFIL_NO_CONSTITUIDO",IF(G11&lt;&gt;"INDIVIDUAL_INSTALAR","AMBITO_RESULTADO",IF(NOT(OR(H11="orcNotStarted",H11="orcInProgress",H11="orcSucceeded",H11="orcSucceededWithErrors",H11="orcFailed",H11="orcAborted")),"RESULTADO_DESCONOCIDO",IF(H11&lt;&gt;"orcSucceeded","RESULTADO_INSTALACION",IF(N11="NO_ADMISION",IF(I11="UNICA","LEXEMA_NO_BOOLEANO","OBSERVACION_MAL_FORMADA"),IF(I11="AUSENTE","DATO_AUSENTE",IF(I11="CONFLICTO","CONFLICTO_OBSERVACIONAL",IF(J11="true","REQUISITO_SI","REQUISITO_NO"))))))))))))</x:f>
        <x:v>PROCEDENCIA</x:v>
      </x:c>
      <x:c r="Q11" s="12" t="str">
        <x:f>IF(AND(K11=N11,L11=O11,M11=P11),"PASA","NO_PASA")</x:f>
        <x:v>PASA</x:v>
      </x:c>
      <x:c r="R11" s="4" t="str">
        <x:v>Una declaración no admitida no constituye un observable válido.</x:v>
      </x:c>
    </x:row>
    <x:row r="12" ht="47" customHeight="1">
      <x:c r="A12" s="4" t="str">
        <x:v>TA-08</x:v>
      </x:c>
      <x:c r="B12" s="4" t="str">
        <x:v>FRONTERA</x:v>
      </x:c>
      <x:c r="C12" s="4" t="str">
        <x:v>WUA-IND-0.1</x:v>
      </x:c>
      <x:c r="D12" s="4" t="str">
        <x:v>COINCIDE</x:v>
      </x:c>
      <x:c r="E12" s="4" t="str">
        <x:v>ADMITIDA</x:v>
      </x:c>
      <x:c r="F12" s="4" t="str">
        <x:v>FALLO</x:v>
      </x:c>
      <x:c r="G12" s="4" t="str">
        <x:v>INDIVIDUAL_INSTALAR</x:v>
      </x:c>
      <x:c r="H12" s="4" t="str">
        <x:v>orcSucceeded</x:v>
      </x:c>
      <x:c r="I12" s="4" t="str">
        <x:v>UNICA</x:v>
      </x:c>
      <x:c r="J12" s="4" t="str">
        <x:v>true</x:v>
      </x:c>
      <x:c r="K12" s="4" t="str">
        <x:v>FALLO_CAPTURA</x:v>
      </x:c>
      <x:c r="L12" s="4" t="str"/>
      <x:c r="M12" s="4" t="str">
        <x:v>SIN_EJECUCION_DOMINIO</x:v>
      </x:c>
      <x:c r="N12" s="12" t="str">
        <x:f>IF(F12="FALLO","FALLO_CAPTURA",IF(F12&lt;&gt;"LEGIBLE","NO_ADMISION",IF(D12&lt;&gt;"COINCIDE","NO_ADMISION",IF(E12&lt;&gt;"ADMITIDA","NO_ADMISION",IF(C12&lt;&gt;"WUA-IND-0.1","FUERA_PERFIL",IF(G12&lt;&gt;"INDIVIDUAL_INSTALAR","FUERA_PERFIL",IF(NOT(OR(H12="orcNotStarted",H12="orcInProgress",H12="orcSucceeded",H12="orcSucceededWithErrors",H12="orcFailed",H12="orcAborted")),"NO_ADMISION",IF(H12&lt;&gt;"orcSucceeded","FUERA_PERFIL",IF(OR(AND(I12="AUSENTE",J12=""),AND(I12="CONFLICTO",J12="true|false"),AND(I12="UNICA",OR(J12="true",J12="false"))),"VALIDA","NO_ADMISION")))))))))</x:f>
        <x:v>FALLO_CAPTURA</x:v>
      </x:c>
      <x:c r="O12" s="12" t="str">
        <x:f>IF(N12&lt;&gt;"VALIDA","",IF(I12&lt;&gt;"UNICA","U",IF(J12="true","1","0")))</x:f>
      </x:c>
      <x:c r="P12" s="12" t="str">
        <x:f>IF(F12="FALLO","SIN_EJECUCION_DOMINIO",IF(F12&lt;&gt;"LEGIBLE","CAPTURA_MAL_FORMADA",IF(D12&lt;&gt;"COINCIDE","IDENTIDAD",IF(E12&lt;&gt;"ADMITIDA","PROCEDENCIA",IF(C12&lt;&gt;"WUA-IND-0.1","PERFIL_NO_CONSTITUIDO",IF(G12&lt;&gt;"INDIVIDUAL_INSTALAR","AMBITO_RESULTADO",IF(NOT(OR(H12="orcNotStarted",H12="orcInProgress",H12="orcSucceeded",H12="orcSucceededWithErrors",H12="orcFailed",H12="orcAborted")),"RESULTADO_DESCONOCIDO",IF(H12&lt;&gt;"orcSucceeded","RESULTADO_INSTALACION",IF(N12="NO_ADMISION",IF(I12="UNICA","LEXEMA_NO_BOOLEANO","OBSERVACION_MAL_FORMADA"),IF(I12="AUSENTE","DATO_AUSENTE",IF(I12="CONFLICTO","CONFLICTO_OBSERVACIONAL",IF(J12="true","REQUISITO_SI","REQUISITO_NO"))))))))))))</x:f>
        <x:v>SIN_EJECUCION_DOMINIO</x:v>
      </x:c>
      <x:c r="Q12" s="12" t="str">
        <x:f>IF(AND(K12=N12,L12=O12,M12=P12),"PASA","NO_PASA")</x:f>
        <x:v>PASA</x:v>
      </x:c>
      <x:c r="R12" s="4" t="str">
        <x:v>Fallo de adquisición: sólo registro técnico, sin Tri.</x:v>
      </x:c>
    </x:row>
    <x:row r="13" ht="47" customHeight="1">
      <x:c r="A13" s="4" t="str">
        <x:v>TA-09</x:v>
      </x:c>
      <x:c r="B13" s="4" t="str">
        <x:v>FRONTERA</x:v>
      </x:c>
      <x:c r="C13" s="4" t="str">
        <x:v>WUA-IND-0.1</x:v>
      </x:c>
      <x:c r="D13" s="4" t="str">
        <x:v>COINCIDE</x:v>
      </x:c>
      <x:c r="E13" s="4" t="str">
        <x:v>ADMITIDA</x:v>
      </x:c>
      <x:c r="F13" s="4" t="str">
        <x:v>LEGIBLE</x:v>
      </x:c>
      <x:c r="G13" s="4" t="str">
        <x:v>LOTE</x:v>
      </x:c>
      <x:c r="H13" s="4" t="str">
        <x:v>orcSucceeded</x:v>
      </x:c>
      <x:c r="I13" s="4" t="str">
        <x:v>UNICA</x:v>
      </x:c>
      <x:c r="J13" s="4" t="str">
        <x:v>true</x:v>
      </x:c>
      <x:c r="K13" s="4" t="str">
        <x:v>FUERA_PERFIL</x:v>
      </x:c>
      <x:c r="L13" s="4" t="str"/>
      <x:c r="M13" s="4" t="str">
        <x:v>AMBITO_RESULTADO</x:v>
      </x:c>
      <x:c r="N13" s="12" t="str">
        <x:f>IF(F13="FALLO","FALLO_CAPTURA",IF(F13&lt;&gt;"LEGIBLE","NO_ADMISION",IF(D13&lt;&gt;"COINCIDE","NO_ADMISION",IF(E13&lt;&gt;"ADMITIDA","NO_ADMISION",IF(C13&lt;&gt;"WUA-IND-0.1","FUERA_PERFIL",IF(G13&lt;&gt;"INDIVIDUAL_INSTALAR","FUERA_PERFIL",IF(NOT(OR(H13="orcNotStarted",H13="orcInProgress",H13="orcSucceeded",H13="orcSucceededWithErrors",H13="orcFailed",H13="orcAborted")),"NO_ADMISION",IF(H13&lt;&gt;"orcSucceeded","FUERA_PERFIL",IF(OR(AND(I13="AUSENTE",J13=""),AND(I13="CONFLICTO",J13="true|false"),AND(I13="UNICA",OR(J13="true",J13="false"))),"VALIDA","NO_ADMISION")))))))))</x:f>
        <x:v>FUERA_PERFIL</x:v>
      </x:c>
      <x:c r="O13" s="12" t="str">
        <x:f>IF(N13&lt;&gt;"VALIDA","",IF(I13&lt;&gt;"UNICA","U",IF(J13="true","1","0")))</x:f>
      </x:c>
      <x:c r="P13" s="12" t="str">
        <x:f>IF(F13="FALLO","SIN_EJECUCION_DOMINIO",IF(F13&lt;&gt;"LEGIBLE","CAPTURA_MAL_FORMADA",IF(D13&lt;&gt;"COINCIDE","IDENTIDAD",IF(E13&lt;&gt;"ADMITIDA","PROCEDENCIA",IF(C13&lt;&gt;"WUA-IND-0.1","PERFIL_NO_CONSTITUIDO",IF(G13&lt;&gt;"INDIVIDUAL_INSTALAR","AMBITO_RESULTADO",IF(NOT(OR(H13="orcNotStarted",H13="orcInProgress",H13="orcSucceeded",H13="orcSucceededWithErrors",H13="orcFailed",H13="orcAborted")),"RESULTADO_DESCONOCIDO",IF(H13&lt;&gt;"orcSucceeded","RESULTADO_INSTALACION",IF(N13="NO_ADMISION",IF(I13="UNICA","LEXEMA_NO_BOOLEANO","OBSERVACION_MAL_FORMADA"),IF(I13="AUSENTE","DATO_AUSENTE",IF(I13="CONFLICTO","CONFLICTO_OBSERVACIONAL",IF(J13="true","REQUISITO_SI","REQUISITO_NO"))))))))))))</x:f>
        <x:v>AMBITO_RESULTADO</x:v>
      </x:c>
      <x:c r="Q13" s="12" t="str">
        <x:f>IF(AND(K13=N13,L13=O13,M13=P13),"PASA","NO_PASA")</x:f>
        <x:v>PASA</x:v>
      </x:c>
      <x:c r="R13" s="4" t="str">
        <x:v>El agregado no demuestra necesidad individual.</x:v>
      </x:c>
    </x:row>
    <x:row r="14" ht="47" customHeight="1">
      <x:c r="A14" s="4" t="str">
        <x:v>TA-10</x:v>
      </x:c>
      <x:c r="B14" s="4" t="str">
        <x:v>FRONTERA</x:v>
      </x:c>
      <x:c r="C14" s="4" t="str">
        <x:v>WUA-IND-0.1</x:v>
      </x:c>
      <x:c r="D14" s="4" t="str">
        <x:v>COINCIDE</x:v>
      </x:c>
      <x:c r="E14" s="4" t="str">
        <x:v>ADMITIDA</x:v>
      </x:c>
      <x:c r="F14" s="4" t="str">
        <x:v>LEGIBLE</x:v>
      </x:c>
      <x:c r="G14" s="4" t="str">
        <x:v>DESINSTALAR</x:v>
      </x:c>
      <x:c r="H14" s="4" t="str">
        <x:v>orcSucceeded</x:v>
      </x:c>
      <x:c r="I14" s="4" t="str">
        <x:v>UNICA</x:v>
      </x:c>
      <x:c r="J14" s="4" t="str">
        <x:v>true</x:v>
      </x:c>
      <x:c r="K14" s="4" t="str">
        <x:v>FUERA_PERFIL</x:v>
      </x:c>
      <x:c r="L14" s="4" t="str"/>
      <x:c r="M14" s="4" t="str">
        <x:v>AMBITO_RESULTADO</x:v>
      </x:c>
      <x:c r="N14" s="12" t="str">
        <x:f>IF(F14="FALLO","FALLO_CAPTURA",IF(F14&lt;&gt;"LEGIBLE","NO_ADMISION",IF(D14&lt;&gt;"COINCIDE","NO_ADMISION",IF(E14&lt;&gt;"ADMITIDA","NO_ADMISION",IF(C14&lt;&gt;"WUA-IND-0.1","FUERA_PERFIL",IF(G14&lt;&gt;"INDIVIDUAL_INSTALAR","FUERA_PERFIL",IF(NOT(OR(H14="orcNotStarted",H14="orcInProgress",H14="orcSucceeded",H14="orcSucceededWithErrors",H14="orcFailed",H14="orcAborted")),"NO_ADMISION",IF(H14&lt;&gt;"orcSucceeded","FUERA_PERFIL",IF(OR(AND(I14="AUSENTE",J14=""),AND(I14="CONFLICTO",J14="true|false"),AND(I14="UNICA",OR(J14="true",J14="false"))),"VALIDA","NO_ADMISION")))))))))</x:f>
        <x:v>FUERA_PERFIL</x:v>
      </x:c>
      <x:c r="O14" s="12" t="str">
        <x:f>IF(N14&lt;&gt;"VALIDA","",IF(I14&lt;&gt;"UNICA","U",IF(J14="true","1","0")))</x:f>
      </x:c>
      <x:c r="P14" s="12" t="str">
        <x:f>IF(F14="FALLO","SIN_EJECUCION_DOMINIO",IF(F14&lt;&gt;"LEGIBLE","CAPTURA_MAL_FORMADA",IF(D14&lt;&gt;"COINCIDE","IDENTIDAD",IF(E14&lt;&gt;"ADMITIDA","PROCEDENCIA",IF(C14&lt;&gt;"WUA-IND-0.1","PERFIL_NO_CONSTITUIDO",IF(G14&lt;&gt;"INDIVIDUAL_INSTALAR","AMBITO_RESULTADO",IF(NOT(OR(H14="orcNotStarted",H14="orcInProgress",H14="orcSucceeded",H14="orcSucceededWithErrors",H14="orcFailed",H14="orcAborted")),"RESULTADO_DESCONOCIDO",IF(H14&lt;&gt;"orcSucceeded","RESULTADO_INSTALACION",IF(N14="NO_ADMISION",IF(I14="UNICA","LEXEMA_NO_BOOLEANO","OBSERVACION_MAL_FORMADA"),IF(I14="AUSENTE","DATO_AUSENTE",IF(I14="CONFLICTO","CONFLICTO_OBSERVACIONAL",IF(J14="true","REQUISITO_SI","REQUISITO_NO"))))))))))))</x:f>
        <x:v>AMBITO_RESULTADO</x:v>
      </x:c>
      <x:c r="Q14" s="12" t="str">
        <x:f>IF(AND(K14=N14,L14=O14,M14=P14),"PASA","NO_PASA")</x:f>
        <x:v>PASA</x:v>
      </x:c>
      <x:c r="R14" s="4" t="str">
        <x:v>Desinstalación tiene otra identidad operacional.</x:v>
      </x:c>
    </x:row>
    <x:row r="15" ht="47" customHeight="1">
      <x:c r="A15" s="4" t="str">
        <x:v>TA-11</x:v>
      </x:c>
      <x:c r="B15" s="4" t="str">
        <x:v>FRONTERA</x:v>
      </x:c>
      <x:c r="C15" s="4" t="str">
        <x:v>WUA-IND-0.1</x:v>
      </x:c>
      <x:c r="D15" s="4" t="str">
        <x:v>COINCIDE</x:v>
      </x:c>
      <x:c r="E15" s="4" t="str">
        <x:v>ADMITIDA</x:v>
      </x:c>
      <x:c r="F15" s="4" t="str">
        <x:v>LEGIBLE</x:v>
      </x:c>
      <x:c r="G15" s="4" t="str">
        <x:v>INDIVIDUAL_INSTALAR</x:v>
      </x:c>
      <x:c r="H15" s="4" t="str">
        <x:v>orcFailed</x:v>
      </x:c>
      <x:c r="I15" s="4" t="str">
        <x:v>UNICA</x:v>
      </x:c>
      <x:c r="J15" s="4" t="str">
        <x:v>true</x:v>
      </x:c>
      <x:c r="K15" s="4" t="str">
        <x:v>FUERA_PERFIL</x:v>
      </x:c>
      <x:c r="L15" s="4" t="str"/>
      <x:c r="M15" s="4" t="str">
        <x:v>RESULTADO_INSTALACION</x:v>
      </x:c>
      <x:c r="N15" s="12" t="str">
        <x:f>IF(F15="FALLO","FALLO_CAPTURA",IF(F15&lt;&gt;"LEGIBLE","NO_ADMISION",IF(D15&lt;&gt;"COINCIDE","NO_ADMISION",IF(E15&lt;&gt;"ADMITIDA","NO_ADMISION",IF(C15&lt;&gt;"WUA-IND-0.1","FUERA_PERFIL",IF(G15&lt;&gt;"INDIVIDUAL_INSTALAR","FUERA_PERFIL",IF(NOT(OR(H15="orcNotStarted",H15="orcInProgress",H15="orcSucceeded",H15="orcSucceededWithErrors",H15="orcFailed",H15="orcAborted")),"NO_ADMISION",IF(H15&lt;&gt;"orcSucceeded","FUERA_PERFIL",IF(OR(AND(I15="AUSENTE",J15=""),AND(I15="CONFLICTO",J15="true|false"),AND(I15="UNICA",OR(J15="true",J15="false"))),"VALIDA","NO_ADMISION")))))))))</x:f>
        <x:v>FUERA_PERFIL</x:v>
      </x:c>
      <x:c r="O15" s="12" t="str">
        <x:f>IF(N15&lt;&gt;"VALIDA","",IF(I15&lt;&gt;"UNICA","U",IF(J15="true","1","0")))</x:f>
      </x:c>
      <x:c r="P15" s="12" t="str">
        <x:f>IF(F15="FALLO","SIN_EJECUCION_DOMINIO",IF(F15&lt;&gt;"LEGIBLE","CAPTURA_MAL_FORMADA",IF(D15&lt;&gt;"COINCIDE","IDENTIDAD",IF(E15&lt;&gt;"ADMITIDA","PROCEDENCIA",IF(C15&lt;&gt;"WUA-IND-0.1","PERFIL_NO_CONSTITUIDO",IF(G15&lt;&gt;"INDIVIDUAL_INSTALAR","AMBITO_RESULTADO",IF(NOT(OR(H15="orcNotStarted",H15="orcInProgress",H15="orcSucceeded",H15="orcSucceededWithErrors",H15="orcFailed",H15="orcAborted")),"RESULTADO_DESCONOCIDO",IF(H15&lt;&gt;"orcSucceeded","RESULTADO_INSTALACION",IF(N15="NO_ADMISION",IF(I15="UNICA","LEXEMA_NO_BOOLEANO","OBSERVACION_MAL_FORMADA"),IF(I15="AUSENTE","DATO_AUSENTE",IF(I15="CONFLICTO","CONFLICTO_OBSERVACIONAL",IF(J15="true","REQUISITO_SI","REQUISITO_NO"))))))))))))</x:f>
        <x:v>RESULTADO_INSTALACION</x:v>
      </x:c>
      <x:c r="Q15" s="12" t="str">
        <x:f>IF(AND(K15=N15,L15=O15,M15=P15),"PASA","NO_PASA")</x:f>
        <x:v>PASA</x:v>
      </x:c>
      <x:c r="R15" s="4" t="str">
        <x:v>Fallo observado de instalación ≠ fallo técnico del evaluador.</x:v>
      </x:c>
    </x:row>
    <x:row r="16" ht="47" customHeight="1">
      <x:c r="A16" s="4" t="str">
        <x:v>TA-12</x:v>
      </x:c>
      <x:c r="B16" s="4" t="str">
        <x:v>FRONTERA</x:v>
      </x:c>
      <x:c r="C16" s="4" t="str">
        <x:v>WUA-IND-0.1</x:v>
      </x:c>
      <x:c r="D16" s="4" t="str">
        <x:v>COINCIDE</x:v>
      </x:c>
      <x:c r="E16" s="4" t="str">
        <x:v>ADMITIDA</x:v>
      </x:c>
      <x:c r="F16" s="4" t="str">
        <x:v>LEGIBLE</x:v>
      </x:c>
      <x:c r="G16" s="4" t="str">
        <x:v>INDIVIDUAL_INSTALAR</x:v>
      </x:c>
      <x:c r="H16" s="4" t="str">
        <x:v>orcSucceededWithErrors</x:v>
      </x:c>
      <x:c r="I16" s="4" t="str">
        <x:v>UNICA</x:v>
      </x:c>
      <x:c r="J16" s="4" t="str">
        <x:v>true</x:v>
      </x:c>
      <x:c r="K16" s="4" t="str">
        <x:v>FUERA_PERFIL</x:v>
      </x:c>
      <x:c r="L16" s="4" t="str"/>
      <x:c r="M16" s="4" t="str">
        <x:v>RESULTADO_INSTALACION</x:v>
      </x:c>
      <x:c r="N16" s="12" t="str">
        <x:f>IF(F16="FALLO","FALLO_CAPTURA",IF(F16&lt;&gt;"LEGIBLE","NO_ADMISION",IF(D16&lt;&gt;"COINCIDE","NO_ADMISION",IF(E16&lt;&gt;"ADMITIDA","NO_ADMISION",IF(C16&lt;&gt;"WUA-IND-0.1","FUERA_PERFIL",IF(G16&lt;&gt;"INDIVIDUAL_INSTALAR","FUERA_PERFIL",IF(NOT(OR(H16="orcNotStarted",H16="orcInProgress",H16="orcSucceeded",H16="orcSucceededWithErrors",H16="orcFailed",H16="orcAborted")),"NO_ADMISION",IF(H16&lt;&gt;"orcSucceeded","FUERA_PERFIL",IF(OR(AND(I16="AUSENTE",J16=""),AND(I16="CONFLICTO",J16="true|false"),AND(I16="UNICA",OR(J16="true",J16="false"))),"VALIDA","NO_ADMISION")))))))))</x:f>
        <x:v>FUERA_PERFIL</x:v>
      </x:c>
      <x:c r="O16" s="12" t="str">
        <x:f>IF(N16&lt;&gt;"VALIDA","",IF(I16&lt;&gt;"UNICA","U",IF(J16="true","1","0")))</x:f>
      </x:c>
      <x:c r="P16" s="12" t="str">
        <x:f>IF(F16="FALLO","SIN_EJECUCION_DOMINIO",IF(F16&lt;&gt;"LEGIBLE","CAPTURA_MAL_FORMADA",IF(D16&lt;&gt;"COINCIDE","IDENTIDAD",IF(E16&lt;&gt;"ADMITIDA","PROCEDENCIA",IF(C16&lt;&gt;"WUA-IND-0.1","PERFIL_NO_CONSTITUIDO",IF(G16&lt;&gt;"INDIVIDUAL_INSTALAR","AMBITO_RESULTADO",IF(NOT(OR(H16="orcNotStarted",H16="orcInProgress",H16="orcSucceeded",H16="orcSucceededWithErrors",H16="orcFailed",H16="orcAborted")),"RESULTADO_DESCONOCIDO",IF(H16&lt;&gt;"orcSucceeded","RESULTADO_INSTALACION",IF(N16="NO_ADMISION",IF(I16="UNICA","LEXEMA_NO_BOOLEANO","OBSERVACION_MAL_FORMADA"),IF(I16="AUSENTE","DATO_AUSENTE",IF(I16="CONFLICTO","CONFLICTO_OBSERVACIONAL",IF(J16="true","REQUISITO_SI","REQUISITO_NO"))))))))))))</x:f>
        <x:v>RESULTADO_INSTALACION</x:v>
      </x:c>
      <x:c r="Q16" s="12" t="str">
        <x:f>IF(AND(K16=N16,L16=O16,M16=P16),"PASA","NO_PASA")</x:f>
        <x:v>PASA</x:v>
      </x:c>
      <x:c r="R16" s="4" t="str">
        <x:v>No equiparar éxito parcial con el perfil exacto.</x:v>
      </x:c>
    </x:row>
    <x:row r="17" ht="47" customHeight="1">
      <x:c r="A17" s="4" t="str">
        <x:v>TA-13</x:v>
      </x:c>
      <x:c r="B17" s="4" t="str">
        <x:v>FRONTERA</x:v>
      </x:c>
      <x:c r="C17" s="4" t="str">
        <x:v>WUA-IND-0.1</x:v>
      </x:c>
      <x:c r="D17" s="4" t="str">
        <x:v>COINCIDE</x:v>
      </x:c>
      <x:c r="E17" s="4" t="str">
        <x:v>ADMITIDA</x:v>
      </x:c>
      <x:c r="F17" s="4" t="str">
        <x:v>LEGIBLE</x:v>
      </x:c>
      <x:c r="G17" s="4" t="str">
        <x:v>INDIVIDUAL_INSTALAR</x:v>
      </x:c>
      <x:c r="H17" s="4" t="str">
        <x:v>orcInProgress</x:v>
      </x:c>
      <x:c r="I17" s="4" t="str">
        <x:v>UNICA</x:v>
      </x:c>
      <x:c r="J17" s="4" t="str">
        <x:v>true</x:v>
      </x:c>
      <x:c r="K17" s="4" t="str">
        <x:v>FUERA_PERFIL</x:v>
      </x:c>
      <x:c r="L17" s="4" t="str"/>
      <x:c r="M17" s="4" t="str">
        <x:v>RESULTADO_INSTALACION</x:v>
      </x:c>
      <x:c r="N17" s="12" t="str">
        <x:f>IF(F17="FALLO","FALLO_CAPTURA",IF(F17&lt;&gt;"LEGIBLE","NO_ADMISION",IF(D17&lt;&gt;"COINCIDE","NO_ADMISION",IF(E17&lt;&gt;"ADMITIDA","NO_ADMISION",IF(C17&lt;&gt;"WUA-IND-0.1","FUERA_PERFIL",IF(G17&lt;&gt;"INDIVIDUAL_INSTALAR","FUERA_PERFIL",IF(NOT(OR(H17="orcNotStarted",H17="orcInProgress",H17="orcSucceeded",H17="orcSucceededWithErrors",H17="orcFailed",H17="orcAborted")),"NO_ADMISION",IF(H17&lt;&gt;"orcSucceeded","FUERA_PERFIL",IF(OR(AND(I17="AUSENTE",J17=""),AND(I17="CONFLICTO",J17="true|false"),AND(I17="UNICA",OR(J17="true",J17="false"))),"VALIDA","NO_ADMISION")))))))))</x:f>
        <x:v>FUERA_PERFIL</x:v>
      </x:c>
      <x:c r="O17" s="12" t="str">
        <x:f>IF(N17&lt;&gt;"VALIDA","",IF(I17&lt;&gt;"UNICA","U",IF(J17="true","1","0")))</x:f>
      </x:c>
      <x:c r="P17" s="12" t="str">
        <x:f>IF(F17="FALLO","SIN_EJECUCION_DOMINIO",IF(F17&lt;&gt;"LEGIBLE","CAPTURA_MAL_FORMADA",IF(D17&lt;&gt;"COINCIDE","IDENTIDAD",IF(E17&lt;&gt;"ADMITIDA","PROCEDENCIA",IF(C17&lt;&gt;"WUA-IND-0.1","PERFIL_NO_CONSTITUIDO",IF(G17&lt;&gt;"INDIVIDUAL_INSTALAR","AMBITO_RESULTADO",IF(NOT(OR(H17="orcNotStarted",H17="orcInProgress",H17="orcSucceeded",H17="orcSucceededWithErrors",H17="orcFailed",H17="orcAborted")),"RESULTADO_DESCONOCIDO",IF(H17&lt;&gt;"orcSucceeded","RESULTADO_INSTALACION",IF(N17="NO_ADMISION",IF(I17="UNICA","LEXEMA_NO_BOOLEANO","OBSERVACION_MAL_FORMADA"),IF(I17="AUSENTE","DATO_AUSENTE",IF(I17="CONFLICTO","CONFLICTO_OBSERVACIONAL",IF(J17="true","REQUISITO_SI","REQUISITO_NO"))))))))))))</x:f>
        <x:v>RESULTADO_INSTALACION</x:v>
      </x:c>
      <x:c r="Q17" s="12" t="str">
        <x:f>IF(AND(K17=N17,L17=O17,M17=P17),"PASA","NO_PASA")</x:f>
        <x:v>PASA</x:v>
      </x:c>
      <x:c r="R17" s="4" t="str">
        <x:v>No usar un resultado aún no terminal.</x:v>
      </x:c>
    </x:row>
    <x:row r="18" ht="47" customHeight="1">
      <x:c r="A18" s="4" t="str">
        <x:v>TA-14</x:v>
      </x:c>
      <x:c r="B18" s="4" t="str">
        <x:v>TIPO</x:v>
      </x:c>
      <x:c r="C18" s="4" t="str">
        <x:v>WUA-IND-0.1</x:v>
      </x:c>
      <x:c r="D18" s="4" t="str">
        <x:v>COINCIDE</x:v>
      </x:c>
      <x:c r="E18" s="4" t="str">
        <x:v>ADMITIDA</x:v>
      </x:c>
      <x:c r="F18" s="4" t="str">
        <x:v>LEGIBLE</x:v>
      </x:c>
      <x:c r="G18" s="4" t="str">
        <x:v>INDIVIDUAL_INSTALAR</x:v>
      </x:c>
      <x:c r="H18" s="4" t="str">
        <x:v>orcSucceeded</x:v>
      </x:c>
      <x:c r="I18" s="4" t="str">
        <x:v>UNICA</x:v>
      </x:c>
      <x:c r="J18" s="4" t="str">
        <x:v>1</x:v>
      </x:c>
      <x:c r="K18" s="4" t="str">
        <x:v>NO_ADMISION</x:v>
      </x:c>
      <x:c r="L18" s="4" t="str"/>
      <x:c r="M18" s="4" t="str">
        <x:v>LEXEMA_NO_BOOLEANO</x:v>
      </x:c>
      <x:c r="N18" s="12" t="str">
        <x:f>IF(F18="FALLO","FALLO_CAPTURA",IF(F18&lt;&gt;"LEGIBLE","NO_ADMISION",IF(D18&lt;&gt;"COINCIDE","NO_ADMISION",IF(E18&lt;&gt;"ADMITIDA","NO_ADMISION",IF(C18&lt;&gt;"WUA-IND-0.1","FUERA_PERFIL",IF(G18&lt;&gt;"INDIVIDUAL_INSTALAR","FUERA_PERFIL",IF(NOT(OR(H18="orcNotStarted",H18="orcInProgress",H18="orcSucceeded",H18="orcSucceededWithErrors",H18="orcFailed",H18="orcAborted")),"NO_ADMISION",IF(H18&lt;&gt;"orcSucceeded","FUERA_PERFIL",IF(OR(AND(I18="AUSENTE",J18=""),AND(I18="CONFLICTO",J18="true|false"),AND(I18="UNICA",OR(J18="true",J18="false"))),"VALIDA","NO_ADMISION")))))))))</x:f>
        <x:v>NO_ADMISION</x:v>
      </x:c>
      <x:c r="O18" s="12" t="str">
        <x:f>IF(N18&lt;&gt;"VALIDA","",IF(I18&lt;&gt;"UNICA","U",IF(J18="true","1","0")))</x:f>
      </x:c>
      <x:c r="P18" s="12" t="str">
        <x:f>IF(F18="FALLO","SIN_EJECUCION_DOMINIO",IF(F18&lt;&gt;"LEGIBLE","CAPTURA_MAL_FORMADA",IF(D18&lt;&gt;"COINCIDE","IDENTIDAD",IF(E18&lt;&gt;"ADMITIDA","PROCEDENCIA",IF(C18&lt;&gt;"WUA-IND-0.1","PERFIL_NO_CONSTITUIDO",IF(G18&lt;&gt;"INDIVIDUAL_INSTALAR","AMBITO_RESULTADO",IF(NOT(OR(H18="orcNotStarted",H18="orcInProgress",H18="orcSucceeded",H18="orcSucceededWithErrors",H18="orcFailed",H18="orcAborted")),"RESULTADO_DESCONOCIDO",IF(H18&lt;&gt;"orcSucceeded","RESULTADO_INSTALACION",IF(N18="NO_ADMISION",IF(I18="UNICA","LEXEMA_NO_BOOLEANO","OBSERVACION_MAL_FORMADA"),IF(I18="AUSENTE","DATO_AUSENTE",IF(I18="CONFLICTO","CONFLICTO_OBSERVACIONAL",IF(J18="true","REQUISITO_SI","REQUISITO_NO"))))))))))))</x:f>
        <x:v>LEXEMA_NO_BOOLEANO</x:v>
      </x:c>
      <x:c r="Q18" s="12" t="str">
        <x:f>IF(AND(K18=N18,L18=O18,M18=P18),"PASA","NO_PASA")</x:f>
        <x:v>PASA</x:v>
      </x:c>
      <x:c r="R18" s="4" t="str">
        <x:v>No convertir un entero en booleano implícitamente.</x:v>
      </x:c>
    </x:row>
    <x:row r="19" ht="47" customHeight="1">
      <x:c r="A19" s="4" t="str">
        <x:v>TA-15</x:v>
      </x:c>
      <x:c r="B19" s="4" t="str">
        <x:v>TIPO</x:v>
      </x:c>
      <x:c r="C19" s="4" t="str">
        <x:v>WUA-IND-0.1</x:v>
      </x:c>
      <x:c r="D19" s="4" t="str">
        <x:v>COINCIDE</x:v>
      </x:c>
      <x:c r="E19" s="4" t="str">
        <x:v>ADMITIDA</x:v>
      </x:c>
      <x:c r="F19" s="4" t="str">
        <x:v>LEGIBLE</x:v>
      </x:c>
      <x:c r="G19" s="4" t="str">
        <x:v>INDIVIDUAL_INSTALAR</x:v>
      </x:c>
      <x:c r="H19" s="4" t="str">
        <x:v>orcSucceeded</x:v>
      </x:c>
      <x:c r="I19" s="4" t="str">
        <x:v>UNICA</x:v>
      </x:c>
      <x:c r="J19" s="4" t="str">
        <x:v>"false"</x:v>
      </x:c>
      <x:c r="K19" s="4" t="str">
        <x:v>NO_ADMISION</x:v>
      </x:c>
      <x:c r="L19" s="4" t="str"/>
      <x:c r="M19" s="4" t="str">
        <x:v>LEXEMA_NO_BOOLEANO</x:v>
      </x:c>
      <x:c r="N19" s="12" t="str">
        <x:f>IF(F19="FALLO","FALLO_CAPTURA",IF(F19&lt;&gt;"LEGIBLE","NO_ADMISION",IF(D19&lt;&gt;"COINCIDE","NO_ADMISION",IF(E19&lt;&gt;"ADMITIDA","NO_ADMISION",IF(C19&lt;&gt;"WUA-IND-0.1","FUERA_PERFIL",IF(G19&lt;&gt;"INDIVIDUAL_INSTALAR","FUERA_PERFIL",IF(NOT(OR(H19="orcNotStarted",H19="orcInProgress",H19="orcSucceeded",H19="orcSucceededWithErrors",H19="orcFailed",H19="orcAborted")),"NO_ADMISION",IF(H19&lt;&gt;"orcSucceeded","FUERA_PERFIL",IF(OR(AND(I19="AUSENTE",J19=""),AND(I19="CONFLICTO",J19="true|false"),AND(I19="UNICA",OR(J19="true",J19="false"))),"VALIDA","NO_ADMISION")))))))))</x:f>
        <x:v>NO_ADMISION</x:v>
      </x:c>
      <x:c r="O19" s="12" t="str">
        <x:f>IF(N19&lt;&gt;"VALIDA","",IF(I19&lt;&gt;"UNICA","U",IF(J19="true","1","0")))</x:f>
      </x:c>
      <x:c r="P19" s="12" t="str">
        <x:f>IF(F19="FALLO","SIN_EJECUCION_DOMINIO",IF(F19&lt;&gt;"LEGIBLE","CAPTURA_MAL_FORMADA",IF(D19&lt;&gt;"COINCIDE","IDENTIDAD",IF(E19&lt;&gt;"ADMITIDA","PROCEDENCIA",IF(C19&lt;&gt;"WUA-IND-0.1","PERFIL_NO_CONSTITUIDO",IF(G19&lt;&gt;"INDIVIDUAL_INSTALAR","AMBITO_RESULTADO",IF(NOT(OR(H19="orcNotStarted",H19="orcInProgress",H19="orcSucceeded",H19="orcSucceededWithErrors",H19="orcFailed",H19="orcAborted")),"RESULTADO_DESCONOCIDO",IF(H19&lt;&gt;"orcSucceeded","RESULTADO_INSTALACION",IF(N19="NO_ADMISION",IF(I19="UNICA","LEXEMA_NO_BOOLEANO","OBSERVACION_MAL_FORMADA"),IF(I19="AUSENTE","DATO_AUSENTE",IF(I19="CONFLICTO","CONFLICTO_OBSERVACIONAL",IF(J19="true","REQUISITO_SI","REQUISITO_NO"))))))))))))</x:f>
        <x:v>LEXEMA_NO_BOOLEANO</x:v>
      </x:c>
      <x:c r="Q19" s="12" t="str">
        <x:f>IF(AND(K19=N19,L19=O19,M19=P19),"PASA","NO_PASA")</x:f>
        <x:v>PASA</x:v>
      </x:c>
      <x:c r="R19" s="4" t="str">
        <x:v>La cadena no es el lexema booleano false.</x:v>
      </x:c>
    </x:row>
    <x:row r="20" ht="47" customHeight="1">
      <x:c r="A20" s="4" t="str">
        <x:v>TA-16</x:v>
      </x:c>
      <x:c r="B20" s="4" t="str">
        <x:v>TIPO</x:v>
      </x:c>
      <x:c r="C20" s="4" t="str">
        <x:v>WUA-IND-0.1</x:v>
      </x:c>
      <x:c r="D20" s="4" t="str">
        <x:v>COINCIDE</x:v>
      </x:c>
      <x:c r="E20" s="4" t="str">
        <x:v>ADMITIDA</x:v>
      </x:c>
      <x:c r="F20" s="4" t="str">
        <x:v>LEGIBLE</x:v>
      </x:c>
      <x:c r="G20" s="4" t="str">
        <x:v>INDIVIDUAL_INSTALAR</x:v>
      </x:c>
      <x:c r="H20" s="4" t="str">
        <x:v>orcSucceeded</x:v>
      </x:c>
      <x:c r="I20" s="4" t="str">
        <x:v>UNICA</x:v>
      </x:c>
      <x:c r="J20" s="4" t="str">
        <x:v>irbCanRequestReboot</x:v>
      </x:c>
      <x:c r="K20" s="4" t="str">
        <x:v>NO_ADMISION</x:v>
      </x:c>
      <x:c r="L20" s="4" t="str"/>
      <x:c r="M20" s="4" t="str">
        <x:v>LEXEMA_NO_BOOLEANO</x:v>
      </x:c>
      <x:c r="N20" s="12" t="str">
        <x:f>IF(F20="FALLO","FALLO_CAPTURA",IF(F20&lt;&gt;"LEGIBLE","NO_ADMISION",IF(D20&lt;&gt;"COINCIDE","NO_ADMISION",IF(E20&lt;&gt;"ADMITIDA","NO_ADMISION",IF(C20&lt;&gt;"WUA-IND-0.1","FUERA_PERFIL",IF(G20&lt;&gt;"INDIVIDUAL_INSTALAR","FUERA_PERFIL",IF(NOT(OR(H20="orcNotStarted",H20="orcInProgress",H20="orcSucceeded",H20="orcSucceededWithErrors",H20="orcFailed",H20="orcAborted")),"NO_ADMISION",IF(H20&lt;&gt;"orcSucceeded","FUERA_PERFIL",IF(OR(AND(I20="AUSENTE",J20=""),AND(I20="CONFLICTO",J20="true|false"),AND(I20="UNICA",OR(J20="true",J20="false"))),"VALIDA","NO_ADMISION")))))))))</x:f>
        <x:v>NO_ADMISION</x:v>
      </x:c>
      <x:c r="O20" s="12" t="str">
        <x:f>IF(N20&lt;&gt;"VALIDA","",IF(I20&lt;&gt;"UNICA","U",IF(J20="true","1","0")))</x:f>
      </x:c>
      <x:c r="P20" s="12" t="str">
        <x:f>IF(F20="FALLO","SIN_EJECUCION_DOMINIO",IF(F20&lt;&gt;"LEGIBLE","CAPTURA_MAL_FORMADA",IF(D20&lt;&gt;"COINCIDE","IDENTIDAD",IF(E20&lt;&gt;"ADMITIDA","PROCEDENCIA",IF(C20&lt;&gt;"WUA-IND-0.1","PERFIL_NO_CONSTITUIDO",IF(G20&lt;&gt;"INDIVIDUAL_INSTALAR","AMBITO_RESULTADO",IF(NOT(OR(H20="orcNotStarted",H20="orcInProgress",H20="orcSucceeded",H20="orcSucceededWithErrors",H20="orcFailed",H20="orcAborted")),"RESULTADO_DESCONOCIDO",IF(H20&lt;&gt;"orcSucceeded","RESULTADO_INSTALACION",IF(N20="NO_ADMISION",IF(I20="UNICA","LEXEMA_NO_BOOLEANO","OBSERVACION_MAL_FORMADA"),IF(I20="AUSENTE","DATO_AUSENTE",IF(I20="CONFLICTO","CONFLICTO_OBSERVACIONAL",IF(J20="true","REQUISITO_SI","REQUISITO_NO"))))))))))))</x:f>
        <x:v>LEXEMA_NO_BOOLEANO</x:v>
      </x:c>
      <x:c r="Q20" s="12" t="str">
        <x:f>IF(AND(K20=N20,L20=O20,M20=P20),"PASA","NO_PASA")</x:f>
        <x:v>PASA</x:v>
      </x:c>
      <x:c r="R20" s="4" t="str">
        <x:v>Una predicción del paquete no es el resultado de esa instalación.</x:v>
      </x:c>
    </x:row>
    <x:row r="21" ht="47" customHeight="1">
      <x:c r="A21" s="4" t="str">
        <x:v>TA-17</x:v>
      </x:c>
      <x:c r="B21" s="4" t="str">
        <x:v>TIPO</x:v>
      </x:c>
      <x:c r="C21" s="4" t="str">
        <x:v>WUA-IND-0.1</x:v>
      </x:c>
      <x:c r="D21" s="4" t="str">
        <x:v>COINCIDE</x:v>
      </x:c>
      <x:c r="E21" s="4" t="str">
        <x:v>ADMITIDA</x:v>
      </x:c>
      <x:c r="F21" s="4" t="str">
        <x:v>LEGIBLE</x:v>
      </x:c>
      <x:c r="G21" s="4" t="str">
        <x:v>INDIVIDUAL_INSTALAR</x:v>
      </x:c>
      <x:c r="H21" s="4" t="str">
        <x:v>orcSucceeded</x:v>
      </x:c>
      <x:c r="I21" s="4" t="str">
        <x:v>UNICA</x:v>
      </x:c>
      <x:c r="J21" s="4" t="str"/>
      <x:c r="K21" s="4" t="str">
        <x:v>NO_ADMISION</x:v>
      </x:c>
      <x:c r="L21" s="4" t="str"/>
      <x:c r="M21" s="4" t="str">
        <x:v>LEXEMA_NO_BOOLEANO</x:v>
      </x:c>
      <x:c r="N21" s="12" t="str">
        <x:f>IF(F21="FALLO","FALLO_CAPTURA",IF(F21&lt;&gt;"LEGIBLE","NO_ADMISION",IF(D21&lt;&gt;"COINCIDE","NO_ADMISION",IF(E21&lt;&gt;"ADMITIDA","NO_ADMISION",IF(C21&lt;&gt;"WUA-IND-0.1","FUERA_PERFIL",IF(G21&lt;&gt;"INDIVIDUAL_INSTALAR","FUERA_PERFIL",IF(NOT(OR(H21="orcNotStarted",H21="orcInProgress",H21="orcSucceeded",H21="orcSucceededWithErrors",H21="orcFailed",H21="orcAborted")),"NO_ADMISION",IF(H21&lt;&gt;"orcSucceeded","FUERA_PERFIL",IF(OR(AND(I21="AUSENTE",J21=""),AND(I21="CONFLICTO",J21="true|false"),AND(I21="UNICA",OR(J21="true",J21="false"))),"VALIDA","NO_ADMISION")))))))))</x:f>
        <x:v>NO_ADMISION</x:v>
      </x:c>
      <x:c r="O21" s="12" t="str">
        <x:f>IF(N21&lt;&gt;"VALIDA","",IF(I21&lt;&gt;"UNICA","U",IF(J21="true","1","0")))</x:f>
      </x:c>
      <x:c r="P21" s="12" t="str">
        <x:f>IF(F21="FALLO","SIN_EJECUCION_DOMINIO",IF(F21&lt;&gt;"LEGIBLE","CAPTURA_MAL_FORMADA",IF(D21&lt;&gt;"COINCIDE","IDENTIDAD",IF(E21&lt;&gt;"ADMITIDA","PROCEDENCIA",IF(C21&lt;&gt;"WUA-IND-0.1","PERFIL_NO_CONSTITUIDO",IF(G21&lt;&gt;"INDIVIDUAL_INSTALAR","AMBITO_RESULTADO",IF(NOT(OR(H21="orcNotStarted",H21="orcInProgress",H21="orcSucceeded",H21="orcSucceededWithErrors",H21="orcFailed",H21="orcAborted")),"RESULTADO_DESCONOCIDO",IF(H21&lt;&gt;"orcSucceeded","RESULTADO_INSTALACION",IF(N21="NO_ADMISION",IF(I21="UNICA","LEXEMA_NO_BOOLEANO","OBSERVACION_MAL_FORMADA"),IF(I21="AUSENTE","DATO_AUSENTE",IF(I21="CONFLICTO","CONFLICTO_OBSERVACIONAL",IF(J21="true","REQUISITO_SI","REQUISITO_NO"))))))))))))</x:f>
        <x:v>LEXEMA_NO_BOOLEANO</x:v>
      </x:c>
      <x:c r="Q21" s="12" t="str">
        <x:f>IF(AND(K21=N21,L21=O21,M21=P21),"PASA","NO_PASA")</x:f>
        <x:v>PASA</x:v>
      </x:c>
      <x:c r="R21" s="4" t="str">
        <x:v>Celda vacía sin ausencia declarada es entrada mal formada.</x:v>
      </x:c>
    </x:row>
    <x:row r="22" ht="47" customHeight="1">
      <x:c r="A22" s="4" t="str">
        <x:v>TA-18</x:v>
      </x:c>
      <x:c r="B22" s="4" t="str">
        <x:v>SEMANTICA</x:v>
      </x:c>
      <x:c r="C22" s="4" t="str">
        <x:v>WUA-IND-0.1</x:v>
      </x:c>
      <x:c r="D22" s="4" t="str">
        <x:v>COINCIDE</x:v>
      </x:c>
      <x:c r="E22" s="4" t="str">
        <x:v>ADMITIDA</x:v>
      </x:c>
      <x:c r="F22" s="4" t="str">
        <x:v>LEGIBLE</x:v>
      </x:c>
      <x:c r="G22" s="4" t="str">
        <x:v>INDIVIDUAL_INSTALAR</x:v>
      </x:c>
      <x:c r="H22" s="4" t="str">
        <x:v>orcSucceeded</x:v>
      </x:c>
      <x:c r="I22" s="4" t="str">
        <x:v>UNICA</x:v>
      </x:c>
      <x:c r="J22" s="4" t="str">
        <x:v>false</x:v>
      </x:c>
      <x:c r="K22" s="4" t="str">
        <x:v>VALIDA</x:v>
      </x:c>
      <x:c r="L22" s="4" t="str">
        <x:v>0</x:v>
      </x:c>
      <x:c r="M22" s="4" t="str">
        <x:v>REQUISITO_NO</x:v>
      </x:c>
      <x:c r="N22" s="12" t="str">
        <x:f>IF(F22="FALLO","FALLO_CAPTURA",IF(F22&lt;&gt;"LEGIBLE","NO_ADMISION",IF(D22&lt;&gt;"COINCIDE","NO_ADMISION",IF(E22&lt;&gt;"ADMITIDA","NO_ADMISION",IF(C22&lt;&gt;"WUA-IND-0.1","FUERA_PERFIL",IF(G22&lt;&gt;"INDIVIDUAL_INSTALAR","FUERA_PERFIL",IF(NOT(OR(H22="orcNotStarted",H22="orcInProgress",H22="orcSucceeded",H22="orcSucceededWithErrors",H22="orcFailed",H22="orcAborted")),"NO_ADMISION",IF(H22&lt;&gt;"orcSucceeded","FUERA_PERFIL",IF(OR(AND(I22="AUSENTE",J22=""),AND(I22="CONFLICTO",J22="true|false"),AND(I22="UNICA",OR(J22="true",J22="false"))),"VALIDA","NO_ADMISION")))))))))</x:f>
        <x:v>VALIDA</x:v>
      </x:c>
      <x:c r="O22" s="12" t="str">
        <x:f>IF(N22&lt;&gt;"VALIDA","",IF(I22&lt;&gt;"UNICA","U",IF(J22="true","1","0")))</x:f>
        <x:v>0</x:v>
      </x:c>
      <x:c r="P22" s="12" t="str">
        <x:f>IF(F22="FALLO","SIN_EJECUCION_DOMINIO",IF(F22&lt;&gt;"LEGIBLE","CAPTURA_MAL_FORMADA",IF(D22&lt;&gt;"COINCIDE","IDENTIDAD",IF(E22&lt;&gt;"ADMITIDA","PROCEDENCIA",IF(C22&lt;&gt;"WUA-IND-0.1","PERFIL_NO_CONSTITUIDO",IF(G22&lt;&gt;"INDIVIDUAL_INSTALAR","AMBITO_RESULTADO",IF(NOT(OR(H22="orcNotStarted",H22="orcInProgress",H22="orcSucceeded",H22="orcSucceededWithErrors",H22="orcFailed",H22="orcAborted")),"RESULTADO_DESCONOCIDO",IF(H22&lt;&gt;"orcSucceeded","RESULTADO_INSTALACION",IF(N22="NO_ADMISION",IF(I22="UNICA","LEXEMA_NO_BOOLEANO","OBSERVACION_MAL_FORMADA"),IF(I22="AUSENTE","DATO_AUSENTE",IF(I22="CONFLICTO","CONFLICTO_OBSERVACIONAL",IF(J22="true","REQUISITO_SI","REQUISITO_NO"))))))))))))</x:f>
        <x:v>REQUISITO_NO</x:v>
      </x:c>
      <x:c r="Q22" s="12" t="str">
        <x:f>IF(AND(K22=N22,L22=O22,M22=P22),"PASA","NO_PASA")</x:f>
        <x:v>PASA</x:v>
      </x:c>
      <x:c r="R22" s="4" t="str">
        <x:v>0 sólo resuelve el reinicio del sistema; no las demás condiciones.</x:v>
      </x:c>
    </x:row>
    <x:row r="23" ht="47" customHeight="1">
      <x:c r="A23" s="4" t="str">
        <x:v>TI-01</x:v>
      </x:c>
      <x:c r="B23" s="4" t="str">
        <x:v>TIEMPO</x:v>
      </x:c>
      <x:c r="C23" s="4" t="str">
        <x:v>WUA-IND-0.1</x:v>
      </x:c>
      <x:c r="D23" s="4" t="str">
        <x:v>COINCIDE</x:v>
      </x:c>
      <x:c r="E23" s="4" t="str">
        <x:v>ADMITIDA</x:v>
      </x:c>
      <x:c r="F23" s="4" t="str">
        <x:v>LEGIBLE</x:v>
      </x:c>
      <x:c r="G23" s="4" t="str">
        <x:v>INDIVIDUAL_INSTALAR</x:v>
      </x:c>
      <x:c r="H23" s="4" t="str">
        <x:v>orcSucceeded</x:v>
      </x:c>
      <x:c r="I23" s="4" t="str">
        <x:v>UNICA</x:v>
      </x:c>
      <x:c r="J23" s="4" t="str">
        <x:v>true</x:v>
      </x:c>
      <x:c r="K23" s="4" t="str">
        <x:v>VALIDA</x:v>
      </x:c>
      <x:c r="L23" s="4" t="str">
        <x:v>1</x:v>
      </x:c>
      <x:c r="M23" s="4" t="str">
        <x:v>REQUISITO_SI</x:v>
      </x:c>
      <x:c r="N23" s="12" t="str">
        <x:f>IF(F23="FALLO","FALLO_CAPTURA",IF(F23&lt;&gt;"LEGIBLE","NO_ADMISION",IF(D23&lt;&gt;"COINCIDE","NO_ADMISION",IF(E23&lt;&gt;"ADMITIDA","NO_ADMISION",IF(C23&lt;&gt;"WUA-IND-0.1","FUERA_PERFIL",IF(G23&lt;&gt;"INDIVIDUAL_INSTALAR","FUERA_PERFIL",IF(NOT(OR(H23="orcNotStarted",H23="orcInProgress",H23="orcSucceeded",H23="orcSucceededWithErrors",H23="orcFailed",H23="orcAborted")),"NO_ADMISION",IF(H23&lt;&gt;"orcSucceeded","FUERA_PERFIL",IF(OR(AND(I23="AUSENTE",J23=""),AND(I23="CONFLICTO",J23="true|false"),AND(I23="UNICA",OR(J23="true",J23="false"))),"VALIDA","NO_ADMISION")))))))))</x:f>
        <x:v>VALIDA</x:v>
      </x:c>
      <x:c r="O23" s="12" t="str">
        <x:f>IF(N23&lt;&gt;"VALIDA","",IF(I23&lt;&gt;"UNICA","U",IF(J23="true","1","0")))</x:f>
        <x:v>1</x:v>
      </x:c>
      <x:c r="P23" s="12" t="str">
        <x:f>IF(F23="FALLO","SIN_EJECUCION_DOMINIO",IF(F23&lt;&gt;"LEGIBLE","CAPTURA_MAL_FORMADA",IF(D23&lt;&gt;"COINCIDE","IDENTIDAD",IF(E23&lt;&gt;"ADMITIDA","PROCEDENCIA",IF(C23&lt;&gt;"WUA-IND-0.1","PERFIL_NO_CONSTITUIDO",IF(G23&lt;&gt;"INDIVIDUAL_INSTALAR","AMBITO_RESULTADO",IF(NOT(OR(H23="orcNotStarted",H23="orcInProgress",H23="orcSucceeded",H23="orcSucceededWithErrors",H23="orcFailed",H23="orcAborted")),"RESULTADO_DESCONOCIDO",IF(H23&lt;&gt;"orcSucceeded","RESULTADO_INSTALACION",IF(N23="NO_ADMISION",IF(I23="UNICA","LEXEMA_NO_BOOLEANO","OBSERVACION_MAL_FORMADA"),IF(I23="AUSENTE","DATO_AUSENTE",IF(I23="CONFLICTO","CONFLICTO_OBSERVACIONAL",IF(J23="true","REQUISITO_SI","REQUISITO_NO"))))))))))))</x:f>
        <x:v>REQUISITO_SI</x:v>
      </x:c>
      <x:c r="Q23" s="12" t="str">
        <x:f>IF(AND(K23=N23,L23=O23,M23=P23),"PASA","NO_PASA")</x:f>
        <x:v>PASA</x:v>
      </x:c>
      <x:c r="R23" s="4" t="str">
        <x:v>No se aporta evento posterior: no se concluye deuda actual desde el histórico.</x:v>
      </x:c>
    </x:row>
    <x:row r="24" ht="47" customHeight="1">
      <x:c r="A24" s="4" t="str">
        <x:v>TI-02</x:v>
      </x:c>
      <x:c r="B24" s="4" t="str">
        <x:v>TIEMPO</x:v>
      </x:c>
      <x:c r="C24" s="4" t="str">
        <x:v>WUA-IND-0.1</x:v>
      </x:c>
      <x:c r="D24" s="4" t="str">
        <x:v>COINCIDE</x:v>
      </x:c>
      <x:c r="E24" s="4" t="str">
        <x:v>ADMITIDA</x:v>
      </x:c>
      <x:c r="F24" s="4" t="str">
        <x:v>LEGIBLE</x:v>
      </x:c>
      <x:c r="G24" s="4" t="str">
        <x:v>INDIVIDUAL_INSTALAR</x:v>
      </x:c>
      <x:c r="H24" s="4" t="str">
        <x:v>orcSucceeded</x:v>
      </x:c>
      <x:c r="I24" s="4" t="str">
        <x:v>UNICA</x:v>
      </x:c>
      <x:c r="J24" s="4" t="str">
        <x:v>true</x:v>
      </x:c>
      <x:c r="K24" s="4" t="str">
        <x:v>VALIDA</x:v>
      </x:c>
      <x:c r="L24" s="4" t="str">
        <x:v>1</x:v>
      </x:c>
      <x:c r="M24" s="4" t="str">
        <x:v>REQUISITO_SI</x:v>
      </x:c>
      <x:c r="N24" s="12" t="str">
        <x:f>IF(F24="FALLO","FALLO_CAPTURA",IF(F24&lt;&gt;"LEGIBLE","NO_ADMISION",IF(D24&lt;&gt;"COINCIDE","NO_ADMISION",IF(E24&lt;&gt;"ADMITIDA","NO_ADMISION",IF(C24&lt;&gt;"WUA-IND-0.1","FUERA_PERFIL",IF(G24&lt;&gt;"INDIVIDUAL_INSTALAR","FUERA_PERFIL",IF(NOT(OR(H24="orcNotStarted",H24="orcInProgress",H24="orcSucceeded",H24="orcSucceededWithErrors",H24="orcFailed",H24="orcAborted")),"NO_ADMISION",IF(H24&lt;&gt;"orcSucceeded","FUERA_PERFIL",IF(OR(AND(I24="AUSENTE",J24=""),AND(I24="CONFLICTO",J24="true|false"),AND(I24="UNICA",OR(J24="true",J24="false"))),"VALIDA","NO_ADMISION")))))))))</x:f>
        <x:v>VALIDA</x:v>
      </x:c>
      <x:c r="O24" s="12" t="str">
        <x:f>IF(N24&lt;&gt;"VALIDA","",IF(I24&lt;&gt;"UNICA","U",IF(J24="true","1","0")))</x:f>
        <x:v>1</x:v>
      </x:c>
      <x:c r="P24" s="12" t="str">
        <x:f>IF(F24="FALLO","SIN_EJECUCION_DOMINIO",IF(F24&lt;&gt;"LEGIBLE","CAPTURA_MAL_FORMADA",IF(D24&lt;&gt;"COINCIDE","IDENTIDAD",IF(E24&lt;&gt;"ADMITIDA","PROCEDENCIA",IF(C24&lt;&gt;"WUA-IND-0.1","PERFIL_NO_CONSTITUIDO",IF(G24&lt;&gt;"INDIVIDUAL_INSTALAR","AMBITO_RESULTADO",IF(NOT(OR(H24="orcNotStarted",H24="orcInProgress",H24="orcSucceeded",H24="orcSucceededWithErrors",H24="orcFailed",H24="orcAborted")),"RESULTADO_DESCONOCIDO",IF(H24&lt;&gt;"orcSucceeded","RESULTADO_INSTALACION",IF(N24="NO_ADMISION",IF(I24="UNICA","LEXEMA_NO_BOOLEANO","OBSERVACION_MAL_FORMADA"),IF(I24="AUSENTE","DATO_AUSENTE",IF(I24="CONFLICTO","CONFLICTO_OBSERVACIONAL",IF(J24="true","REQUISITO_SI","REQUISITO_NO"))))))))))))</x:f>
        <x:v>REQUISITO_SI</x:v>
      </x:c>
      <x:c r="Q24" s="12" t="str">
        <x:f>IF(AND(K24=N24,L24=O24,M24=P24),"PASA","NO_PASA")</x:f>
        <x:v>PASA</x:v>
      </x:c>
      <x:c r="R24" s="4" t="str">
        <x:v>Con reinicio posterior acreditado, el requisito histórico conserva 1.</x:v>
      </x:c>
    </x:row>
    <x:row r="25" ht="47" customHeight="1">
      <x:c r="A25" s="4" t="str">
        <x:v>TI-03</x:v>
      </x:c>
      <x:c r="B25" s="4" t="str">
        <x:v>AUTORIDAD</x:v>
      </x:c>
      <x:c r="C25" s="4" t="str">
        <x:v>WUA-IND-0.1</x:v>
      </x:c>
      <x:c r="D25" s="4" t="str">
        <x:v>COINCIDE</x:v>
      </x:c>
      <x:c r="E25" s="4" t="str">
        <x:v>ADMITIDA</x:v>
      </x:c>
      <x:c r="F25" s="4" t="str">
        <x:v>LEGIBLE</x:v>
      </x:c>
      <x:c r="G25" s="4" t="str">
        <x:v>INDIVIDUAL_INSTALAR</x:v>
      </x:c>
      <x:c r="H25" s="4" t="str">
        <x:v>orcSucceeded</x:v>
      </x:c>
      <x:c r="I25" s="4" t="str">
        <x:v>UNICA</x:v>
      </x:c>
      <x:c r="J25" s="4" t="str">
        <x:v>true</x:v>
      </x:c>
      <x:c r="K25" s="4" t="str">
        <x:v>VALIDA</x:v>
      </x:c>
      <x:c r="L25" s="4" t="str">
        <x:v>1</x:v>
      </x:c>
      <x:c r="M25" s="4" t="str">
        <x:v>REQUISITO_SI</x:v>
      </x:c>
      <x:c r="N25" s="12" t="str">
        <x:f>IF(F25="FALLO","FALLO_CAPTURA",IF(F25&lt;&gt;"LEGIBLE","NO_ADMISION",IF(D25&lt;&gt;"COINCIDE","NO_ADMISION",IF(E25&lt;&gt;"ADMITIDA","NO_ADMISION",IF(C25&lt;&gt;"WUA-IND-0.1","FUERA_PERFIL",IF(G25&lt;&gt;"INDIVIDUAL_INSTALAR","FUERA_PERFIL",IF(NOT(OR(H25="orcNotStarted",H25="orcInProgress",H25="orcSucceeded",H25="orcSucceededWithErrors",H25="orcFailed",H25="orcAborted")),"NO_ADMISION",IF(H25&lt;&gt;"orcSucceeded","FUERA_PERFIL",IF(OR(AND(I25="AUSENTE",J25=""),AND(I25="CONFLICTO",J25="true|false"),AND(I25="UNICA",OR(J25="true",J25="false"))),"VALIDA","NO_ADMISION")))))))))</x:f>
        <x:v>VALIDA</x:v>
      </x:c>
      <x:c r="O25" s="12" t="str">
        <x:f>IF(N25&lt;&gt;"VALIDA","",IF(I25&lt;&gt;"UNICA","U",IF(J25="true","1","0")))</x:f>
        <x:v>1</x:v>
      </x:c>
      <x:c r="P25" s="12" t="str">
        <x:f>IF(F25="FALLO","SIN_EJECUCION_DOMINIO",IF(F25&lt;&gt;"LEGIBLE","CAPTURA_MAL_FORMADA",IF(D25&lt;&gt;"COINCIDE","IDENTIDAD",IF(E25&lt;&gt;"ADMITIDA","PROCEDENCIA",IF(C25&lt;&gt;"WUA-IND-0.1","PERFIL_NO_CONSTITUIDO",IF(G25&lt;&gt;"INDIVIDUAL_INSTALAR","AMBITO_RESULTADO",IF(NOT(OR(H25="orcNotStarted",H25="orcInProgress",H25="orcSucceeded",H25="orcSucceededWithErrors",H25="orcFailed",H25="orcAborted")),"RESULTADO_DESCONOCIDO",IF(H25&lt;&gt;"orcSucceeded","RESULTADO_INSTALACION",IF(N25="NO_ADMISION",IF(I25="UNICA","LEXEMA_NO_BOOLEANO","OBSERVACION_MAL_FORMADA"),IF(I25="AUSENTE","DATO_AUSENTE",IF(I25="CONFLICTO","CONFLICTO_OBSERVACIONAL",IF(J25="true","REQUISITO_SI","REQUISITO_NO"))))))))))))</x:f>
        <x:v>REQUISITO_SI</x:v>
      </x:c>
      <x:c r="Q25" s="12" t="str">
        <x:f>IF(AND(K25=N25,L25=O25,M25=P25),"PASA","NO_PASA")</x:f>
        <x:v>PASA</x:v>
      </x:c>
      <x:c r="R25" s="4" t="str">
        <x:v>Permiso de reinicio denegado no cambia la verdad del requisito.</x:v>
      </x:c>
    </x:row>
    <x:row r="26" ht="47" customHeight="1">
      <x:c r="A26" s="4" t="str">
        <x:v>TI-04</x:v>
      </x:c>
      <x:c r="B26" s="4" t="str">
        <x:v>IMPACTO</x:v>
      </x:c>
      <x:c r="C26" s="4" t="str">
        <x:v>WUA-IND-0.1</x:v>
      </x:c>
      <x:c r="D26" s="4" t="str">
        <x:v>COINCIDE</x:v>
      </x:c>
      <x:c r="E26" s="4" t="str">
        <x:v>ADMITIDA</x:v>
      </x:c>
      <x:c r="F26" s="4" t="str">
        <x:v>LEGIBLE</x:v>
      </x:c>
      <x:c r="G26" s="4" t="str">
        <x:v>INDIVIDUAL_INSTALAR</x:v>
      </x:c>
      <x:c r="H26" s="4" t="str">
        <x:v>orcSucceeded</x:v>
      </x:c>
      <x:c r="I26" s="4" t="str">
        <x:v>UNICA</x:v>
      </x:c>
      <x:c r="J26" s="4" t="str">
        <x:v>false</x:v>
      </x:c>
      <x:c r="K26" s="4" t="str">
        <x:v>VALIDA</x:v>
      </x:c>
      <x:c r="L26" s="4" t="str">
        <x:v>0</x:v>
      </x:c>
      <x:c r="M26" s="4" t="str">
        <x:v>REQUISITO_NO</x:v>
      </x:c>
      <x:c r="N26" s="12" t="str">
        <x:f>IF(F26="FALLO","FALLO_CAPTURA",IF(F26&lt;&gt;"LEGIBLE","NO_ADMISION",IF(D26&lt;&gt;"COINCIDE","NO_ADMISION",IF(E26&lt;&gt;"ADMITIDA","NO_ADMISION",IF(C26&lt;&gt;"WUA-IND-0.1","FUERA_PERFIL",IF(G26&lt;&gt;"INDIVIDUAL_INSTALAR","FUERA_PERFIL",IF(NOT(OR(H26="orcNotStarted",H26="orcInProgress",H26="orcSucceeded",H26="orcSucceededWithErrors",H26="orcFailed",H26="orcAborted")),"NO_ADMISION",IF(H26&lt;&gt;"orcSucceeded","FUERA_PERFIL",IF(OR(AND(I26="AUSENTE",J26=""),AND(I26="CONFLICTO",J26="true|false"),AND(I26="UNICA",OR(J26="true",J26="false"))),"VALIDA","NO_ADMISION")))))))))</x:f>
        <x:v>VALIDA</x:v>
      </x:c>
      <x:c r="O26" s="12" t="str">
        <x:f>IF(N26&lt;&gt;"VALIDA","",IF(I26&lt;&gt;"UNICA","U",IF(J26="true","1","0")))</x:f>
        <x:v>0</x:v>
      </x:c>
      <x:c r="P26" s="12" t="str">
        <x:f>IF(F26="FALLO","SIN_EJECUCION_DOMINIO",IF(F26&lt;&gt;"LEGIBLE","CAPTURA_MAL_FORMADA",IF(D26&lt;&gt;"COINCIDE","IDENTIDAD",IF(E26&lt;&gt;"ADMITIDA","PROCEDENCIA",IF(C26&lt;&gt;"WUA-IND-0.1","PERFIL_NO_CONSTITUIDO",IF(G26&lt;&gt;"INDIVIDUAL_INSTALAR","AMBITO_RESULTADO",IF(NOT(OR(H26="orcNotStarted",H26="orcInProgress",H26="orcSucceeded",H26="orcSucceededWithErrors",H26="orcFailed",H26="orcAborted")),"RESULTADO_DESCONOCIDO",IF(H26&lt;&gt;"orcSucceeded","RESULTADO_INSTALACION",IF(N26="NO_ADMISION",IF(I26="UNICA","LEXEMA_NO_BOOLEANO","OBSERVACION_MAL_FORMADA"),IF(I26="AUSENTE","DATO_AUSENTE",IF(I26="CONFLICTO","CONFLICTO_OBSERVACIONAL",IF(J26="true","REQUISITO_SI","REQUISITO_NO"))))))))))))</x:f>
        <x:v>REQUISITO_NO</x:v>
      </x:c>
      <x:c r="Q26" s="12" t="str">
        <x:f>IF(AND(K26=N26,L26=O26,M26=P26),"PASA","NO_PASA")</x:f>
        <x:v>PASA</x:v>
      </x:c>
      <x:c r="R26" s="4" t="str">
        <x:v>Coste alto o bajo no cambia el predicado técnico.</x:v>
      </x:c>
    </x:row>
    <x:row r="27" ht="47" customHeight="1">
      <x:c r="A27" s="4" t="str">
        <x:v>TA-19</x:v>
      </x:c>
      <x:c r="B27" s="4" t="str">
        <x:v>FRONTERA</x:v>
      </x:c>
      <x:c r="C27" s="4" t="str">
        <x:v>WUA-IND-0.1</x:v>
      </x:c>
      <x:c r="D27" s="4" t="str">
        <x:v>COINCIDE</x:v>
      </x:c>
      <x:c r="E27" s="4" t="str">
        <x:v>ADMITIDA</x:v>
      </x:c>
      <x:c r="F27" s="4" t="str">
        <x:v>LEGIBLE</x:v>
      </x:c>
      <x:c r="G27" s="4" t="str">
        <x:v>INDIVIDUAL_INSTALAR</x:v>
      </x:c>
      <x:c r="H27" s="4" t="str">
        <x:v>orcAborted</x:v>
      </x:c>
      <x:c r="I27" s="4" t="str">
        <x:v>UNICA</x:v>
      </x:c>
      <x:c r="J27" s="4" t="str">
        <x:v>true</x:v>
      </x:c>
      <x:c r="K27" s="4" t="str">
        <x:v>FUERA_PERFIL</x:v>
      </x:c>
      <x:c r="L27" s="4" t="str"/>
      <x:c r="M27" s="4" t="str">
        <x:v>RESULTADO_INSTALACION</x:v>
      </x:c>
      <x:c r="N27" s="12" t="str">
        <x:f>IF(F27="FALLO","FALLO_CAPTURA",IF(F27&lt;&gt;"LEGIBLE","NO_ADMISION",IF(D27&lt;&gt;"COINCIDE","NO_ADMISION",IF(E27&lt;&gt;"ADMITIDA","NO_ADMISION",IF(C27&lt;&gt;"WUA-IND-0.1","FUERA_PERFIL",IF(G27&lt;&gt;"INDIVIDUAL_INSTALAR","FUERA_PERFIL",IF(NOT(OR(H27="orcNotStarted",H27="orcInProgress",H27="orcSucceeded",H27="orcSucceededWithErrors",H27="orcFailed",H27="orcAborted")),"NO_ADMISION",IF(H27&lt;&gt;"orcSucceeded","FUERA_PERFIL",IF(OR(AND(I27="AUSENTE",J27=""),AND(I27="CONFLICTO",J27="true|false"),AND(I27="UNICA",OR(J27="true",J27="false"))),"VALIDA","NO_ADMISION")))))))))</x:f>
        <x:v>FUERA_PERFIL</x:v>
      </x:c>
      <x:c r="O27" s="12" t="str">
        <x:f>IF(N27&lt;&gt;"VALIDA","",IF(I27&lt;&gt;"UNICA","U",IF(J27="true","1","0")))</x:f>
      </x:c>
      <x:c r="P27" s="12" t="str">
        <x:f>IF(F27="FALLO","SIN_EJECUCION_DOMINIO",IF(F27&lt;&gt;"LEGIBLE","CAPTURA_MAL_FORMADA",IF(D27&lt;&gt;"COINCIDE","IDENTIDAD",IF(E27&lt;&gt;"ADMITIDA","PROCEDENCIA",IF(C27&lt;&gt;"WUA-IND-0.1","PERFIL_NO_CONSTITUIDO",IF(G27&lt;&gt;"INDIVIDUAL_INSTALAR","AMBITO_RESULTADO",IF(NOT(OR(H27="orcNotStarted",H27="orcInProgress",H27="orcSucceeded",H27="orcSucceededWithErrors",H27="orcFailed",H27="orcAborted")),"RESULTADO_DESCONOCIDO",IF(H27&lt;&gt;"orcSucceeded","RESULTADO_INSTALACION",IF(N27="NO_ADMISION",IF(I27="UNICA","LEXEMA_NO_BOOLEANO","OBSERVACION_MAL_FORMADA"),IF(I27="AUSENTE","DATO_AUSENTE",IF(I27="CONFLICTO","CONFLICTO_OBSERVACIONAL",IF(J27="true","REQUISITO_SI","REQUISITO_NO"))))))))))))</x:f>
        <x:v>RESULTADO_INSTALACION</x:v>
      </x:c>
      <x:c r="Q27" s="12" t="str">
        <x:f>IF(AND(K27=N27,L27=O27,M27=P27),"PASA","NO_PASA")</x:f>
        <x:v>PASA</x:v>
      </x:c>
      <x:c r="R27" s="4" t="str">
        <x:v>Una cancelación conserva su significado propio en QCY-03.</x:v>
      </x:c>
    </x:row>
    <x:row r="28" ht="47" customHeight="1">
      <x:c r="A28" s="4" t="str">
        <x:v>TA-20</x:v>
      </x:c>
      <x:c r="B28" s="4" t="str">
        <x:v>U PROPIA</x:v>
      </x:c>
      <x:c r="C28" s="4" t="str">
        <x:v>WUA-IND-0.1</x:v>
      </x:c>
      <x:c r="D28" s="4" t="str">
        <x:v>COINCIDE</x:v>
      </x:c>
      <x:c r="E28" s="4" t="str">
        <x:v>ADMITIDA</x:v>
      </x:c>
      <x:c r="F28" s="4" t="str">
        <x:v>LEGIBLE</x:v>
      </x:c>
      <x:c r="G28" s="4" t="str">
        <x:v>INDIVIDUAL_INSTALAR</x:v>
      </x:c>
      <x:c r="H28" s="4" t="str">
        <x:v>orcSucceeded</x:v>
      </x:c>
      <x:c r="I28" s="4" t="str">
        <x:v>AUSENTE</x:v>
      </x:c>
      <x:c r="J28" s="4" t="str">
        <x:v>false</x:v>
      </x:c>
      <x:c r="K28" s="4" t="str">
        <x:v>NO_ADMISION</x:v>
      </x:c>
      <x:c r="L28" s="4" t="str"/>
      <x:c r="M28" s="4" t="str">
        <x:v>OBSERVACION_MAL_FORMADA</x:v>
      </x:c>
      <x:c r="N28" s="12" t="str">
        <x:f>IF(F28="FALLO","FALLO_CAPTURA",IF(F28&lt;&gt;"LEGIBLE","NO_ADMISION",IF(D28&lt;&gt;"COINCIDE","NO_ADMISION",IF(E28&lt;&gt;"ADMITIDA","NO_ADMISION",IF(C28&lt;&gt;"WUA-IND-0.1","FUERA_PERFIL",IF(G28&lt;&gt;"INDIVIDUAL_INSTALAR","FUERA_PERFIL",IF(NOT(OR(H28="orcNotStarted",H28="orcInProgress",H28="orcSucceeded",H28="orcSucceededWithErrors",H28="orcFailed",H28="orcAborted")),"NO_ADMISION",IF(H28&lt;&gt;"orcSucceeded","FUERA_PERFIL",IF(OR(AND(I28="AUSENTE",J28=""),AND(I28="CONFLICTO",J28="true|false"),AND(I28="UNICA",OR(J28="true",J28="false"))),"VALIDA","NO_ADMISION")))))))))</x:f>
        <x:v>NO_ADMISION</x:v>
      </x:c>
      <x:c r="O28" s="12" t="str">
        <x:f>IF(N28&lt;&gt;"VALIDA","",IF(I28&lt;&gt;"UNICA","U",IF(J28="true","1","0")))</x:f>
      </x:c>
      <x:c r="P28" s="12" t="str">
        <x:f>IF(F28="FALLO","SIN_EJECUCION_DOMINIO",IF(F28&lt;&gt;"LEGIBLE","CAPTURA_MAL_FORMADA",IF(D28&lt;&gt;"COINCIDE","IDENTIDAD",IF(E28&lt;&gt;"ADMITIDA","PROCEDENCIA",IF(C28&lt;&gt;"WUA-IND-0.1","PERFIL_NO_CONSTITUIDO",IF(G28&lt;&gt;"INDIVIDUAL_INSTALAR","AMBITO_RESULTADO",IF(NOT(OR(H28="orcNotStarted",H28="orcInProgress",H28="orcSucceeded",H28="orcSucceededWithErrors",H28="orcFailed",H28="orcAborted")),"RESULTADO_DESCONOCIDO",IF(H28&lt;&gt;"orcSucceeded","RESULTADO_INSTALACION",IF(N28="NO_ADMISION",IF(I28="UNICA","LEXEMA_NO_BOOLEANO","OBSERVACION_MAL_FORMADA"),IF(I28="AUSENTE","DATO_AUSENTE",IF(I28="CONFLICTO","CONFLICTO_OBSERVACIONAL",IF(J28="true","REQUISITO_SI","REQUISITO_NO"))))))))))))</x:f>
        <x:v>OBSERVACION_MAL_FORMADA</x:v>
      </x:c>
      <x:c r="Q28" s="12" t="str">
        <x:f>IF(AND(K28=N28,L28=O28,M28=P28),"PASA","NO_PASA")</x:f>
        <x:v>PASA</x:v>
      </x:c>
      <x:c r="R28" s="4" t="str">
        <x:v>No permitir ausencia declarada junto con un valor afirmado.</x:v>
      </x:c>
    </x:row>
    <x:row r="29" ht="47" customHeight="1">
      <x:c r="A29" s="4" t="str">
        <x:v>TA-21</x:v>
      </x:c>
      <x:c r="B29" s="4" t="str">
        <x:v>TIPO</x:v>
      </x:c>
      <x:c r="C29" s="4" t="str">
        <x:v>WUA-IND-0.1</x:v>
      </x:c>
      <x:c r="D29" s="4" t="str">
        <x:v>COINCIDE</x:v>
      </x:c>
      <x:c r="E29" s="4" t="str">
        <x:v>ADMITIDA</x:v>
      </x:c>
      <x:c r="F29" s="4" t="str">
        <x:v>DESCONOCIDA</x:v>
      </x:c>
      <x:c r="G29" s="4" t="str">
        <x:v>INDIVIDUAL_INSTALAR</x:v>
      </x:c>
      <x:c r="H29" s="4" t="str">
        <x:v>orcSucceeded</x:v>
      </x:c>
      <x:c r="I29" s="4" t="str">
        <x:v>UNICA</x:v>
      </x:c>
      <x:c r="J29" s="4" t="str">
        <x:v>true</x:v>
      </x:c>
      <x:c r="K29" s="4" t="str">
        <x:v>NO_ADMISION</x:v>
      </x:c>
      <x:c r="L29" s="4" t="str"/>
      <x:c r="M29" s="4" t="str">
        <x:v>CAPTURA_MAL_FORMADA</x:v>
      </x:c>
      <x:c r="N29" s="12" t="str">
        <x:f>IF(F29="FALLO","FALLO_CAPTURA",IF(F29&lt;&gt;"LEGIBLE","NO_ADMISION",IF(D29&lt;&gt;"COINCIDE","NO_ADMISION",IF(E29&lt;&gt;"ADMITIDA","NO_ADMISION",IF(C29&lt;&gt;"WUA-IND-0.1","FUERA_PERFIL",IF(G29&lt;&gt;"INDIVIDUAL_INSTALAR","FUERA_PERFIL",IF(NOT(OR(H29="orcNotStarted",H29="orcInProgress",H29="orcSucceeded",H29="orcSucceededWithErrors",H29="orcFailed",H29="orcAborted")),"NO_ADMISION",IF(H29&lt;&gt;"orcSucceeded","FUERA_PERFIL",IF(OR(AND(I29="AUSENTE",J29=""),AND(I29="CONFLICTO",J29="true|false"),AND(I29="UNICA",OR(J29="true",J29="false"))),"VALIDA","NO_ADMISION")))))))))</x:f>
        <x:v>NO_ADMISION</x:v>
      </x:c>
      <x:c r="O29" s="12" t="str">
        <x:f>IF(N29&lt;&gt;"VALIDA","",IF(I29&lt;&gt;"UNICA","U",IF(J29="true","1","0")))</x:f>
      </x:c>
      <x:c r="P29" s="12" t="str">
        <x:f>IF(F29="FALLO","SIN_EJECUCION_DOMINIO",IF(F29&lt;&gt;"LEGIBLE","CAPTURA_MAL_FORMADA",IF(D29&lt;&gt;"COINCIDE","IDENTIDAD",IF(E29&lt;&gt;"ADMITIDA","PROCEDENCIA",IF(C29&lt;&gt;"WUA-IND-0.1","PERFIL_NO_CONSTITUIDO",IF(G29&lt;&gt;"INDIVIDUAL_INSTALAR","AMBITO_RESULTADO",IF(NOT(OR(H29="orcNotStarted",H29="orcInProgress",H29="orcSucceeded",H29="orcSucceededWithErrors",H29="orcFailed",H29="orcAborted")),"RESULTADO_DESCONOCIDO",IF(H29&lt;&gt;"orcSucceeded","RESULTADO_INSTALACION",IF(N29="NO_ADMISION",IF(I29="UNICA","LEXEMA_NO_BOOLEANO","OBSERVACION_MAL_FORMADA"),IF(I29="AUSENTE","DATO_AUSENTE",IF(I29="CONFLICTO","CONFLICTO_OBSERVACIONAL",IF(J29="true","REQUISITO_SI","REQUISITO_NO"))))))))))))</x:f>
        <x:v>CAPTURA_MAL_FORMADA</x:v>
      </x:c>
      <x:c r="Q29" s="12" t="str">
        <x:f>IF(AND(K29=N29,L29=O29,M29=P29),"PASA","NO_PASA")</x:f>
        <x:v>PASA</x:v>
      </x:c>
      <x:c r="R29" s="4" t="str">
        <x:v>Un estado de captura no declarado no puede atravesar la admisión.</x:v>
      </x:c>
    </x:row>
    <x:row r="30" ht="47" customHeight="1">
      <x:c r="A30" s="4" t="str">
        <x:v>TA-22</x:v>
      </x:c>
      <x:c r="B30" s="4" t="str">
        <x:v>TIPO</x:v>
      </x:c>
      <x:c r="C30" s="4" t="str">
        <x:v>WUA-IND-0.1</x:v>
      </x:c>
      <x:c r="D30" s="4" t="str">
        <x:v>COINCIDE</x:v>
      </x:c>
      <x:c r="E30" s="4" t="str">
        <x:v>ADMITIDA</x:v>
      </x:c>
      <x:c r="F30" s="4" t="str">
        <x:v>LEGIBLE</x:v>
      </x:c>
      <x:c r="G30" s="4" t="str">
        <x:v>INDIVIDUAL_INSTALAR</x:v>
      </x:c>
      <x:c r="H30" s="4" t="str">
        <x:v>orcInventado</x:v>
      </x:c>
      <x:c r="I30" s="4" t="str">
        <x:v>UNICA</x:v>
      </x:c>
      <x:c r="J30" s="4" t="str">
        <x:v>true</x:v>
      </x:c>
      <x:c r="K30" s="4" t="str">
        <x:v>NO_ADMISION</x:v>
      </x:c>
      <x:c r="L30" s="4" t="str"/>
      <x:c r="M30" s="4" t="str">
        <x:v>RESULTADO_DESCONOCIDO</x:v>
      </x:c>
      <x:c r="N30" s="12" t="str">
        <x:f>IF(F30="FALLO","FALLO_CAPTURA",IF(F30&lt;&gt;"LEGIBLE","NO_ADMISION",IF(D30&lt;&gt;"COINCIDE","NO_ADMISION",IF(E30&lt;&gt;"ADMITIDA","NO_ADMISION",IF(C30&lt;&gt;"WUA-IND-0.1","FUERA_PERFIL",IF(G30&lt;&gt;"INDIVIDUAL_INSTALAR","FUERA_PERFIL",IF(NOT(OR(H30="orcNotStarted",H30="orcInProgress",H30="orcSucceeded",H30="orcSucceededWithErrors",H30="orcFailed",H30="orcAborted")),"NO_ADMISION",IF(H30&lt;&gt;"orcSucceeded","FUERA_PERFIL",IF(OR(AND(I30="AUSENTE",J30=""),AND(I30="CONFLICTO",J30="true|false"),AND(I30="UNICA",OR(J30="true",J30="false"))),"VALIDA","NO_ADMISION")))))))))</x:f>
        <x:v>NO_ADMISION</x:v>
      </x:c>
      <x:c r="O30" s="12" t="str">
        <x:f>IF(N30&lt;&gt;"VALIDA","",IF(I30&lt;&gt;"UNICA","U",IF(J30="true","1","0")))</x:f>
      </x:c>
      <x:c r="P30" s="12" t="str">
        <x:f>IF(F30="FALLO","SIN_EJECUCION_DOMINIO",IF(F30&lt;&gt;"LEGIBLE","CAPTURA_MAL_FORMADA",IF(D30&lt;&gt;"COINCIDE","IDENTIDAD",IF(E30&lt;&gt;"ADMITIDA","PROCEDENCIA",IF(C30&lt;&gt;"WUA-IND-0.1","PERFIL_NO_CONSTITUIDO",IF(G30&lt;&gt;"INDIVIDUAL_INSTALAR","AMBITO_RESULTADO",IF(NOT(OR(H30="orcNotStarted",H30="orcInProgress",H30="orcSucceeded",H30="orcSucceededWithErrors",H30="orcFailed",H30="orcAborted")),"RESULTADO_DESCONOCIDO",IF(H30&lt;&gt;"orcSucceeded","RESULTADO_INSTALACION",IF(N30="NO_ADMISION",IF(I30="UNICA","LEXEMA_NO_BOOLEANO","OBSERVACION_MAL_FORMADA"),IF(I30="AUSENTE","DATO_AUSENTE",IF(I30="CONFLICTO","CONFLICTO_OBSERVACIONAL",IF(J30="true","REQUISITO_SI","REQUISITO_NO"))))))))))))</x:f>
        <x:v>RESULTADO_DESCONOCIDO</x:v>
      </x:c>
      <x:c r="Q30" s="12" t="str">
        <x:f>IF(AND(K30=N30,L30=O30,M30=P30),"PASA","NO_PASA")</x:f>
        <x:v>PASA</x:v>
      </x:c>
      <x:c r="R30" s="4" t="str">
        <x:v>Una etiqueta desconocida no se confunde con un resultado conocido fuera del perfil.</x:v>
      </x:c>
    </x:row>
    <x:row r="31" ht="47" customHeight="1">
      <x:c r="A31" s="4" t="str">
        <x:v>TA-23</x:v>
      </x:c>
      <x:c r="B31" s="4" t="str">
        <x:v>TIPO</x:v>
      </x:c>
      <x:c r="C31" s="4" t="str">
        <x:v>WUA-IND-0.1</x:v>
      </x:c>
      <x:c r="D31" s="4" t="str">
        <x:v>COINCIDE</x:v>
      </x:c>
      <x:c r="E31" s="4" t="str">
        <x:v>ADMITIDA</x:v>
      </x:c>
      <x:c r="F31" s="4" t="str">
        <x:v>LEGIBLE</x:v>
      </x:c>
      <x:c r="G31" s="4" t="str">
        <x:v>INDIVIDUAL_INSTALAR</x:v>
      </x:c>
      <x:c r="H31" s="4" t="str">
        <x:v>orcSucceeded</x:v>
      </x:c>
      <x:c r="I31" s="4" t="str">
        <x:v>SUPUESTA</x:v>
      </x:c>
      <x:c r="J31" s="4" t="str">
        <x:v>true</x:v>
      </x:c>
      <x:c r="K31" s="4" t="str">
        <x:v>NO_ADMISION</x:v>
      </x:c>
      <x:c r="L31" s="4" t="str"/>
      <x:c r="M31" s="4" t="str">
        <x:v>OBSERVACION_MAL_FORMADA</x:v>
      </x:c>
      <x:c r="N31" s="12" t="str">
        <x:f>IF(F31="FALLO","FALLO_CAPTURA",IF(F31&lt;&gt;"LEGIBLE","NO_ADMISION",IF(D31&lt;&gt;"COINCIDE","NO_ADMISION",IF(E31&lt;&gt;"ADMITIDA","NO_ADMISION",IF(C31&lt;&gt;"WUA-IND-0.1","FUERA_PERFIL",IF(G31&lt;&gt;"INDIVIDUAL_INSTALAR","FUERA_PERFIL",IF(NOT(OR(H31="orcNotStarted",H31="orcInProgress",H31="orcSucceeded",H31="orcSucceededWithErrors",H31="orcFailed",H31="orcAborted")),"NO_ADMISION",IF(H31&lt;&gt;"orcSucceeded","FUERA_PERFIL",IF(OR(AND(I31="AUSENTE",J31=""),AND(I31="CONFLICTO",J31="true|false"),AND(I31="UNICA",OR(J31="true",J31="false"))),"VALIDA","NO_ADMISION")))))))))</x:f>
        <x:v>NO_ADMISION</x:v>
      </x:c>
      <x:c r="O31" s="12" t="str">
        <x:f>IF(N31&lt;&gt;"VALIDA","",IF(I31&lt;&gt;"UNICA","U",IF(J31="true","1","0")))</x:f>
      </x:c>
      <x:c r="P31" s="12" t="str">
        <x:f>IF(F31="FALLO","SIN_EJECUCION_DOMINIO",IF(F31&lt;&gt;"LEGIBLE","CAPTURA_MAL_FORMADA",IF(D31&lt;&gt;"COINCIDE","IDENTIDAD",IF(E31&lt;&gt;"ADMITIDA","PROCEDENCIA",IF(C31&lt;&gt;"WUA-IND-0.1","PERFIL_NO_CONSTITUIDO",IF(G31&lt;&gt;"INDIVIDUAL_INSTALAR","AMBITO_RESULTADO",IF(NOT(OR(H31="orcNotStarted",H31="orcInProgress",H31="orcSucceeded",H31="orcSucceededWithErrors",H31="orcFailed",H31="orcAborted")),"RESULTADO_DESCONOCIDO",IF(H31&lt;&gt;"orcSucceeded","RESULTADO_INSTALACION",IF(N31="NO_ADMISION",IF(I31="UNICA","LEXEMA_NO_BOOLEANO","OBSERVACION_MAL_FORMADA"),IF(I31="AUSENTE","DATO_AUSENTE",IF(I31="CONFLICTO","CONFLICTO_OBSERVACIONAL",IF(J31="true","REQUISITO_SI","REQUISITO_NO"))))))))))))</x:f>
        <x:v>OBSERVACION_MAL_FORMADA</x:v>
      </x:c>
      <x:c r="Q31" s="12" t="str">
        <x:f>IF(AND(K31=N31,L31=O31,M31=P31),"PASA","NO_PASA")</x:f>
        <x:v>PASA</x:v>
      </x:c>
      <x:c r="R31" s="4" t="str">
        <x:v>El estado observacional debe pertenecer al contrato.</x:v>
      </x:c>
    </x:row>
    <x:row r="32" ht="47" customHeight="1">
      <x:c r="A32" s="4" t="str">
        <x:v>TA-24</x:v>
      </x:c>
      <x:c r="B32" s="4" t="str">
        <x:v>TIPO</x:v>
      </x:c>
      <x:c r="C32" s="4" t="str">
        <x:v>WUA-IND-0.1</x:v>
      </x:c>
      <x:c r="D32" s="4" t="str">
        <x:v>COINCIDE</x:v>
      </x:c>
      <x:c r="E32" s="4" t="str">
        <x:v>ADMITIDA</x:v>
      </x:c>
      <x:c r="F32" s="4" t="str"/>
      <x:c r="G32" s="4" t="str">
        <x:v>INDIVIDUAL_INSTALAR</x:v>
      </x:c>
      <x:c r="H32" s="4" t="str">
        <x:v>orcSucceeded</x:v>
      </x:c>
      <x:c r="I32" s="4" t="str">
        <x:v>UNICA</x:v>
      </x:c>
      <x:c r="J32" s="4" t="str">
        <x:v>true</x:v>
      </x:c>
      <x:c r="K32" s="4" t="str">
        <x:v>NO_ADMISION</x:v>
      </x:c>
      <x:c r="L32" s="4" t="str"/>
      <x:c r="M32" s="4" t="str">
        <x:v>CAPTURA_MAL_FORMADA</x:v>
      </x:c>
      <x:c r="N32" s="12" t="str">
        <x:f>IF(F32="FALLO","FALLO_CAPTURA",IF(F32&lt;&gt;"LEGIBLE","NO_ADMISION",IF(D32&lt;&gt;"COINCIDE","NO_ADMISION",IF(E32&lt;&gt;"ADMITIDA","NO_ADMISION",IF(C32&lt;&gt;"WUA-IND-0.1","FUERA_PERFIL",IF(G32&lt;&gt;"INDIVIDUAL_INSTALAR","FUERA_PERFIL",IF(NOT(OR(H32="orcNotStarted",H32="orcInProgress",H32="orcSucceeded",H32="orcSucceededWithErrors",H32="orcFailed",H32="orcAborted")),"NO_ADMISION",IF(H32&lt;&gt;"orcSucceeded","FUERA_PERFIL",IF(OR(AND(I32="AUSENTE",J32=""),AND(I32="CONFLICTO",J32="true|false"),AND(I32="UNICA",OR(J32="true",J32="false"))),"VALIDA","NO_ADMISION")))))))))</x:f>
        <x:v>NO_ADMISION</x:v>
      </x:c>
      <x:c r="O32" s="12" t="str">
        <x:f>IF(N32&lt;&gt;"VALIDA","",IF(I32&lt;&gt;"UNICA","U",IF(J32="true","1","0")))</x:f>
      </x:c>
      <x:c r="P32" s="12" t="str">
        <x:f>IF(F32="FALLO","SIN_EJECUCION_DOMINIO",IF(F32&lt;&gt;"LEGIBLE","CAPTURA_MAL_FORMADA",IF(D32&lt;&gt;"COINCIDE","IDENTIDAD",IF(E32&lt;&gt;"ADMITIDA","PROCEDENCIA",IF(C32&lt;&gt;"WUA-IND-0.1","PERFIL_NO_CONSTITUIDO",IF(G32&lt;&gt;"INDIVIDUAL_INSTALAR","AMBITO_RESULTADO",IF(NOT(OR(H32="orcNotStarted",H32="orcInProgress",H32="orcSucceeded",H32="orcSucceededWithErrors",H32="orcFailed",H32="orcAborted")),"RESULTADO_DESCONOCIDO",IF(H32&lt;&gt;"orcSucceeded","RESULTADO_INSTALACION",IF(N32="NO_ADMISION",IF(I32="UNICA","LEXEMA_NO_BOOLEANO","OBSERVACION_MAL_FORMADA"),IF(I32="AUSENTE","DATO_AUSENTE",IF(I32="CONFLICTO","CONFLICTO_OBSERVACIONAL",IF(J32="true","REQUISITO_SI","REQUISITO_NO"))))))))))))</x:f>
        <x:v>CAPTURA_MAL_FORMADA</x:v>
      </x:c>
      <x:c r="Q32" s="12" t="str">
        <x:f>IF(AND(K32=N32,L32=O32,M32=P32),"PASA","NO_PASA")</x:f>
        <x:v>PASA</x:v>
      </x:c>
      <x:c r="R32" s="4" t="str">
        <x:v>La ausencia de estado de captura no se interpreta como captura legible.</x:v>
      </x:c>
    </x:row>
  </x:sheetData>
  <x:mergeCells>
    <x:mergeCell ref="A1:D1"/>
    <x:mergeCell ref="A2:F2"/>
  </x:mergeCells>
  <x:conditionalFormatting sqref="Q5:Q32">
    <x:cfRule type="expression" dxfId="22" priority="1">
      <x:formula>Q5="NO_PASA"</x:formula>
    </x:cfRule>
  </x:conditionalFormatting>
  <x:pageMargins left="0.7" right="0.7" top="0.75" bottom="0.75" header="0.3" footer="0.3"/>
  <x:tableParts count="1">
    <x:tablePart xmlns:r="http://schemas.openxmlformats.org/officeDocument/2006/relationships" r:id="Re0bf407ca34f40c9"/>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08" hidden="0" customWidth="1"/>
    <x:col min="4" max="4" width="32" hidden="0" customWidth="1"/>
    <x:col min="5" max="5" width="53" hidden="0" customWidth="1"/>
  </x:cols>
  <x:sheetData>
    <x:row r="1" ht="35" customHeight="1">
      <x:c r="A1" s="6" t="str">
        <x:v>ADVERSARIAL G5 · ataques y correcciones incorporadas</x:v>
      </x:c>
      <x:c r="B1" s="6"/>
      <x:c r="C1" s="6"/>
      <x:c r="D1" s="6"/>
      <x:c r="E1" s="6"/>
    </x:row>
    <x:row r="2" ht="52" customHeight="1">
      <x:c r="A2" s="8" t="str">
        <x:v>Revisión interna. Dos formulaciones materiales se corrigieron antes del dictamen: éxito/efecto y requisito/deuda actual.</x:v>
      </x:c>
      <x:c r="B2" s="8"/>
      <x:c r="C2" s="8"/>
      <x:c r="D2" s="8"/>
      <x:c r="E2" s="8"/>
    </x:row>
    <x:row r="3">
      <x:c r="A3" s="4"/>
      <x:c r="B3" s="4"/>
      <x:c r="C3" s="4"/>
      <x:c r="D3" s="4"/>
      <x:c r="E3" s="4"/>
    </x:row>
    <x:row r="4" ht="42" customHeight="1">
      <x:c r="A4" s="10" t="str">
        <x:v>ID</x:v>
      </x:c>
      <x:c r="B4" s="10" t="str">
        <x:v>Ataque</x:v>
      </x:c>
      <x:c r="C4" s="10" t="str">
        <x:v>Resolución</x:v>
      </x:c>
      <x:c r="D4" s="10" t="str">
        <x:v>Dictamen</x:v>
      </x:c>
      <x:c r="E4" s="10" t="str">
        <x:v>Evidencia</x:v>
      </x:c>
    </x:row>
    <x:row r="5" ht="47" customHeight="1">
      <x:c r="A5" s="4" t="str">
        <x:v>AG-01</x:v>
      </x:c>
      <x:c r="B5" s="4" t="str">
        <x:v>Falso parámetro administrativo</x:v>
      </x:c>
      <x:c r="C5" s="4" t="str">
        <x:v>El observable está en un campo API, pero el predicado expresa un requisito técnico para completar una instalación; su omisión cambia la evidencia exigible.</x:v>
      </x:c>
      <x:c r="D5" s="4" t="str">
        <x:v>PASA EN USO DECLARADO</x:v>
      </x:c>
      <x:c r="E5" s="4" t="str">
        <x:v>CON-01; AB-01</x:v>
      </x:c>
    </x:row>
    <x:row r="6" ht="47" customHeight="1">
      <x:c r="A6" s="4" t="str">
        <x:v>AG-02</x:v>
      </x:c>
      <x:c r="B6" s="4" t="str">
        <x:v>Éxito = corrección efectiva</x:v>
      </x:c>
      <x:c r="C6" s="4" t="str">
        <x:v>Se distingue éxito comunicado, requisito de completar, cumplimiento y verificación del efecto. No se fusionan.</x:v>
      </x:c>
      <x:c r="D6" s="4" t="str">
        <x:v>REFUTACION ABSORBIDA</x:v>
      </x:c>
      <x:c r="E6" s="4" t="str">
        <x:v>QCY-03/04/05; T001/T002</x:v>
      </x:c>
    </x:row>
    <x:row r="7" ht="47" customHeight="1">
      <x:c r="A7" s="4" t="str">
        <x:v>AG-03</x:v>
      </x:c>
      <x:c r="B7" s="4" t="str">
        <x:v>Requisito = pendiente actual</x:v>
      </x:c>
      <x:c r="C7" s="4" t="str">
        <x:v>La formulación inicial ambigua se corrige: estado histórico al finalizar instalación. No contiene “sigue pendiente”.</x:v>
      </x:c>
      <x:c r="D7" s="4" t="str">
        <x:v>REFUTACION ABSORBIDA</x:v>
      </x:c>
      <x:c r="E7" s="4" t="str">
        <x:v>39 horizonte; TI-01/TI-02</x:v>
      </x:c>
    </x:row>
    <x:row r="8" ht="47" customHeight="1">
      <x:c r="A8" s="4" t="str">
        <x:v>AG-04</x:v>
      </x:c>
      <x:c r="B8" s="4" t="str">
        <x:v>Requisito = orden</x:v>
      </x:c>
      <x:c r="C8" s="4" t="str">
        <x:v>Autoridad, impacto, ventana y coste no son parte del átomo; son dependencias del consejo posterior.</x:v>
      </x:c>
      <x:c r="D8" s="4" t="str">
        <x:v>PASA</x:v>
      </x:c>
      <x:c r="E8" s="4" t="str">
        <x:v>TI-03/TI-04; QCY-06/07</x:v>
      </x:c>
    </x:row>
    <x:row r="9" ht="47" customHeight="1">
      <x:c r="A9" s="4" t="str">
        <x:v>AG-05</x:v>
      </x:c>
      <x:c r="B9" s="4" t="str">
        <x:v>Copiar un booleano sin conocimiento</x:v>
      </x:c>
      <x:c r="C9" s="4" t="str">
        <x:v>Se enlazan fundamento técnico, obligación de comprobar cumplimiento y efecto potencial; el booleano aislado es insuficiente para consejo.</x:v>
      </x:c>
      <x:c r="D9" s="4" t="str">
        <x:v>PASA EN ALCANCE</x:v>
      </x:c>
      <x:c r="E9" s="4" t="str">
        <x:v>R025/R035; 40</x:v>
      </x:c>
    </x:row>
    <x:row r="10" ht="47" customHeight="1">
      <x:c r="A10" s="4" t="str">
        <x:v>AG-06</x:v>
      </x:c>
      <x:c r="B10" s="4" t="str">
        <x:v>Lote = individuo</x:v>
      </x:c>
      <x:c r="C10" s="4" t="str">
        <x:v>Se exige resultado individual y vínculo a colección e índice originales; el agregado se excluye.</x:v>
      </x:c>
      <x:c r="D10" s="4" t="str">
        <x:v>PASA</x:v>
      </x:c>
      <x:c r="E10" s="4" t="str">
        <x:v>TA-06/TA-09; T006</x:v>
      </x:c>
    </x:row>
    <x:row r="11" ht="47" customHeight="1">
      <x:c r="A11" s="4" t="str">
        <x:v>AG-07</x:v>
      </x:c>
      <x:c r="B11" s="4" t="str">
        <x:v>Tipo numérico = booleano</x:v>
      </x:c>
      <x:c r="C11" s="4" t="str">
        <x:v>1, cadena false y predicción condicional no se convierten por verdad genérica de programación.</x:v>
      </x:c>
      <x:c r="D11" s="4" t="str">
        <x:v>PASA</x:v>
      </x:c>
      <x:c r="E11" s="4" t="str">
        <x:v>TA-14/15/16</x:v>
      </x:c>
    </x:row>
    <x:row r="12" ht="47" customHeight="1">
      <x:c r="A12" s="4" t="str">
        <x:v>AG-08</x:v>
      </x:c>
      <x:c r="B12" s="4" t="str">
        <x:v>Silencio = 0</x:v>
      </x:c>
      <x:c r="C12" s="4" t="str">
        <x:v>Ausencia parcial declarada conserva U; vacío no declarado se rechaza por forma.</x:v>
      </x:c>
      <x:c r="D12" s="4" t="str">
        <x:v>PASA</x:v>
      </x:c>
      <x:c r="E12" s="4" t="str">
        <x:v>TA-03/17/20</x:v>
      </x:c>
    </x:row>
    <x:row r="13" ht="47" customHeight="1">
      <x:c r="A13" s="4" t="str">
        <x:v>AG-09</x:v>
      </x:c>
      <x:c r="B13" s="4" t="str">
        <x:v>Fallo técnico = U</x:v>
      </x:c>
      <x:c r="C13" s="4" t="str">
        <x:v>Registro de captura fallida no emite Tri. Instalación fallida es hecho profesional fuera del perfil, no fallo del Lenguaje.</x:v>
      </x:c>
      <x:c r="D13" s="4" t="str">
        <x:v>PASA</x:v>
      </x:c>
      <x:c r="E13" s="4" t="str">
        <x:v>TA-08/11</x:v>
      </x:c>
    </x:row>
    <x:row r="14" ht="47" customHeight="1">
      <x:c r="A14" s="4" t="str">
        <x:v>AG-10</x:v>
      </x:c>
      <x:c r="B14" s="4" t="str">
        <x:v>Dividir en dos átomos útiles</x:v>
      </x:c>
      <x:c r="C14" s="4" t="str">
        <x:v>Requisito y cumplimiento se separan antes de G5. Dividir el requisito por identificadores o palabras no aporta dos funciones gobernables en este uso.</x:v>
      </x:c>
      <x:c r="D14" s="4" t="str">
        <x:v>PASA EN USO DECLARADO</x:v>
      </x:c>
      <x:c r="E14" s="4" t="str">
        <x:v>QCY-04 D1/D2; 39</x:v>
      </x:c>
    </x:row>
    <x:row r="15" ht="47" customHeight="1">
      <x:c r="A15" s="4" t="str">
        <x:v>AG-11</x:v>
      </x:c>
      <x:c r="B15" s="4" t="str">
        <x:v>Independencia fingida</x:v>
      </x:c>
      <x:c r="C15" s="4" t="str">
        <x:v>TI-02/03/04 son contrastes documentales con premisas laterales declaradas; no observaciones reales ni pruebas de causalidad.</x:v>
      </x:c>
      <x:c r="D15" s="4" t="str">
        <x:v>PASA CON LIMITE</x:v>
      </x:c>
      <x:c r="E15" s="4" t="str">
        <x:v>41; CON-04</x:v>
      </x:c>
    </x:row>
    <x:row r="16" ht="47" customHeight="1">
      <x:c r="A16" s="4" t="str">
        <x:v>AG-12</x:v>
      </x:c>
      <x:c r="B16" s="4" t="str">
        <x:v>Ablación que depende de datos ocultos</x:v>
      </x:c>
      <x:c r="C16" s="4" t="str">
        <x:v>La proyección de AB-01 elimina la distinción y cualquier codificación indirecta, pero conserva el resto de la vista semántica declarada. No afirma identidad completa de dos ejecuciones.</x:v>
      </x:c>
      <x:c r="D16" s="4" t="str">
        <x:v>PASA CON LIMITE</x:v>
      </x:c>
      <x:c r="E16" s="4" t="str">
        <x:v>AB-01 en expediente y verificación</x:v>
      </x:c>
    </x:row>
    <x:row r="17" ht="47" customHeight="1">
      <x:c r="A17" s="4" t="str">
        <x:v>AG-13</x:v>
      </x:c>
      <x:c r="B17" s="4" t="str">
        <x:v>Cierre oportunista de universo</x:v>
      </x:c>
      <x:c r="C17" s="4" t="str">
        <x:v>Una distinción dictaminada no cierra Q0. Las demás distinciones quedan contadas y las dependencias materiales bloquean suficiencia.</x:v>
      </x:c>
      <x:c r="D17" s="4" t="str">
        <x:v>PASA</x:v>
      </x:c>
      <x:c r="E17" s="4" t="str">
        <x:v>38; 44</x:v>
      </x:c>
    </x:row>
    <x:row r="18" ht="47" customHeight="1">
      <x:c r="A18" s="4" t="str">
        <x:v>AG-14</x:v>
      </x:c>
      <x:c r="B18" s="4" t="str">
        <x:v>Tamaño inventado</x:v>
      </x:c>
      <x:c r="C18" s="4" t="str">
        <x:v>No se constituye célula, ni se infiere un tamaño desde Q0, observables o filas del Excel.</x:v>
      </x:c>
      <x:c r="D18" s="4" t="str">
        <x:v>PASA</x:v>
      </x:c>
      <x:c r="E18" s="4" t="str">
        <x:v>I005 §7.3; mandato humano</x:v>
      </x:c>
    </x:row>
    <x:row r="19" ht="47" customHeight="1">
      <x:c r="A19" s="4" t="str">
        <x:v>AG-15</x:v>
      </x:c>
      <x:c r="B19" s="4" t="str">
        <x:v>Soberanía simulada</x:v>
      </x:c>
      <x:c r="C19" s="4" t="str">
        <x:v>El dictamen es de Watson, documentado bajo mandato. No se falsifica la aprobación nominal ni se activa corpus de un agente.</x:v>
      </x:c>
      <x:c r="D19" s="4" t="str">
        <x:v>PASA</x:v>
      </x:c>
      <x:c r="E19" s="4" t="str">
        <x:v>36 LG-01; 39 estatuto</x:v>
      </x:c>
    </x:row>
    <x:row r="20" ht="47" customHeight="1">
      <x:c r="A20" s="4" t="str">
        <x:v>AG-16</x:v>
      </x:c>
      <x:c r="B20" s="4" t="str">
        <x:v>Alfabetos mezclados</x:v>
      </x:c>
      <x:c r="C20" s="4" t="str">
        <x:v>VALIDA, FUERA_PERFIL y diagnósticos son resultados del control documental. Sólo la columna Tri del parámetro contiene 0/1/U.</x:v>
      </x:c>
      <x:c r="D20" s="4" t="str">
        <x:v>PASA</x:v>
      </x:c>
      <x:c r="E20" s="4" t="str">
        <x:v>41 contrato</x:v>
      </x:c>
    </x:row>
    <x:row r="21" ht="47" customHeight="1">
      <x:c r="A21" s="4" t="str">
        <x:v>AG-17</x:v>
      </x:c>
      <x:c r="B21" s="4" t="str">
        <x:v>Prueba del Lenguaje fingida</x:v>
      </x:c>
      <x:c r="C21" s="4" t="str">
        <x:v>Los ensayos son fórmulas y testigos documentales locales; no se ejecuta el Lenguaje recibido ni se acredita captura productiva.</x:v>
      </x:c>
      <x:c r="D21" s="4" t="str">
        <x:v>PASA</x:v>
      </x:c>
      <x:c r="E21" s="4" t="str">
        <x:v>RETP-105; 44</x:v>
      </x:c>
    </x:row>
    <x:row r="22" ht="47" customHeight="1">
      <x:c r="A22" s="4" t="str">
        <x:v>AG-18</x:v>
      </x:c>
      <x:c r="B22" s="4" t="str">
        <x:v>Fuentes seleccionadas por comodidad</x:v>
      </x:c>
      <x:c r="C22" s="4" t="str">
        <x:v>CYO-26 se elige por el problema de cierre prematuro y sus consecuencias. El perfil se acota después para que la evidencia sea comprobable.</x:v>
      </x:c>
      <x:c r="D22" s="4" t="str">
        <x:v>PASA EN ALCANCE</x:v>
      </x:c>
      <x:c r="E22" s="4" t="str">
        <x:v>36 LG-03/06; 37</x:v>
      </x:c>
    </x:row>
    <x:row r="23" ht="47" customHeight="1">
      <x:c r="A23" s="4" t="str">
        <x:v>AG-19</x:v>
      </x:c>
      <x:c r="B23" s="4" t="str">
        <x:v>Controles verdes = atomicidad</x:v>
      </x:c>
      <x:c r="C23" s="4" t="str">
        <x:v>Las fórmulas verifican correspondencia y el contrato sintético. La atomicidad descansa además en argumento semántico, separación, fuentes y ablación.</x:v>
      </x:c>
      <x:c r="D23" s="4" t="str">
        <x:v>PASA CON LIMITE</x:v>
      </x:c>
      <x:c r="E23" s="4" t="str">
        <x:v>39; 40; 42</x:v>
      </x:c>
    </x:row>
    <x:row r="24" ht="47" customHeight="1">
      <x:c r="A24" s="4" t="str">
        <x:v>AG-20</x:v>
      </x:c>
      <x:c r="B24" s="4" t="str">
        <x:v>Adversarial independiente fingida</x:v>
      </x:c>
      <x:c r="C24" s="4" t="str">
        <x:v>Revisión interna efectuada por la misma unidad. No hay dictamen externo recibido en este lote.</x:v>
      </x:c>
      <x:c r="D24" s="4" t="str">
        <x:v>DECLARADO</x:v>
      </x:c>
      <x:c r="E24" s="4" t="str">
        <x:v>Expediente único</x:v>
      </x:c>
    </x:row>
  </x:sheetData>
  <x:mergeCells>
    <x:mergeCell ref="A1:D1"/>
    <x:mergeCell ref="A2:E2"/>
  </x:mergeCells>
  <x:pageMargins left="0.7" right="0.7" top="0.75" bottom="0.75" header="0.3" footer="0.3"/>
  <x:tableParts count="1">
    <x:tablePart xmlns:r="http://schemas.openxmlformats.org/officeDocument/2006/relationships" r:id="R72a2bc67001a465a"/>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5" hidden="0" customWidth="1"/>
    <x:col min="2" max="2" width="65" hidden="0" customWidth="1"/>
    <x:col min="3" max="3" width="80" hidden="0" customWidth="1"/>
    <x:col min="4" max="4" width="67" hidden="0" customWidth="1"/>
    <x:col min="5" max="5" width="80" hidden="0" customWidth="1"/>
    <x:col min="6" max="6" width="31" hidden="0" customWidth="1"/>
    <x:col min="7" max="7" width="18" hidden="0" customWidth="1"/>
    <x:col min="8" max="8" width="67" hidden="0" customWidth="1"/>
    <x:col min="9" max="9" width="83" hidden="0" customWidth="1"/>
  </x:cols>
  <x:sheetData>
    <x:row r="1" ht="35" customHeight="1">
      <x:c r="A1" s="6" t="str">
        <x:v>FUENTES · primer recorrido atómico</x:v>
      </x:c>
      <x:c r="B1" s="6"/>
      <x:c r="C1" s="6"/>
      <x:c r="D1" s="6"/>
      <x:c r="E1" s="6"/>
      <x:c r="F1" s="6"/>
      <x:c r="G1" s="6"/>
      <x:c r="H1" s="6"/>
      <x:c r="I1" s="6"/>
    </x:row>
    <x:row r="2" ht="52" customHeight="1">
      <x:c r="A2" s="8" t="str">
        <x:v>Seis capturas nuevas por una necesidad concreta. Bytes anteriores de R025/R033/R035 y precedentes IMM contrastados. El registro de gobierno del libro conserva I005 y S017–S019.</x:v>
      </x:c>
      <x:c r="B2" s="8"/>
      <x:c r="C2" s="8"/>
      <x:c r="D2" s="8"/>
      <x:c r="E2" s="8"/>
      <x:c r="F2" s="8"/>
      <x:c r="G2" s="8"/>
      <x:c r="H2" s="8"/>
      <x:c r="I2" s="8"/>
    </x:row>
    <x:row r="3">
      <x:c r="A3" s="4"/>
      <x:c r="B3" s="4"/>
      <x:c r="C3" s="4"/>
      <x:c r="D3" s="4"/>
      <x:c r="E3" s="4"/>
      <x:c r="F3" s="4"/>
      <x:c r="G3" s="4"/>
      <x:c r="H3" s="4"/>
      <x:c r="I3" s="4"/>
    </x:row>
    <x:row r="4" ht="42" customHeight="1">
      <x:c r="A4" s="10" t="str">
        <x:v>ID</x:v>
      </x:c>
      <x:c r="B4" s="10" t="str">
        <x:v>Documento y edición</x:v>
      </x:c>
      <x:c r="C4" s="10" t="str">
        <x:v>URL</x:v>
      </x:c>
      <x:c r="D4" s="10" t="str">
        <x:v>Localizador utilizado</x:v>
      </x:c>
      <x:c r="E4" s="10" t="str">
        <x:v>Función de la fuente</x:v>
      </x:c>
      <x:c r="F4" s="10" t="str">
        <x:v>Captura</x:v>
      </x:c>
      <x:c r="G4" s="10" t="str">
        <x:v>Bytes exactos</x:v>
      </x:c>
      <x:c r="H4" s="10" t="str">
        <x:v>SHA-256</x:v>
      </x:c>
      <x:c r="I4" s="10" t="str">
        <x:v>Adopción / límite</x:v>
      </x:c>
    </x:row>
    <x:row r="5" ht="47" customHeight="1">
      <x:c r="A5" s="4" t="str">
        <x:v>T001</x:v>
      </x:c>
      <x:c r="B5" s="4" t="str">
        <x:v>NIST SP 800-40 Rev. 4 · abril 2022</x:v>
      </x:c>
      <x:c r="C5" s="4" t="str">
        <x:v>https://nvlpubs.nist.gov/nistpubs/SpecialPublications/NIST.SP.800-40r4.pdf</x:v>
      </x:c>
      <x:c r="D5" s="4" t="str">
        <x:v>§§2.1–2.3, pp.3–7; §3.2, pp.10–11 (impresas)</x:v>
      </x:c>
      <x:c r="E5" s="4" t="str">
        <x:v>Método profesional: instalación, completitud, efecto y contexto de mantenimiento.</x:v>
      </x:c>
      <x:c r="F5" s="4" t="str">
        <x:v>PDF_ORIGINAL_CAPTURADO</x:v>
      </x:c>
      <x:c r="G5" s="4" t="str">
        <x:v>562944</x:v>
      </x:c>
      <x:c r="H5" s="4" t="str">
        <x:v>351f4a828d6c0bc8bf98f25ba3f87ec5add0ed8cf8bb4a6e6cb4e7e4a9731833</x:v>
      </x:c>
      <x:c r="I5" s="4" t="str">
        <x:v>CAPTURA CONGELADA; incorporación productiva sólo por decisión humana</x:v>
      </x:c>
    </x:row>
    <x:row r="6" ht="47" customHeight="1">
      <x:c r="A6" s="4" t="str">
        <x:v>T002</x:v>
      </x:c>
      <x:c r="B6" s="4" t="str">
        <x:v>Microsoft · RebootRequired individual · 22-02-2024</x:v>
      </x:c>
      <x:c r="C6" s="4" t="str">
        <x:v>https://learn.microsoft.com/en-us/windows/win32/api/wuapi/nf-wuapi-iupdateinstallationresult-get_rebootrequired</x:v>
      </x:c>
      <x:c r="D6" s="4" t="str">
        <x:v>IUpdateInstallationResult::get_RebootRequired</x:v>
      </x:c>
      <x:c r="E6" s="4" t="str">
        <x:v>Semántica del observable de este perfil.</x:v>
      </x:c>
      <x:c r="F6" s="4" t="str">
        <x:v>HTML_ORIGINAL_CAPTURADO</x:v>
      </x:c>
      <x:c r="G6" s="4" t="str">
        <x:v>50835</x:v>
      </x:c>
      <x:c r="H6" s="4" t="str">
        <x:v>60d570d8f3004189142e2071cad26b8f442365276580c2b925733bffe3b012db</x:v>
      </x:c>
      <x:c r="I6" s="4" t="str">
        <x:v>CAPTURA CONGELADA; incorporación productiva sólo por decisión humana</x:v>
      </x:c>
    </x:row>
    <x:row r="7" ht="47" customHeight="1">
      <x:c r="A7" s="4" t="str">
        <x:v>T003</x:v>
      </x:c>
      <x:c r="B7" s="4" t="str">
        <x:v>Microsoft · InstallationRebootBehavior · 24-06-2021</x:v>
      </x:c>
      <x:c r="C7" s="4" t="str">
        <x:v>https://learn.microsoft.com/en-us/openspecs/windows_protocols/ms-uamg/eee24bbd-0be7-4a81-bed5-bff1fbb1832b</x:v>
      </x:c>
      <x:c r="D7" s="4" t="str">
        <x:v>MS-UAMG §2.2.2</x:v>
      </x:c>
      <x:c r="E7" s="4" t="str">
        <x:v>Contraste: predicción del paquete no sustituye resultado individual.</x:v>
      </x:c>
      <x:c r="F7" s="4" t="str">
        <x:v>HTML_ORIGINAL_CAPTURADO</x:v>
      </x:c>
      <x:c r="G7" s="4" t="str">
        <x:v>36052</x:v>
      </x:c>
      <x:c r="H7" s="4" t="str">
        <x:v>706aa7f8fe5da9cc90ebbff73708976dbf1f80a3381eed4d91a14b0cb1743722</x:v>
      </x:c>
      <x:c r="I7" s="4" t="str">
        <x:v>CAPTURA CONGELADA; incorporación productiva sólo por decisión humana</x:v>
      </x:c>
    </x:row>
    <x:row r="8" ht="47" customHeight="1">
      <x:c r="A8" s="4" t="str">
        <x:v>T004</x:v>
      </x:c>
      <x:c r="B8" s="4" t="str">
        <x:v>Microsoft · OperationResultCode · 22-02-2024</x:v>
      </x:c>
      <x:c r="C8" s="4" t="str">
        <x:v>https://learn.microsoft.com/en-us/windows/win32/api/wuapi/ne-wuapi-operationresultcode</x:v>
      </x:c>
      <x:c r="D8" s="4" t="str">
        <x:v>Constantes orcSucceeded, orcSucceededWithErrors, etc.</x:v>
      </x:c>
      <x:c r="E8" s="4" t="str">
        <x:v>Condición y exclusiones del perfil de observación.</x:v>
      </x:c>
      <x:c r="F8" s="4" t="str">
        <x:v>HTML_ORIGINAL_CAPTURADO</x:v>
      </x:c>
      <x:c r="G8" s="4" t="str">
        <x:v>50381</x:v>
      </x:c>
      <x:c r="H8" s="4" t="str">
        <x:v>d016f124e76dd51c6921338682697ecc9f81d3cb34925277261b71a1b9f67f8c</x:v>
      </x:c>
      <x:c r="I8" s="4" t="str">
        <x:v>CAPTURA CONGELADA; incorporación productiva sólo por decisión humana</x:v>
      </x:c>
    </x:row>
    <x:row r="9" ht="47" customHeight="1">
      <x:c r="A9" s="4" t="str">
        <x:v>T005</x:v>
      </x:c>
      <x:c r="B9" s="4" t="str">
        <x:v>Microsoft · IUpdateInstallationResult Properties · 07-01-2021</x:v>
      </x:c>
      <x:c r="C9" s="4" t="str">
        <x:v>https://learn.microsoft.com/en-us/windows/win32/wua_sdk/iupdateinstallationresult-properties</x:v>
      </x:c>
      <x:c r="D9" s="4" t="str">
        <x:v>HResult, RebootRequired, ResultCode</x:v>
      </x:c>
      <x:c r="E9" s="4" t="str">
        <x:v>Propiedades distintas, no intercambiables.</x:v>
      </x:c>
      <x:c r="F9" s="4" t="str">
        <x:v>HTML_ORIGINAL_CAPTURADO</x:v>
      </x:c>
      <x:c r="G9" s="4" t="str">
        <x:v>47714</x:v>
      </x:c>
      <x:c r="H9" s="4" t="str">
        <x:v>9225a152705099736623664d8d79507c79175632f17b7590c6678df8dabea0ec</x:v>
      </x:c>
      <x:c r="I9" s="4" t="str">
        <x:v>CAPTURA CONGELADA; incorporación productiva sólo por decisión humana</x:v>
      </x:c>
    </x:row>
    <x:row r="10" ht="47" customHeight="1">
      <x:c r="A10" s="4" t="str">
        <x:v>T006</x:v>
      </x:c>
      <x:c r="B10" s="4" t="str">
        <x:v>Microsoft · GetUpdateResult · 22-02-2024</x:v>
      </x:c>
      <x:c r="C10" s="4" t="str">
        <x:v>https://learn.microsoft.com/en-us/windows/win32/api/wuapi/nf-wuapi-iinstallationresult-getupdateResult</x:v>
      </x:c>
      <x:c r="D10" s="4" t="str">
        <x:v>IInstallationResult::GetUpdateResult; parámetros y retorno</x:v>
      </x:c>
      <x:c r="E10" s="4" t="str">
        <x:v>Resultado individual y correspondencia con índice de actualización.</x:v>
      </x:c>
      <x:c r="F10" s="4" t="str">
        <x:v>HTML_ORIGINAL_CAPTURADO</x:v>
      </x:c>
      <x:c r="G10" s="4" t="str">
        <x:v>50707</x:v>
      </x:c>
      <x:c r="H10" s="4" t="str">
        <x:v>55decce78c4396ff2a1b28ab75624d40891eecf7cf7dc73733452c8abb6eafcb</x:v>
      </x:c>
      <x:c r="I10" s="4" t="str">
        <x:v>CAPTURA CONGELADA; incorporación productiva sólo por decisión humana</x:v>
      </x:c>
    </x:row>
    <x:row r="11" ht="47" customHeight="1">
      <x:c r="A11" s="4" t="str">
        <x:v>R025</x:v>
      </x:c>
      <x:c r="B11" s="4" t="str">
        <x:v>URJC · Sistemas Operativos 2026–27</x:v>
      </x:c>
      <x:c r="C11" s="4" t="str">
        <x:v>https://gestion3.urjc.es/guiasdocentes/pdfGuia.jsp?txtAsignatura=2285025&amp;txtTitulacion=2285&amp;txtCursoAcademico=2026-27</x:v>
      </x:c>
      <x:c r="D11" s="4" t="str">
        <x:v>IV, temas 2/4/5/6</x:v>
      </x:c>
      <x:c r="E11" s="4" t="str">
        <x:v>Base educativa; no prueba automática de efecto de un parche.</x:v>
      </x:c>
      <x:c r="F11" s="4" t="str">
        <x:v>CAPTURA ANTERIOR VERIFICADA</x:v>
      </x:c>
      <x:c r="G11" s="4" t="str">
        <x:v>282277</x:v>
      </x:c>
      <x:c r="H11" s="4" t="str">
        <x:v>b3af36599e0e0358090f8457da07c8994e6c92e02e01368c49c63ca44a24c540</x:v>
      </x:c>
      <x:c r="I11" s="4" t="str">
        <x:v>Corte anterior conservado; no nueva adquisición</x:v>
      </x:c>
    </x:row>
    <x:row r="12" ht="47" customHeight="1">
      <x:c r="A12" s="4" t="str">
        <x:v>R035</x:v>
      </x:c>
      <x:c r="B12" s="4" t="str">
        <x:v>URJC · Gestión del Ciberriesgo 2026–27</x:v>
      </x:c>
      <x:c r="C12" s="4" t="str">
        <x:v>https://gestion3.urjc.es/guiasdocentes/pdfGuia.jsp?txtAsignatura=2285036&amp;txtTitulacion=2285&amp;txtCursoAcademico=2026-27</x:v>
      </x:c>
      <x:c r="D12" s="4" t="str">
        <x:v>IV, unidades 6/9/11</x:v>
      </x:c>
      <x:c r="E12" s="4" t="str">
        <x:v>Impacto, mitigación y sesgos; no puntuación automática.</x:v>
      </x:c>
      <x:c r="F12" s="4" t="str">
        <x:v>CAPTURA ANTERIOR VERIFICADA</x:v>
      </x:c>
      <x:c r="G12" s="4" t="str">
        <x:v>278163</x:v>
      </x:c>
      <x:c r="H12" s="4" t="str">
        <x:v>099a3eb2a03c5040f76ddc3676ae6ed1987e0432626f014812a720fd204c0eea</x:v>
      </x:c>
      <x:c r="I12" s="4" t="str">
        <x:v>Corte anterior conservado; no nueva adquisición</x:v>
      </x:c>
    </x:row>
    <x:row r="13" ht="47" customHeight="1">
      <x:c r="A13" s="4" t="str">
        <x:v>R033</x:v>
      </x:c>
      <x:c r="B13" s="4" t="str">
        <x:v>URJC · Inteligencia de Seguridad 2026–27</x:v>
      </x:c>
      <x:c r="C13" s="4" t="str">
        <x:v>https://gestion3.urjc.es/guiasdocentes/pdfGuia.jsp?txtAsignatura=2285033&amp;txtTitulacion=2285&amp;txtCursoAcademico=2026-27</x:v>
      </x:c>
      <x:c r="D13" s="4" t="str">
        <x:v>IV, continuidad BCP/DRP</x:v>
      </x:c>
      <x:c r="E13" s="4" t="str">
        <x:v>Contexto de continuidad del servicio.</x:v>
      </x:c>
      <x:c r="F13" s="4" t="str">
        <x:v>CAPTURA ANTERIOR VERIFICADA</x:v>
      </x:c>
      <x:c r="G13" s="4" t="str">
        <x:v>255674</x:v>
      </x:c>
      <x:c r="H13" s="4" t="str">
        <x:v>951ba49ae08e05ed51c8a017382fdd0c44d4d044848571e759a6962ed2f7f314</x:v>
      </x:c>
      <x:c r="I13" s="4" t="str">
        <x:v>Corte anterior conservado; no nueva adquisición</x:v>
      </x:c>
    </x:row>
    <x:row r="14" ht="76" customHeight="1">
      <x:c r="A14" s="4" t="str">
        <x:v>AM-01</x:v>
      </x:c>
      <x:c r="B14" s="4" t="str">
        <x:v>Contrato IMM NA0-MATH v0.3</x:v>
      </x:c>
      <x:c r="C14" s="4" t="str">
        <x:v>https://github.com/juantoniolloretegea/SVperitus-dataset/blob/fe8adf76aa030ba5ff4997be5772b5de5e4452f3/dominios/inmunologia/cambio-rumbo/03-base-documental-candidata/05-normalizacion-atomica-en-evaluacion/Contrato_matematico_parametro_atomico_matriz_ruta_INMUNO_v0.3_2026-09-02.md</x:v>
      </x:c>
      <x:c r="D14" s="4" t="str">
        <x:v>§§1,3–7</x:v>
      </x:c>
      <x:c r="E14" s="4" t="str">
        <x:v>Diez pruebas de atomicidad; no se importan §§8–10 como nueva doctrina CYB.</x:v>
      </x:c>
      <x:c r="F14" s="4" t="str">
        <x:v>CAPTURA ANTERIOR VERIFICADA</x:v>
      </x:c>
      <x:c r="G14" s="4" t="str">
        <x:v>15627</x:v>
      </x:c>
      <x:c r="H14" s="4" t="str">
        <x:v>5fce31d5d9f5c8d979171c1d91bd47a2a97fdb90fbef990fa8d3d1fda41c1f37</x:v>
      </x:c>
      <x:c r="I14" s="4" t="str">
        <x:v>Corte anterior conservado; no nueva adquisición</x:v>
      </x:c>
    </x:row>
    <x:row r="15" ht="76" customHeight="1">
      <x:c r="A15" s="4" t="str">
        <x:v>S013</x:v>
      </x:c>
      <x:c r="B15" s="4" t="str">
        <x:v>Primera adjudicación IMM SEM-EXP-005</x:v>
      </x:c>
      <x:c r="C15" s="4" t="str">
        <x:v>https://github.com/juantoniolloretegea/SVperitus-dataset/blob/fe8adf76aa030ba5ff4997be5772b5de5e4452f3/dominios/inmunologia/cambio-rumbo/03-base-documental-candidata/10-atomicidad-en-evaluacion/Adjudicacion_atomica_G5-ATM_SEM-EXP-005_OP-IMM-001_v0.1_2026-09-03.md</x:v>
      </x:c>
      <x:c r="D15" s="4" t="str">
        <x:v>§§3–9</x:v>
      </x:c>
      <x:c r="E15" s="4" t="str">
        <x:v>Precedente de separación y contraste; no contenido clínico transferido.</x:v>
      </x:c>
      <x:c r="F15" s="4" t="str">
        <x:v>CAPTURA ANTERIOR VERIFICADA</x:v>
      </x:c>
      <x:c r="G15" s="4" t="str">
        <x:v>18256</x:v>
      </x:c>
      <x:c r="H15" s="4" t="str">
        <x:v>9a90e2a630c30dffe10032c27d4e81aeec5812ae4e6f04ee6ac4a938e029fb66</x:v>
      </x:c>
      <x:c r="I15" s="4" t="str">
        <x:v>Corte anterior conservado; no nueva adquisición</x:v>
      </x:c>
    </x:row>
  </x:sheetData>
  <x:mergeCells>
    <x:mergeCell ref="A1:D1"/>
    <x:mergeCell ref="A2:F2"/>
  </x:mergeCells>
  <x:pageMargins left="0.7" right="0.7" top="0.75" bottom="0.75" header="0.3" footer="0.3"/>
  <x:tableParts count="1">
    <x:tablePart xmlns:r="http://schemas.openxmlformats.org/officeDocument/2006/relationships" r:id="R64e1259f6dc04952"/>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6" hidden="0" customWidth="1"/>
    <x:col min="2" max="2" width="62" hidden="0" customWidth="1"/>
    <x:col min="3" max="3" width="34" hidden="0" customWidth="1"/>
    <x:col min="4" max="4" width="31" hidden="0" customWidth="1"/>
    <x:col min="5" max="5" width="102" hidden="0" customWidth="1"/>
  </x:cols>
  <x:sheetData>
    <x:row r="1" ht="35" customHeight="1">
      <x:c r="A1" s="6" t="str">
        <x:v>CONTROL · resultado y límites de la primera adjudicación</x:v>
      </x:c>
      <x:c r="B1" s="6"/>
      <x:c r="C1" s="6"/>
      <x:c r="D1" s="6"/>
      <x:c r="E1" s="6"/>
    </x:row>
    <x:row r="2" ht="52" customHeight="1">
      <x:c r="A2" s="8" t="str">
        <x:v>Controles de estructura y contrato documental; no despliegue, daño empírico, observador productivo ni certificación del Lenguaje.</x:v>
      </x:c>
      <x:c r="B2" s="8"/>
      <x:c r="C2" s="8"/>
      <x:c r="D2" s="8"/>
      <x:c r="E2" s="8"/>
    </x:row>
    <x:row r="3">
      <x:c r="A3" s="4"/>
      <x:c r="B3" s="4"/>
      <x:c r="C3" s="4"/>
      <x:c r="D3" s="4"/>
      <x:c r="E3" s="4"/>
    </x:row>
    <x:row r="4" ht="42" customHeight="1">
      <x:c r="A4" s="10" t="str">
        <x:v>ID</x:v>
      </x:c>
      <x:c r="B4" s="10" t="str">
        <x:v>Control</x:v>
      </x:c>
      <x:c r="C4" s="10" t="str">
        <x:v>Observado</x:v>
      </x:c>
      <x:c r="D4" s="10" t="str">
        <x:v>Esperado</x:v>
      </x:c>
      <x:c r="E4" s="10" t="str">
        <x:v>Límite</x:v>
      </x:c>
    </x:row>
    <x:row r="5" ht="47" customHeight="1">
      <x:c r="A5" s="4" t="str">
        <x:v>G5-C01</x:v>
      </x:c>
      <x:c r="B5" s="4" t="str">
        <x:v>Raíces del corte Q0</x:v>
      </x:c>
      <x:c r="C5" s="17" t="n">
        <x:f>COUNTA('38_Q0_y_terminacion'!$A$5:$A$13)</x:f>
        <x:v>9</x:v>
      </x:c>
      <x:c r="D5" s="13" t="n">
        <x:v>9</x:v>
      </x:c>
      <x:c r="E5" s="4" t="str">
        <x:v>No son células ni universos adicionales.</x:v>
      </x:c>
    </x:row>
    <x:row r="6" ht="47" customHeight="1">
      <x:c r="A6" s="4" t="str">
        <x:v>G5-C02</x:v>
      </x:c>
      <x:c r="B6" s="4" t="str">
        <x:v>Distinciones declaradas</x:v>
      </x:c>
      <x:c r="C6" s="17" t="n">
        <x:f>SUM('38_Q0_y_terminacion'!$E$5:$E$13)</x:f>
        <x:v>31</x:v>
      </x:c>
      <x:c r="D6" s="13" t="n">
        <x:v>31</x:v>
      </x:c>
      <x:c r="E6" s="4" t="str">
        <x:v>Medida inicial; no recuento de parámetros.</x:v>
      </x:c>
    </x:row>
    <x:row r="7" ht="47" customHeight="1">
      <x:c r="A7" s="4" t="str">
        <x:v>G5-C03</x:v>
      </x:c>
      <x:c r="B7" s="4" t="str">
        <x:v>Distinciones con dictamen G5</x:v>
      </x:c>
      <x:c r="C7" s="17" t="n">
        <x:f>SUM('38_Q0_y_terminacion'!$F$5:$F$13)</x:f>
        <x:v>1</x:v>
      </x:c>
      <x:c r="D7" s="13" t="n">
        <x:v>1</x:v>
      </x:c>
      <x:c r="E7" s="4" t="str">
        <x:v>No equivale a adopción soberana nominal.</x:v>
      </x:c>
    </x:row>
    <x:row r="8" ht="47" customHeight="1">
      <x:c r="A8" s="4" t="str">
        <x:v>G5-C04</x:v>
      </x:c>
      <x:c r="B8" s="4" t="str">
        <x:v>Distinciones pendientes</x:v>
      </x:c>
      <x:c r="C8" s="17" t="n">
        <x:f>SUM('38_Q0_y_terminacion'!$G$5:$G$13)</x:f>
        <x:v>30</x:v>
      </x:c>
      <x:c r="D8" s="13" t="n">
        <x:v>30</x:v>
      </x:c>
      <x:c r="E8" s="4" t="str">
        <x:v>Bloquean las capacidades que dependan de ellas.</x:v>
      </x:c>
    </x:row>
    <x:row r="9" ht="47" customHeight="1">
      <x:c r="A9" s="4" t="str">
        <x:v>G5-C05</x:v>
      </x:c>
      <x:c r="B9" s="4" t="str">
        <x:v>Testigos documentales del contrato</x:v>
      </x:c>
      <x:c r="C9" s="17" t="n">
        <x:f>COUNTA('41_Testigos_G5'!$A$5:$A$32)</x:f>
        <x:v>28</x:v>
      </x:c>
      <x:c r="D9" s="13" t="n">
        <x:v>28</x:v>
      </x:c>
      <x:c r="E9" s="4" t="str">
        <x:v>Resultados esperados fijados antes del cálculo.</x:v>
      </x:c>
    </x:row>
    <x:row r="10" ht="47" customHeight="1">
      <x:c r="A10" s="4" t="str">
        <x:v>G5-C06</x:v>
      </x:c>
      <x:c r="B10" s="4" t="str">
        <x:v>Discordancias de testigos</x:v>
      </x:c>
      <x:c r="C10" s="17" t="n">
        <x:f>COUNTIF('41_Testigos_G5'!$Q$5:$Q$32,"NO_PASA")</x:f>
        <x:v>0</x:v>
      </x:c>
      <x:c r="D10" s="13" t="n">
        <x:v>0</x:v>
      </x:c>
      <x:c r="E10" s="4" t="str">
        <x:v>Una fórmula verde no certifica atomicidad ni verdad del dato real.</x:v>
      </x:c>
    </x:row>
    <x:row r="11" ht="47" customHeight="1">
      <x:c r="A11" s="4" t="str">
        <x:v>G5-C07</x:v>
      </x:c>
      <x:c r="B11" s="4" t="str">
        <x:v>Fuentes nuevas capturadas</x:v>
      </x:c>
      <x:c r="C11" s="17" t="n">
        <x:f>COUNTIF('43_Fuentes_atomicas'!$F$5:$F$15,"PDF_ORIGINAL_CAPTURADO")+COUNTIF('43_Fuentes_atomicas'!$F$5:$F$15,"HTML_ORIGINAL_CAPTURADO")</x:f>
        <x:v>6</x:v>
      </x:c>
      <x:c r="D11" s="13" t="n">
        <x:v>6</x:v>
      </x:c>
      <x:c r="E11" s="4" t="str">
        <x:v>T001–T006; capturas originales preservadas.</x:v>
      </x:c>
    </x:row>
    <x:row r="12" ht="47" customHeight="1">
      <x:c r="A12" s="4" t="str">
        <x:v>G5-C08</x:v>
      </x:c>
      <x:c r="B12" s="4" t="str">
        <x:v>Adversariales internas registradas</x:v>
      </x:c>
      <x:c r="C12" s="17" t="n">
        <x:f>COUNTA('42_Adversarial_G5'!$A$5:$A$24)</x:f>
        <x:v>20</x:v>
      </x:c>
      <x:c r="D12" s="13" t="n">
        <x:v>20</x:v>
      </x:c>
      <x:c r="E12" s="4" t="str">
        <x:v>No constituyen auditoría independiente.</x:v>
      </x:c>
    </x:row>
    <x:row r="13" ht="47" customHeight="1">
      <x:c r="A13" s="4" t="str">
        <x:v>G5-C09</x:v>
      </x:c>
      <x:c r="B13" s="4" t="str">
        <x:v>Ablación AB-01</x:v>
      </x:c>
      <x:c r="C13" s="4" t="str">
        <x:v>PASA</x:v>
      </x:c>
      <x:c r="D13" s="4" t="str">
        <x:v>PASA</x:v>
      </x:c>
      <x:c r="E13" s="4" t="str">
        <x:v>La proyección pierde la diferencia de obligación documental.</x:v>
      </x:c>
    </x:row>
    <x:row r="14" ht="47" customHeight="1">
      <x:c r="A14" s="4" t="str">
        <x:v>G5-C10</x:v>
      </x:c>
      <x:c r="B14" s="4" t="str">
        <x:v>Sensibilidad de observador documental</x:v>
      </x:c>
      <x:c r="C14" s="4" t="str">
        <x:v>PASA</x:v>
      </x:c>
      <x:c r="D14" s="4" t="str">
        <x:v>PASA</x:v>
      </x:c>
      <x:c r="E14" s="4" t="str">
        <x:v>Una versión que ignora el requisito debe ser detectada.</x:v>
      </x:c>
    </x:row>
    <x:row r="15" ht="47" customHeight="1">
      <x:c r="A15" s="4" t="str">
        <x:v>G5-C11</x:v>
      </x:c>
      <x:c r="B15" s="4" t="str">
        <x:v>Átomos dictaminados por la unidad</x:v>
      </x:c>
      <x:c r="C15" s="17" t="n">
        <x:f>SUM('38_Q0_y_terminacion'!$F$5:$F$13)</x:f>
        <x:v>1</x:v>
      </x:c>
      <x:c r="D15" s="13" t="n">
        <x:v>1</x:v>
      </x:c>
      <x:c r="E15" s="4" t="str">
        <x:v>PARAMETRO_ATOMICO en alcance documental v0.1.</x:v>
      </x:c>
    </x:row>
    <x:row r="16" ht="47" customHeight="1">
      <x:c r="A16" s="4" t="str">
        <x:v>G5-C12</x:v>
      </x:c>
      <x:c r="B16" s="4" t="str">
        <x:v>Universo cerrado / células / rutas / Frames</x:v>
      </x:c>
      <x:c r="C16" s="4" t="str">
        <x:v>0 / 0 / 0 / 0</x:v>
      </x:c>
      <x:c r="D16" s="4" t="str">
        <x:v>0 / 0 / 0 / 0</x:v>
      </x:c>
      <x:c r="E16" s="4" t="str">
        <x:v>Primera adjudicación no habilita G6 ni certifica agente.</x:v>
      </x:c>
    </x:row>
  </x:sheetData>
  <x:mergeCells>
    <x:mergeCell ref="A1:D1"/>
    <x:mergeCell ref="A2:E2"/>
  </x:mergeCells>
  <x:conditionalFormatting sqref="C5:C16">
    <x:cfRule type="expression" dxfId="23" priority="1">
      <x:formula>C5&lt;&gt;D5</x:formula>
    </x:cfRule>
  </x:conditionalFormatting>
  <x:pageMargins left="0.7" right="0.7" top="0.75" bottom="0.75" header="0.3" footer="0.3"/>
  <x:tableParts count="1">
    <x:tablePart xmlns:r="http://schemas.openxmlformats.org/officeDocument/2006/relationships" r:id="R87a1c0902db24ef2"/>
  </x:tableParts>
</x:worksheet>
</file>