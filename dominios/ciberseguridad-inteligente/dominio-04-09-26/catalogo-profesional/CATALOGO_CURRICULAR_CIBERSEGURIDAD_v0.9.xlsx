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Override PartName="/xl/worksheets/sheet67.xml" ContentType="application/vnd.openxmlformats-officedocument.spreadsheetml.worksheet+xml"/>
  <Override PartName="/xl/tables/table67.xml" ContentType="application/vnd.openxmlformats-officedocument.spreadsheetml.table+xml"/>
  <Override PartName="/xl/worksheets/sheet68.xml" ContentType="application/vnd.openxmlformats-officedocument.spreadsheetml.worksheet+xml"/>
  <Override PartName="/xl/tables/table68.xml" ContentType="application/vnd.openxmlformats-officedocument.spreadsheetml.table+xml"/>
  <Override PartName="/xl/worksheets/sheet69.xml" ContentType="application/vnd.openxmlformats-officedocument.spreadsheetml.worksheet+xml"/>
  <Override PartName="/xl/tables/table69.xml" ContentType="application/vnd.openxmlformats-officedocument.spreadsheetml.table+xml"/>
  <Override PartName="/xl/worksheets/sheet70.xml" ContentType="application/vnd.openxmlformats-officedocument.spreadsheetml.worksheet+xml"/>
  <Override PartName="/xl/tables/table70.xml" ContentType="application/vnd.openxmlformats-officedocument.spreadsheetml.table+xml"/>
  <Override PartName="/xl/worksheets/sheet71.xml" ContentType="application/vnd.openxmlformats-officedocument.spreadsheetml.worksheet+xml"/>
  <Override PartName="/xl/tables/table71.xml" ContentType="application/vnd.openxmlformats-officedocument.spreadsheetml.table+xml"/>
  <Override PartName="/xl/worksheets/sheet72.xml" ContentType="application/vnd.openxmlformats-officedocument.spreadsheetml.worksheet+xml"/>
  <Override PartName="/xl/tables/table72.xml" ContentType="application/vnd.openxmlformats-officedocument.spreadsheetml.table+xml"/>
  <Override PartName="/xl/worksheets/sheet73.xml" ContentType="application/vnd.openxmlformats-officedocument.spreadsheetml.worksheet+xml"/>
  <Override PartName="/xl/tables/table73.xml" ContentType="application/vnd.openxmlformats-officedocument.spreadsheetml.table+xml"/>
  <Override PartName="/xl/worksheets/sheet74.xml" ContentType="application/vnd.openxmlformats-officedocument.spreadsheetml.worksheet+xml"/>
  <Override PartName="/xl/tables/table74.xml" ContentType="application/vnd.openxmlformats-officedocument.spreadsheetml.table+xml"/>
  <Override PartName="/xl/worksheets/sheet75.xml" ContentType="application/vnd.openxmlformats-officedocument.spreadsheetml.worksheet+xml"/>
  <Override PartName="/xl/tables/table75.xml" ContentType="application/vnd.openxmlformats-officedocument.spreadsheetml.table+xml"/>
  <Override PartName="/xl/worksheets/sheet76.xml" ContentType="application/vnd.openxmlformats-officedocument.spreadsheetml.worksheet+xml"/>
  <Override PartName="/xl/tables/table76.xml" ContentType="application/vnd.openxmlformats-officedocument.spreadsheetml.table+xml"/>
  <Override PartName="/xl/worksheets/sheet77.xml" ContentType="application/vnd.openxmlformats-officedocument.spreadsheetml.worksheet+xml"/>
  <Override PartName="/xl/tables/table77.xml" ContentType="application/vnd.openxmlformats-officedocument.spreadsheetml.table+xml"/>
  <Override PartName="/xl/worksheets/sheet78.xml" ContentType="application/vnd.openxmlformats-officedocument.spreadsheetml.worksheet+xml"/>
  <Override PartName="/xl/tables/table78.xml" ContentType="application/vnd.openxmlformats-officedocument.spreadsheetml.table+xml"/>
  <Override PartName="/xl/worksheets/sheet79.xml" ContentType="application/vnd.openxmlformats-officedocument.spreadsheetml.worksheet+xml"/>
  <Override PartName="/xl/tables/table79.xml" ContentType="application/vnd.openxmlformats-officedocument.spreadsheetml.table+xml"/>
  <Override PartName="/xl/worksheets/sheet80.xml" ContentType="application/vnd.openxmlformats-officedocument.spreadsheetml.worksheet+xml"/>
  <Override PartName="/xl/tables/table80.xml" ContentType="application/vnd.openxmlformats-officedocument.spreadsheetml.table+xml"/>
  <Override PartName="/xl/worksheets/sheet81.xml" ContentType="application/vnd.openxmlformats-officedocument.spreadsheetml.worksheet+xml"/>
  <Override PartName="/xl/tables/table8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ef712065e94011" /></Relationships>
</file>

<file path=xl/workbook.xml><?xml version="1.0" encoding="utf-8"?>
<x:workbook xmlns:x="http://schemas.openxmlformats.org/spreadsheetml/2006/main">
  <x:sheets>
    <x:sheet xmlns:r="http://schemas.openxmlformats.org/officeDocument/2006/relationships" name="00_Estatuto" sheetId="1" r:id="R8997d096e0b3433e"/>
    <x:sheet xmlns:r="http://schemas.openxmlformats.org/officeDocument/2006/relationships" name="01_Fuentes" sheetId="2" r:id="R62e29970c2f64365"/>
    <x:sheet xmlns:r="http://schemas.openxmlformats.org/officeDocument/2006/relationships" name="02_Custodia" sheetId="3" r:id="Re4a15f1a14be4fc0"/>
    <x:sheet xmlns:r="http://schemas.openxmlformats.org/officeDocument/2006/relationships" name="03_NICE" sheetId="4" r:id="Ref3a5916bb8b4c5f"/>
    <x:sheet xmlns:r="http://schemas.openxmlformats.org/officeDocument/2006/relationships" name="04_TKS" sheetId="5" r:id="R5641251f22124f38"/>
    <x:sheet xmlns:r="http://schemas.openxmlformats.org/officeDocument/2006/relationships" name="05_Complementos" sheetId="6" r:id="R05b1cc4392784bca"/>
    <x:sheet xmlns:r="http://schemas.openxmlformats.org/officeDocument/2006/relationships" name="06_Cobertura" sheetId="7" r:id="R4ada2ae737274ff7"/>
    <x:sheet xmlns:r="http://schemas.openxmlformats.org/officeDocument/2006/relationships" name="07_Operaciones" sheetId="8" r:id="R661740caac5a4695"/>
    <x:sheet xmlns:r="http://schemas.openxmlformats.org/officeDocument/2006/relationships" name="08_Trazas" sheetId="9" r:id="R2a1e16d889384e4a"/>
    <x:sheet xmlns:r="http://schemas.openxmlformats.org/officeDocument/2006/relationships" name="09_Decisiones" sheetId="10" r:id="R2cb01fc0f65445a5"/>
    <x:sheet xmlns:r="http://schemas.openxmlformats.org/officeDocument/2006/relationships" name="10_Adversarial" sheetId="11" r:id="Rc67ae35920a745ba"/>
    <x:sheet xmlns:r="http://schemas.openxmlformats.org/officeDocument/2006/relationships" name="11_Controles" sheetId="12" r:id="Ra022755545de49e8"/>
    <x:sheet xmlns:r="http://schemas.openxmlformats.org/officeDocument/2006/relationships" name="12_Glosario" sheetId="13" r:id="R7e48d85e5b574e15"/>
    <x:sheet xmlns:r="http://schemas.openxmlformats.org/officeDocument/2006/relationships" name="13_Relaciones_NICE" sheetId="14" r:id="R12a52578858444ee"/>
    <x:sheet xmlns:r="http://schemas.openxmlformats.org/officeDocument/2006/relationships" name="14_Comparacion" sheetId="15" r:id="R207b93f5077748a3"/>
    <x:sheet xmlns:r="http://schemas.openxmlformats.org/officeDocument/2006/relationships" name="15_Base_universitaria" sheetId="16" r:id="R3dda8a06d33d4e89"/>
    <x:sheet xmlns:r="http://schemas.openxmlformats.org/officeDocument/2006/relationships" name="16_Progresion" sheetId="17" r:id="R284482c79099468d"/>
    <x:sheet xmlns:r="http://schemas.openxmlformats.org/officeDocument/2006/relationships" name="17_Comp_educativos" sheetId="18" r:id="R75f076e1bec74708"/>
    <x:sheet xmlns:r="http://schemas.openxmlformats.org/officeDocument/2006/relationships" name="18_Necesidades_IA" sheetId="19" r:id="Rcd5d32e98be54212"/>
    <x:sheet xmlns:r="http://schemas.openxmlformats.org/officeDocument/2006/relationships" name="19_Consecuencias" sheetId="20" r:id="R081f9ec58779487a"/>
    <x:sheet xmlns:r="http://schemas.openxmlformats.org/officeDocument/2006/relationships" name="20_Familias" sheetId="21" r:id="Rc5216d417027455b"/>
    <x:sheet xmlns:r="http://schemas.openxmlformats.org/officeDocument/2006/relationships" name="21_Fuentes_educativas" sheetId="22" r:id="Rb6db11c050af429d"/>
    <x:sheet xmlns:r="http://schemas.openxmlformats.org/officeDocument/2006/relationships" name="22_Revision_curricular" sheetId="23" r:id="R288fff2af6fb4df7"/>
    <x:sheet xmlns:r="http://schemas.openxmlformats.org/officeDocument/2006/relationships" name="23_Control_curricular" sheetId="24" r:id="R11fbb816e9444753"/>
    <x:sheet xmlns:r="http://schemas.openxmlformats.org/officeDocument/2006/relationships" name="24_Gobierno" sheetId="25" r:id="R17d79b45d4aa43c8"/>
    <x:sheet xmlns:r="http://schemas.openxmlformats.org/officeDocument/2006/relationships" name="25_Delimitacion" sheetId="26" r:id="Rde77bbb657cb410e"/>
    <x:sheet xmlns:r="http://schemas.openxmlformats.org/officeDocument/2006/relationships" name="26_Mapa_universos" sheetId="27" r:id="Rc23e9f34fcc742d0"/>
    <x:sheet xmlns:r="http://schemas.openxmlformats.org/officeDocument/2006/relationships" name="27_Cobertura_aprendizaje" sheetId="28" r:id="Rf853ca30f64d4f00"/>
    <x:sheet xmlns:r="http://schemas.openxmlformats.org/officeDocument/2006/relationships" name="28_Relaciones_candidatas" sheetId="29" r:id="R926755827cae4b91"/>
    <x:sheet xmlns:r="http://schemas.openxmlformats.org/officeDocument/2006/relationships" name="29_Camino_constitutivo" sheetId="30" r:id="R7fccbd6702614a19"/>
    <x:sheet xmlns:r="http://schemas.openxmlformats.org/officeDocument/2006/relationships" name="30_Revision_acotacion" sheetId="31" r:id="R657b1cdebbdd4a4e"/>
    <x:sheet xmlns:r="http://schemas.openxmlformats.org/officeDocument/2006/relationships" name="31_Control_acotacion" sheetId="32" r:id="Rc4070f1ea0b24d1e"/>
    <x:sheet xmlns:r="http://schemas.openxmlformats.org/officeDocument/2006/relationships" name="32_Fuentes_metodo" sheetId="33" r:id="R24572853ec974a76"/>
    <x:sheet xmlns:r="http://schemas.openxmlformats.org/officeDocument/2006/relationships" name="33_Correspondencia_mapa" sheetId="34" r:id="R9d529f602fc242a9"/>
    <x:sheet xmlns:r="http://schemas.openxmlformats.org/officeDocument/2006/relationships" name="34_Consecuencias_enlace" sheetId="35" r:id="R1950d1e822f14568"/>
    <x:sheet xmlns:r="http://schemas.openxmlformats.org/officeDocument/2006/relationships" name="35_Consejo_y_frame" sheetId="36" r:id="Rb490532fd1794d6b"/>
    <x:sheet xmlns:r="http://schemas.openxmlformats.org/officeDocument/2006/relationships" name="36_Seleccion_y_lagunas" sheetId="37" r:id="R756f8d48ce474272"/>
    <x:sheet xmlns:r="http://schemas.openxmlformats.org/officeDocument/2006/relationships" name="37_Operacion_CYB_001" sheetId="38" r:id="Ra3866ce0c45b46b9"/>
    <x:sheet xmlns:r="http://schemas.openxmlformats.org/officeDocument/2006/relationships" name="38_Q0_y_terminacion" sheetId="39" r:id="R736b2e8bbe624f94"/>
    <x:sheet xmlns:r="http://schemas.openxmlformats.org/officeDocument/2006/relationships" name="39_Primer_parametro" sheetId="40" r:id="R02645bf553ae4f9b"/>
    <x:sheet xmlns:r="http://schemas.openxmlformats.org/officeDocument/2006/relationships" name="40_Consecuencias_G4" sheetId="41" r:id="Reaa707e883524fd4"/>
    <x:sheet xmlns:r="http://schemas.openxmlformats.org/officeDocument/2006/relationships" name="41_Testigos_G5" sheetId="42" r:id="R4ff7ff1f5b5b40a2"/>
    <x:sheet xmlns:r="http://schemas.openxmlformats.org/officeDocument/2006/relationships" name="42_Adversarial_G5" sheetId="43" r:id="R64762387cef54244"/>
    <x:sheet xmlns:r="http://schemas.openxmlformats.org/officeDocument/2006/relationships" name="43_Fuentes_atomicas" sheetId="44" r:id="R8e663c85086f4f3d"/>
    <x:sheet xmlns:r="http://schemas.openxmlformats.org/officeDocument/2006/relationships" name="44_Control_G5" sheetId="45" r:id="R3bdd022ae7ca4dd7"/>
    <x:sheet xmlns:r="http://schemas.openxmlformats.org/officeDocument/2006/relationships" name="45_Apertura_y_adopcion" sheetId="46" r:id="Rd7a239bfa64840fc"/>
    <x:sheet xmlns:r="http://schemas.openxmlformats.org/officeDocument/2006/relationships" name="46_Registro_diez" sheetId="47" r:id="R71b50aec47c84a05"/>
    <x:sheet xmlns:r="http://schemas.openxmlformats.org/officeDocument/2006/relationships" name="47_Contratos_atomicos" sheetId="48" r:id="R9a4cc93f339c47c7"/>
    <x:sheet xmlns:r="http://schemas.openxmlformats.org/officeDocument/2006/relationships" name="48_Consecuencias_lote" sheetId="49" r:id="Rc3eb975737db4cb6"/>
    <x:sheet xmlns:r="http://schemas.openxmlformats.org/officeDocument/2006/relationships" name="49_Atomicidad_y_ablacion" sheetId="50" r:id="R0a16595b43bc4a03"/>
    <x:sheet xmlns:r="http://schemas.openxmlformats.org/officeDocument/2006/relationships" name="50_Testigos_lote" sheetId="51" r:id="R8aa1e5cb9c9a42ab"/>
    <x:sheet xmlns:r="http://schemas.openxmlformats.org/officeDocument/2006/relationships" name="51_Adversarial_lote" sheetId="52" r:id="Ra0b1360fae4f4adc"/>
    <x:sheet xmlns:r="http://schemas.openxmlformats.org/officeDocument/2006/relationships" name="52_Cobertura_Q0_actual" sheetId="53" r:id="R867fe292a1304651"/>
    <x:sheet xmlns:r="http://schemas.openxmlformats.org/officeDocument/2006/relationships" name="53_Fuentes_lote" sheetId="54" r:id="R482de47926fb4664"/>
    <x:sheet xmlns:r="http://schemas.openxmlformats.org/officeDocument/2006/relationships" name="54_Control_lote" sheetId="55" r:id="R3ec4a1c268ce4226"/>
    <x:sheet xmlns:r="http://schemas.openxmlformats.org/officeDocument/2006/relationships" name="55_Codificacion_ensayo" sheetId="56" r:id="Rda50b220ebdc4917"/>
    <x:sheet xmlns:r="http://schemas.openxmlformats.org/officeDocument/2006/relationships" name="56_Cierre_documental" sheetId="57" r:id="R453c270d97ef4845"/>
    <x:sheet xmlns:r="http://schemas.openxmlformats.org/officeDocument/2006/relationships" name="57_Registro_actual" sheetId="58" r:id="Rae3e867023784a7d"/>
    <x:sheet xmlns:r="http://schemas.openxmlformats.org/officeDocument/2006/relationships" name="58_Contratos_nuevos" sheetId="59" r:id="R37aeab863cb94859"/>
    <x:sheet xmlns:r="http://schemas.openxmlformats.org/officeDocument/2006/relationships" name="59_Q0_terminal" sheetId="60" r:id="R8d138697f7304519"/>
    <x:sheet xmlns:r="http://schemas.openxmlformats.org/officeDocument/2006/relationships" name="60_Contratos_control" sheetId="61" r:id="Reddb2d7c92184edc"/>
    <x:sheet xmlns:r="http://schemas.openxmlformats.org/officeDocument/2006/relationships" name="61_Relaciones_consejo" sheetId="62" r:id="Rc9dc4272fa2848cf"/>
    <x:sheet xmlns:r="http://schemas.openxmlformats.org/officeDocument/2006/relationships" name="62_Testigos_nuevos" sheetId="63" r:id="R0d89fe97d0d74b28"/>
    <x:sheet xmlns:r="http://schemas.openxmlformats.org/officeDocument/2006/relationships" name="63_Contraste_controles" sheetId="64" r:id="Ra370263a44684cd7"/>
    <x:sheet xmlns:r="http://schemas.openxmlformats.org/officeDocument/2006/relationships" name="64_Adversarial_y_deuda" sheetId="65" r:id="R80e18ccde68e41c7"/>
    <x:sheet xmlns:r="http://schemas.openxmlformats.org/officeDocument/2006/relationships" name="65_Fuentes_y_verificacion" sheetId="66" r:id="R668e0640fa424230"/>
    <x:sheet xmlns:r="http://schemas.openxmlformats.org/officeDocument/2006/relationships" name="66_Resultado_actual" sheetId="67" r:id="Rca3b740c0e43444b"/>
    <x:sheet xmlns:r="http://schemas.openxmlformats.org/officeDocument/2006/relationships" name="67_Parametros" sheetId="68" r:id="Rf6b47f00b64c47db"/>
    <x:sheet xmlns:r="http://schemas.openxmlformats.org/officeDocument/2006/relationships" name="68_Consecuencias" sheetId="69" r:id="Ra2e0bf0ee02b4ebd"/>
    <x:sheet xmlns:r="http://schemas.openxmlformats.org/officeDocument/2006/relationships" name="69_Cobertura" sheetId="70" r:id="Ra5a2a20e24684a06"/>
    <x:sheet xmlns:r="http://schemas.openxmlformats.org/officeDocument/2006/relationships" name="70_Estimacion" sheetId="71" r:id="R3894cb41ddec4a71"/>
    <x:sheet xmlns:r="http://schemas.openxmlformats.org/officeDocument/2006/relationships" name="71_Bibliografia" sheetId="72" r:id="Rbd60ba08da1843cc"/>
    <x:sheet xmlns:r="http://schemas.openxmlformats.org/officeDocument/2006/relationships" name="72_Ensayos" sheetId="73" r:id="R154d1c2cbd124103"/>
    <x:sheet xmlns:r="http://schemas.openxmlformats.org/officeDocument/2006/relationships" name="73_Revision" sheetId="74" r:id="R9947968fbfe54a7e"/>
    <x:sheet xmlns:r="http://schemas.openxmlformats.org/officeDocument/2006/relationships" name="74_Ampliacion_atomica" sheetId="75" r:id="Rb21bbe92ac554046"/>
    <x:sheet xmlns:r="http://schemas.openxmlformats.org/officeDocument/2006/relationships" name="75_Presiones_y_controles" sheetId="76" r:id="Rdc26bcf76a8a41ce"/>
    <x:sheet xmlns:r="http://schemas.openxmlformats.org/officeDocument/2006/relationships" name="76_Productos_y_particion" sheetId="77" r:id="Rf7b63e767fd747bf"/>
    <x:sheet xmlns:r="http://schemas.openxmlformats.org/officeDocument/2006/relationships" name="77_Estimacion_revisada" sheetId="78" r:id="Rc0efcc4336d34b85"/>
    <x:sheet xmlns:r="http://schemas.openxmlformats.org/officeDocument/2006/relationships" name="78_Contraste_Lenguaje" sheetId="79" r:id="R50d1ca264fe64312"/>
    <x:sheet xmlns:r="http://schemas.openxmlformats.org/officeDocument/2006/relationships" name="79_Ensayos_presion" sheetId="80" r:id="R64b142a3a1354b04"/>
    <x:sheet xmlns:r="http://schemas.openxmlformats.org/officeDocument/2006/relationships" name="80_Fuentes_de_presion" sheetId="81" r:id="R6432bfc0e98b46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General"/>
    <x:numFmt numFmtId="202" formatCode="0"/>
    <x:numFmt numFmtId="203" formatCode="0%"/>
  </x:numFmts>
  <x:fonts count="11">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
      <x:sz val="11"/>
      <x:color rgb="FF172B3A"/>
      <x:name val="Carlito"/>
    </x:font>
    <x:font>
      <x:b/>
      <x:sz val="15"/>
      <x:color rgb="FFFFFFFF"/>
      <x:name val="Carlito"/>
    </x:font>
    <x:font>
      <x:sz val="11"/>
      <x:color rgb="FF183044"/>
      <x:name val="Carlito"/>
    </x:font>
    <x:font>
      <x:b/>
      <x:sz val="16"/>
      <x:color rgb="FF193650"/>
      <x:name val="Carlito"/>
    </x:font>
    <x:font>
      <x:sz val="11"/>
      <x:color rgb="FF41546A"/>
      <x:name val="Carlito"/>
    </x:font>
  </x:fonts>
  <x:fills count="14">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
      <x:patternFill patternType="solid">
        <x:fgColor rgb="FF193650"/>
      </x:patternFill>
    </x:fill>
    <x:fill>
      <x:patternFill patternType="solid">
        <x:fgColor rgb="FFDAE8F2"/>
      </x:patternFill>
    </x:fill>
    <x:fill>
      <x:patternFill patternType="solid">
        <x:fgColor rgb="FF0F6B6D"/>
      </x:patternFill>
    </x:fill>
    <x:fill>
      <x:patternFill patternType="solid">
        <x:fgColor rgb="FF254F69"/>
      </x:patternFill>
    </x:fill>
    <x:fill>
      <x:patternFill patternType="solid">
        <x:fgColor rgb="FFFFF2D5"/>
      </x:patternFill>
    </x:fill>
    <x:fill>
      <x:patternFill patternType="solid">
        <x:fgColor rgb="FFDCE8F0"/>
      </x:patternFill>
    </x:fill>
    <x:fill>
      <x:patternFill patternType="solid">
        <x:fgColor rgb="FF254F69"/>
      </x:patternFill>
    </x:fill>
    <x:fill>
      <x:patternFill patternType="solid">
        <x:fgColor rgb="FFFFF2D5"/>
      </x:patternFill>
    </x:fill>
    <x:fill>
      <x:patternFill patternType="solid">
        <x:fgColor rgb="FFDCE8F0"/>
      </x:patternFill>
    </x:fill>
  </x:fills>
  <x:borders count="1">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5" fillId="0"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0" fontId="10" fillId="0" borderId="0" xfId="0" applyNumberFormat="1" applyFont="1" applyFill="1" applyBorder="1" applyAlignment="1">
      <x:alignment vertical="top" wrapText="1"/>
    </x:xf>
    <x:xf numFmtId="200" fontId="8" fillId="8" borderId="0" xfId="0" applyNumberFormat="1" applyFont="1" applyFill="1" applyBorder="1" applyAlignment="1">
      <x:alignment vertical="top" wrapText="1"/>
    </x:xf>
    <x:xf numFmtId="200" fontId="4" fillId="8" borderId="0"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202" fontId="8" fillId="9" borderId="0" xfId="0" applyNumberFormat="1" applyFont="1" applyFill="1" applyBorder="1" applyAlignment="1">
      <x:alignment vertical="top" wrapText="1"/>
    </x:xf>
    <x:xf numFmtId="203" fontId="0" fillId="0" borderId="0" xfId="0" applyNumberFormat="1" applyFont="1" applyFill="1" applyBorder="1"/>
    <x:xf numFmtId="203" fontId="0" fillId="9" borderId="0" xfId="0" applyNumberFormat="1" applyFont="1" applyFill="1" applyBorder="1"/>
    <x:xf numFmtId="203" fontId="8" fillId="9" borderId="0" xfId="0" applyNumberFormat="1" applyFont="1" applyFill="1" applyBorder="1"/>
    <x:xf numFmtId="203" fontId="8" fillId="0" borderId="0" xfId="0" applyNumberFormat="1" applyFont="1" applyFill="1" applyBorder="1"/>
    <x:xf numFmtId="203" fontId="8" fillId="9" borderId="0" xfId="0" applyNumberFormat="1" applyFont="1" applyFill="1" applyBorder="1" applyAlignment="1">
      <x:alignment wrapText="1"/>
    </x:xf>
    <x:xf numFmtId="203" fontId="8" fillId="0" borderId="0" xfId="0" applyNumberFormat="1" applyFont="1" applyFill="1" applyBorder="1" applyAlignment="1">
      <x:alignment wrapText="1"/>
    </x:xf>
    <x:xf numFmtId="0" fontId="8" fillId="10" borderId="0" xfId="0" applyNumberFormat="1" applyFont="1" applyFill="1" applyBorder="1" applyAlignment="1">
      <x:alignment wrapText="1"/>
    </x:xf>
    <x:xf numFmtId="202" fontId="8" fillId="0" borderId="0" xfId="0" applyNumberFormat="1" applyFont="1" applyFill="1" applyBorder="1" applyAlignment="1">
      <x:alignment wrapText="1"/>
    </x:xf>
    <x:xf numFmtId="200" fontId="8" fillId="11" borderId="0" xfId="0" applyNumberFormat="1" applyFont="1" applyFill="1" applyBorder="1" applyAlignment="1">
      <x:alignment vertical="top" wrapText="1"/>
    </x:xf>
    <x:xf numFmtId="200" fontId="4" fillId="11" borderId="0" xfId="0" applyNumberFormat="1" applyFont="1" applyFill="1" applyBorder="1" applyAlignment="1">
      <x:alignment vertical="top" wrapText="1"/>
    </x:xf>
    <x:xf numFmtId="202" fontId="8" fillId="12" borderId="0" xfId="0" applyNumberFormat="1" applyFont="1" applyFill="1" applyBorder="1" applyAlignment="1">
      <x:alignment vertical="top" wrapText="1"/>
    </x:xf>
    <x:xf numFmtId="203" fontId="0" fillId="12" borderId="0" xfId="0" applyNumberFormat="1" applyFont="1" applyFill="1" applyBorder="1"/>
    <x:xf numFmtId="203" fontId="8" fillId="12" borderId="0" xfId="0" applyNumberFormat="1" applyFont="1" applyFill="1" applyBorder="1"/>
    <x:xf numFmtId="203" fontId="8" fillId="12" borderId="0" xfId="0" applyNumberFormat="1" applyFont="1" applyFill="1" applyBorder="1" applyAlignment="1">
      <x:alignment wrapText="1"/>
    </x:xf>
    <x:xf numFmtId="203" fontId="8" fillId="12"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203" fontId="8" fillId="0" borderId="0" xfId="0" applyNumberFormat="1" applyFont="1" applyFill="1" applyBorder="1" applyAlignment="1">
      <x:alignment vertical="top" wrapText="1"/>
    </x:xf>
  </x:cellXfs>
  <x:cellStyles count="1">
    <x:cellStyle name="Normal" xfId="0"/>
  </x:cellStyles>
  <x:dxfs count="30">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color rgb="FF8A5A12"/>
      </x:font>
      <x:fill>
        <x:patternFill>
          <x:bgColor rgb="FFFFF0D4"/>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52518"/>
      </x:font>
      <x:fill>
        <x:patternFill>
          <x:bgColor rgb="FFFFE2D9"/>
        </x:patternFill>
      </x:fill>
    </x:dxf>
    <x:dxf>
      <x:font>
        <x:b/>
        <x:color rgb="FFA52518"/>
      </x:font>
      <x:fill>
        <x:patternFill>
          <x:bgColor rgb="FFFFE2D9"/>
        </x:patternFill>
      </x:fill>
    </x:dxf>
    <x:dxf>
      <x:font>
        <x:b/>
        <x:color rgb="FF9B2422"/>
      </x:font>
      <x:fill>
        <x:patternFill>
          <x:bgColor rgb="FFFCE0D9"/>
        </x:patternFill>
      </x:fill>
    </x:dxf>
    <x:dxf>
      <x:font>
        <x:b/>
        <x:color rgb="FF9B2422"/>
      </x:font>
      <x:fill>
        <x:patternFill patternType="solid">
          <x:bgColor rgb="FFFCE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69d485324a4226" /><Relationship Type="http://schemas.openxmlformats.org/officeDocument/2006/relationships/theme" Target="/xl/theme/theme1.xml" Id="Rcfee6e414e614fe4" /><Relationship Type="http://schemas.openxmlformats.org/officeDocument/2006/relationships/sharedStrings" Target="/xl/sharedStrings.xml" Id="R23bc7cd93aa44ae9" /><Relationship Type="http://schemas.openxmlformats.org/officeDocument/2006/relationships/worksheet" Target="/xl/worksheets/sheet1.xml" Id="R8997d096e0b3433e" /><Relationship Type="http://schemas.openxmlformats.org/officeDocument/2006/relationships/worksheet" Target="/xl/worksheets/sheet2.xml" Id="R62e29970c2f64365" /><Relationship Type="http://schemas.openxmlformats.org/officeDocument/2006/relationships/worksheet" Target="/xl/worksheets/sheet3.xml" Id="Re4a15f1a14be4fc0" /><Relationship Type="http://schemas.openxmlformats.org/officeDocument/2006/relationships/worksheet" Target="/xl/worksheets/sheet4.xml" Id="Ref3a5916bb8b4c5f" /><Relationship Type="http://schemas.openxmlformats.org/officeDocument/2006/relationships/worksheet" Target="/xl/worksheets/sheet5.xml" Id="R5641251f22124f38" /><Relationship Type="http://schemas.openxmlformats.org/officeDocument/2006/relationships/worksheet" Target="/xl/worksheets/sheet6.xml" Id="R05b1cc4392784bca" /><Relationship Type="http://schemas.openxmlformats.org/officeDocument/2006/relationships/worksheet" Target="/xl/worksheets/sheet7.xml" Id="R4ada2ae737274ff7" /><Relationship Type="http://schemas.openxmlformats.org/officeDocument/2006/relationships/worksheet" Target="/xl/worksheets/sheet8.xml" Id="R661740caac5a4695" /><Relationship Type="http://schemas.openxmlformats.org/officeDocument/2006/relationships/worksheet" Target="/xl/worksheets/sheet9.xml" Id="R2a1e16d889384e4a" /><Relationship Type="http://schemas.openxmlformats.org/officeDocument/2006/relationships/worksheet" Target="/xl/worksheets/sheet10.xml" Id="R2cb01fc0f65445a5" /><Relationship Type="http://schemas.openxmlformats.org/officeDocument/2006/relationships/worksheet" Target="/xl/worksheets/sheet11.xml" Id="Rc67ae35920a745ba" /><Relationship Type="http://schemas.openxmlformats.org/officeDocument/2006/relationships/worksheet" Target="/xl/worksheets/sheet12.xml" Id="Ra022755545de49e8" /><Relationship Type="http://schemas.openxmlformats.org/officeDocument/2006/relationships/worksheet" Target="/xl/worksheets/sheet13.xml" Id="R7e48d85e5b574e15" /><Relationship Type="http://schemas.openxmlformats.org/officeDocument/2006/relationships/worksheet" Target="/xl/worksheets/sheet14.xml" Id="R12a52578858444ee" /><Relationship Type="http://schemas.openxmlformats.org/officeDocument/2006/relationships/worksheet" Target="/xl/worksheets/sheet15.xml" Id="R207b93f5077748a3" /><Relationship Type="http://schemas.openxmlformats.org/officeDocument/2006/relationships/worksheet" Target="/xl/worksheets/sheet16.xml" Id="R3dda8a06d33d4e89" /><Relationship Type="http://schemas.openxmlformats.org/officeDocument/2006/relationships/worksheet" Target="/xl/worksheets/sheet17.xml" Id="R284482c79099468d" /><Relationship Type="http://schemas.openxmlformats.org/officeDocument/2006/relationships/worksheet" Target="/xl/worksheets/sheet18.xml" Id="R75f076e1bec74708" /><Relationship Type="http://schemas.openxmlformats.org/officeDocument/2006/relationships/worksheet" Target="/xl/worksheets/sheet19.xml" Id="Rcd5d32e98be54212" /><Relationship Type="http://schemas.openxmlformats.org/officeDocument/2006/relationships/worksheet" Target="/xl/worksheets/sheet20.xml" Id="R081f9ec58779487a" /><Relationship Type="http://schemas.openxmlformats.org/officeDocument/2006/relationships/worksheet" Target="/xl/worksheets/sheet21.xml" Id="Rc5216d417027455b" /><Relationship Type="http://schemas.openxmlformats.org/officeDocument/2006/relationships/worksheet" Target="/xl/worksheets/sheet22.xml" Id="Rb6db11c050af429d" /><Relationship Type="http://schemas.openxmlformats.org/officeDocument/2006/relationships/worksheet" Target="/xl/worksheets/sheet23.xml" Id="R288fff2af6fb4df7" /><Relationship Type="http://schemas.openxmlformats.org/officeDocument/2006/relationships/worksheet" Target="/xl/worksheets/sheet24.xml" Id="R11fbb816e9444753" /><Relationship Type="http://schemas.openxmlformats.org/officeDocument/2006/relationships/worksheet" Target="/xl/worksheets/sheet25.xml" Id="R17d79b45d4aa43c8" /><Relationship Type="http://schemas.openxmlformats.org/officeDocument/2006/relationships/worksheet" Target="/xl/worksheets/sheet26.xml" Id="Rde77bbb657cb410e" /><Relationship Type="http://schemas.openxmlformats.org/officeDocument/2006/relationships/worksheet" Target="/xl/worksheets/sheet27.xml" Id="Rc23e9f34fcc742d0" /><Relationship Type="http://schemas.openxmlformats.org/officeDocument/2006/relationships/worksheet" Target="/xl/worksheets/sheet28.xml" Id="Rf853ca30f64d4f00" /><Relationship Type="http://schemas.openxmlformats.org/officeDocument/2006/relationships/worksheet" Target="/xl/worksheets/sheet29.xml" Id="R926755827cae4b91" /><Relationship Type="http://schemas.openxmlformats.org/officeDocument/2006/relationships/worksheet" Target="/xl/worksheets/sheet30.xml" Id="R7fccbd6702614a19" /><Relationship Type="http://schemas.openxmlformats.org/officeDocument/2006/relationships/worksheet" Target="/xl/worksheets/sheet31.xml" Id="R657b1cdebbdd4a4e" /><Relationship Type="http://schemas.openxmlformats.org/officeDocument/2006/relationships/worksheet" Target="/xl/worksheets/sheet32.xml" Id="Rc4070f1ea0b24d1e" /><Relationship Type="http://schemas.openxmlformats.org/officeDocument/2006/relationships/worksheet" Target="/xl/worksheets/sheet33.xml" Id="R24572853ec974a76" /><Relationship Type="http://schemas.openxmlformats.org/officeDocument/2006/relationships/worksheet" Target="/xl/worksheets/sheet34.xml" Id="R9d529f602fc242a9" /><Relationship Type="http://schemas.openxmlformats.org/officeDocument/2006/relationships/worksheet" Target="/xl/worksheets/sheet35.xml" Id="R1950d1e822f14568" /><Relationship Type="http://schemas.openxmlformats.org/officeDocument/2006/relationships/worksheet" Target="/xl/worksheets/sheet36.xml" Id="Rb490532fd1794d6b" /><Relationship Type="http://schemas.openxmlformats.org/officeDocument/2006/relationships/worksheet" Target="/xl/worksheets/sheet37.xml" Id="R756f8d48ce474272" /><Relationship Type="http://schemas.openxmlformats.org/officeDocument/2006/relationships/worksheet" Target="/xl/worksheets/sheet38.xml" Id="Ra3866ce0c45b46b9" /><Relationship Type="http://schemas.openxmlformats.org/officeDocument/2006/relationships/worksheet" Target="/xl/worksheets/sheet39.xml" Id="R736b2e8bbe624f94" /><Relationship Type="http://schemas.openxmlformats.org/officeDocument/2006/relationships/worksheet" Target="/xl/worksheets/sheet40.xml" Id="R02645bf553ae4f9b" /><Relationship Type="http://schemas.openxmlformats.org/officeDocument/2006/relationships/worksheet" Target="/xl/worksheets/sheet41.xml" Id="Reaa707e883524fd4" /><Relationship Type="http://schemas.openxmlformats.org/officeDocument/2006/relationships/worksheet" Target="/xl/worksheets/sheet42.xml" Id="R4ff7ff1f5b5b40a2" /><Relationship Type="http://schemas.openxmlformats.org/officeDocument/2006/relationships/worksheet" Target="/xl/worksheets/sheet43.xml" Id="R64762387cef54244" /><Relationship Type="http://schemas.openxmlformats.org/officeDocument/2006/relationships/worksheet" Target="/xl/worksheets/sheet44.xml" Id="R8e663c85086f4f3d" /><Relationship Type="http://schemas.openxmlformats.org/officeDocument/2006/relationships/worksheet" Target="/xl/worksheets/sheet45.xml" Id="R3bdd022ae7ca4dd7" /><Relationship Type="http://schemas.openxmlformats.org/officeDocument/2006/relationships/worksheet" Target="/xl/worksheets/sheet46.xml" Id="Rd7a239bfa64840fc" /><Relationship Type="http://schemas.openxmlformats.org/officeDocument/2006/relationships/worksheet" Target="/xl/worksheets/sheet47.xml" Id="R71b50aec47c84a05" /><Relationship Type="http://schemas.openxmlformats.org/officeDocument/2006/relationships/worksheet" Target="/xl/worksheets/sheet48.xml" Id="R9a4cc93f339c47c7" /><Relationship Type="http://schemas.openxmlformats.org/officeDocument/2006/relationships/worksheet" Target="/xl/worksheets/sheet49.xml" Id="Rc3eb975737db4cb6" /><Relationship Type="http://schemas.openxmlformats.org/officeDocument/2006/relationships/worksheet" Target="/xl/worksheets/sheet50.xml" Id="R0a16595b43bc4a03" /><Relationship Type="http://schemas.openxmlformats.org/officeDocument/2006/relationships/worksheet" Target="/xl/worksheets/sheet51.xml" Id="R8aa1e5cb9c9a42ab" /><Relationship Type="http://schemas.openxmlformats.org/officeDocument/2006/relationships/worksheet" Target="/xl/worksheets/sheet52.xml" Id="Ra0b1360fae4f4adc" /><Relationship Type="http://schemas.openxmlformats.org/officeDocument/2006/relationships/worksheet" Target="/xl/worksheets/sheet53.xml" Id="R867fe292a1304651" /><Relationship Type="http://schemas.openxmlformats.org/officeDocument/2006/relationships/worksheet" Target="/xl/worksheets/sheet54.xml" Id="R482de47926fb4664" /><Relationship Type="http://schemas.openxmlformats.org/officeDocument/2006/relationships/worksheet" Target="/xl/worksheets/sheet55.xml" Id="R3ec4a1c268ce4226" /><Relationship Type="http://schemas.openxmlformats.org/officeDocument/2006/relationships/worksheet" Target="/xl/worksheets/sheet56.xml" Id="Rda50b220ebdc4917" /><Relationship Type="http://schemas.openxmlformats.org/officeDocument/2006/relationships/worksheet" Target="/xl/worksheets/sheet57.xml" Id="R453c270d97ef4845" /><Relationship Type="http://schemas.openxmlformats.org/officeDocument/2006/relationships/worksheet" Target="/xl/worksheets/sheet58.xml" Id="Rae3e867023784a7d" /><Relationship Type="http://schemas.openxmlformats.org/officeDocument/2006/relationships/worksheet" Target="/xl/worksheets/sheet59.xml" Id="R37aeab863cb94859" /><Relationship Type="http://schemas.openxmlformats.org/officeDocument/2006/relationships/worksheet" Target="/xl/worksheets/sheet60.xml" Id="R8d138697f7304519" /><Relationship Type="http://schemas.openxmlformats.org/officeDocument/2006/relationships/worksheet" Target="/xl/worksheets/sheet61.xml" Id="Reddb2d7c92184edc" /><Relationship Type="http://schemas.openxmlformats.org/officeDocument/2006/relationships/worksheet" Target="/xl/worksheets/sheet62.xml" Id="Rc9dc4272fa2848cf" /><Relationship Type="http://schemas.openxmlformats.org/officeDocument/2006/relationships/worksheet" Target="/xl/worksheets/sheet63.xml" Id="R0d89fe97d0d74b28" /><Relationship Type="http://schemas.openxmlformats.org/officeDocument/2006/relationships/worksheet" Target="/xl/worksheets/sheet64.xml" Id="Ra370263a44684cd7" /><Relationship Type="http://schemas.openxmlformats.org/officeDocument/2006/relationships/worksheet" Target="/xl/worksheets/sheet65.xml" Id="R80e18ccde68e41c7" /><Relationship Type="http://schemas.openxmlformats.org/officeDocument/2006/relationships/worksheet" Target="/xl/worksheets/sheet66.xml" Id="R668e0640fa424230" /><Relationship Type="http://schemas.openxmlformats.org/officeDocument/2006/relationships/worksheet" Target="/xl/worksheets/sheet67.xml" Id="Rca3b740c0e43444b" /><Relationship Type="http://schemas.openxmlformats.org/officeDocument/2006/relationships/worksheet" Target="/xl/worksheets/sheet68.xml" Id="Rf6b47f00b64c47db" /><Relationship Type="http://schemas.openxmlformats.org/officeDocument/2006/relationships/worksheet" Target="/xl/worksheets/sheet69.xml" Id="Ra2e0bf0ee02b4ebd" /><Relationship Type="http://schemas.openxmlformats.org/officeDocument/2006/relationships/worksheet" Target="/xl/worksheets/sheet70.xml" Id="Ra5a2a20e24684a06" /><Relationship Type="http://schemas.openxmlformats.org/officeDocument/2006/relationships/worksheet" Target="/xl/worksheets/sheet71.xml" Id="R3894cb41ddec4a71" /><Relationship Type="http://schemas.openxmlformats.org/officeDocument/2006/relationships/worksheet" Target="/xl/worksheets/sheet72.xml" Id="Rbd60ba08da1843cc" /><Relationship Type="http://schemas.openxmlformats.org/officeDocument/2006/relationships/worksheet" Target="/xl/worksheets/sheet73.xml" Id="R154d1c2cbd124103" /><Relationship Type="http://schemas.openxmlformats.org/officeDocument/2006/relationships/worksheet" Target="/xl/worksheets/sheet74.xml" Id="R9947968fbfe54a7e" /><Relationship Type="http://schemas.openxmlformats.org/officeDocument/2006/relationships/worksheet" Target="/xl/worksheets/sheet75.xml" Id="Rb21bbe92ac554046" /><Relationship Type="http://schemas.openxmlformats.org/officeDocument/2006/relationships/worksheet" Target="/xl/worksheets/sheet76.xml" Id="Rdc26bcf76a8a41ce" /><Relationship Type="http://schemas.openxmlformats.org/officeDocument/2006/relationships/worksheet" Target="/xl/worksheets/sheet77.xml" Id="Rf7b63e767fd747bf" /><Relationship Type="http://schemas.openxmlformats.org/officeDocument/2006/relationships/worksheet" Target="/xl/worksheets/sheet78.xml" Id="Rc0efcc4336d34b85" /><Relationship Type="http://schemas.openxmlformats.org/officeDocument/2006/relationships/worksheet" Target="/xl/worksheets/sheet79.xml" Id="R50d1ca264fe64312" /><Relationship Type="http://schemas.openxmlformats.org/officeDocument/2006/relationships/worksheet" Target="/xl/worksheets/sheet80.xml" Id="R64b142a3a1354b04" /><Relationship Type="http://schemas.openxmlformats.org/officeDocument/2006/relationships/worksheet" Target="/xl/worksheets/sheet81.xml" Id="R6432bfc0e98b462e"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ables/table46.xml><?xml version="1.0" encoding="utf-8"?>
<x:table xmlns:x="http://schemas.openxmlformats.org/spreadsheetml/2006/main" id="46" name="CYB_Apertura_y_adopcion" displayName="CYB_Apertura_y_adopcion" ref="A4:C14" headerRowCount="1" totalsRowCount="0" totalsRowShown="0">
  <x:autoFilter ref="A4:C14"/>
  <x:tableColumns count="3">
    <x:tableColumn id="1" name="Elemento"/>
    <x:tableColumn id="2" name="Estado actual"/>
    <x:tableColumn id="3" name="Fundamento"/>
  </x:tableColumns>
  <x:tableStyleInfo name="TableStyleMedium2" showFirstColumn="0" showLastColumn="0" showRowStripes="1" showColumnStripes="0"/>
</x:table>
</file>

<file path=xl/tables/table47.xml><?xml version="1.0" encoding="utf-8"?>
<x:table xmlns:x="http://schemas.openxmlformats.org/spreadsheetml/2006/main" id="47" name="CYB_Registro_diez" displayName="CYB_Registro_diez" ref="A4:L14" headerRowCount="1" totalsRowCount="0" totalsRowShown="0">
  <x:autoFilter ref="A4:L14"/>
  <x:tableColumns count="12">
    <x:tableColumn id="1" name="Alias"/>
    <x:tableColumn id="2" name="Identidad canónica"/>
    <x:tableColumn id="3" name="Versión"/>
    <x:tableColumn id="4" name="Distinción Q0"/>
    <x:tableColumn id="5" name="Nombre"/>
    <x:tableColumn id="6" name="Proposición única"/>
    <x:tableColumn id="7" name="Perfil"/>
    <x:tableColumn id="8" name="Dictamen"/>
    <x:tableColumn id="9" name="Adopción nominal"/>
    <x:tableColumn id="10" name="Expediente"/>
    <x:tableColumn id="11" name="Fuentes"/>
    <x:tableColumn id="12" name="Propiedad"/>
  </x:tableColumns>
  <x:tableStyleInfo name="TableStyleMedium2" showFirstColumn="0" showLastColumn="0" showRowStripes="1" showColumnStripes="0"/>
</x:table>
</file>

<file path=xl/tables/table48.xml><?xml version="1.0" encoding="utf-8"?>
<x:table xmlns:x="http://schemas.openxmlformats.org/spreadsheetml/2006/main" id="48" name="CYB_Contratos_atomicos" displayName="CYB_Contratos_atomicos" ref="A4:D103" headerRowCount="1" totalsRowCount="0" totalsRowShown="0">
  <x:autoFilter ref="A4:D103"/>
  <x:tableColumns count="4">
    <x:tableColumn id="1" name="Parámetro"/>
    <x:tableColumn id="2" name="Elemento"/>
    <x:tableColumn id="3" name="Contrato"/>
    <x:tableColumn id="4" name="Fuente"/>
  </x:tableColumns>
  <x:tableStyleInfo name="TableStyleMedium2" showFirstColumn="0" showLastColumn="0" showRowStripes="1" showColumnStripes="0"/>
</x:table>
</file>

<file path=xl/tables/table49.xml><?xml version="1.0" encoding="utf-8"?>
<x:table xmlns:x="http://schemas.openxmlformats.org/spreadsheetml/2006/main" id="49" name="CYB_Consecuencias_lote" displayName="CYB_Consecuencias_lote" ref="A4:G22" headerRowCount="1" totalsRowCount="0" totalsRowShown="0">
  <x:autoFilter ref="A4:G22"/>
  <x:tableColumns count="7">
    <x:tableColumn id="1" name="Consecuencia"/>
    <x:tableColumn id="2" name="Parámetro"/>
    <x:tableColumn id="3" name="Conocimiento que debe enlazarse"/>
    <x:tableColumn id="4" name="Error o exceso"/>
    <x:tableColumn id="5" name="Función alterada"/>
    <x:tableColumn id="6" name="Condición y límite"/>
    <x:tableColumn id="7" name="Fuente"/>
  </x:tableColumns>
  <x:tableStyleInfo name="TableStyleMedium2" showFirstColumn="0" showLastColumn="0" showRowStripes="1" showColumnStripes="0"/>
</x:table>
</file>

<file path=xl/tables/table50.xml><?xml version="1.0" encoding="utf-8"?>
<x:table xmlns:x="http://schemas.openxmlformats.org/spreadsheetml/2006/main" id="50" name="CYB_Atomicidad_y_ablacion" displayName="CYB_Atomicidad_y_ablacion" ref="A4:D94" headerRowCount="1" totalsRowCount="0" totalsRowShown="0">
  <x:autoFilter ref="A4:D94"/>
  <x:tableColumns count="4">
    <x:tableColumn id="1" name="Parámetro"/>
    <x:tableColumn id="2" name="Criterio"/>
    <x:tableColumn id="3" name="Prueba / razón delimitada"/>
    <x:tableColumn id="4" name="Resultado"/>
  </x:tableColumns>
  <x:tableStyleInfo name="TableStyleMedium2" showFirstColumn="0" showLastColumn="0" showRowStripes="1" showColumnStripes="0"/>
</x:table>
</file>

<file path=xl/tables/table51.xml><?xml version="1.0" encoding="utf-8"?>
<x:table xmlns:x="http://schemas.openxmlformats.org/spreadsheetml/2006/main" id="51" name="CYB_Testigos_lote" displayName="CYB_Testigos_lote" ref="A4:AB131" headerRowCount="1" totalsRowCount="0" totalsRowShown="0">
  <x:autoFilter ref="A4:AB131"/>
  <x:tableColumns count="28">
    <x:tableColumn id="1" name="Caso"/>
    <x:tableColumn id="2" name="Parámetro"/>
    <x:tableColumn id="3" name="Perfil"/>
    <x:tableColumn id="4" name="Identidad"/>
    <x:tableColumn id="5" name="Captura"/>
    <x:tableColumn id="6" name="Soporte observado"/>
    <x:tableColumn id="7" name="Presencia"/>
    <x:tableColumn id="8" name="Lexema / identidad 1"/>
    <x:tableColumn id="9" name="Lexema / identidad 2"/>
    <x:tableColumn id="10" name="Cobertura"/>
    <x:tableColumn id="11" name="Contexto"/>
    <x:tableColumn id="12" name="Clase esperada"/>
    <x:tableColumn id="13" name="Tri esperado"/>
    <x:tableColumn id="14" name="Diagnóstico esperado"/>
    <x:tableColumn id="15" name="Clase calculada"/>
    <x:tableColumn id="16" name="Tri calculado"/>
    <x:tableColumn id="17" name="Diagnóstico calculado"/>
    <x:tableColumn id="18" name="Contraste"/>
    <x:tableColumn id="19" name="Razón profesional"/>
    <x:tableColumn id="20" name="Perfil esperado por contrato"/>
    <x:tableColumn id="21" name="Soporte exigido"/>
    <x:tableColumn id="22" name="Contexto exigido"/>
    <x:tableColumn id="23" name="Modo contractual"/>
    <x:tableColumn id="24" name="Positivo contractual"/>
    <x:tableColumn id="25" name="Auxiliar contractual"/>
    <x:tableColumn id="26" name="Negativo contractual"/>
    <x:tableColumn id="27" name="Diagnóstico positivo"/>
    <x:tableColumn id="28" name="Diagnóstico negativo"/>
  </x:tableColumns>
  <x:tableStyleInfo name="TableStyleMedium2" showFirstColumn="0" showLastColumn="0" showRowStripes="1" showColumnStripes="0"/>
</x:table>
</file>

<file path=xl/tables/table52.xml><?xml version="1.0" encoding="utf-8"?>
<x:table xmlns:x="http://schemas.openxmlformats.org/spreadsheetml/2006/main" id="52" name="CYB_Adversarial_lote" displayName="CYB_Adversarial_lote" ref="A4:E24" headerRowCount="1" totalsRowCount="0" totalsRowShown="0">
  <x:autoFilter ref="A4:E24"/>
  <x:tableColumns count="5">
    <x:tableColumn id="1" name="Ataque"/>
    <x:tableColumn id="2" name="Objeto"/>
    <x:tableColumn id="3" name="Refutación buscada"/>
    <x:tableColumn id="4" name="Resolución"/>
    <x:tableColumn id="5" name="Resultado material"/>
  </x:tableColumns>
  <x:tableStyleInfo name="TableStyleMedium2" showFirstColumn="0" showLastColumn="0" showRowStripes="1" showColumnStripes="0"/>
</x:table>
</file>

<file path=xl/tables/table53.xml><?xml version="1.0" encoding="utf-8"?>
<x:table xmlns:x="http://schemas.openxmlformats.org/spreadsheetml/2006/main" id="53" name="CYB_Cobertura_Q0_actual" displayName="CYB_Cobertura_Q0_actual" ref="A4:F35" headerRowCount="1" totalsRowCount="0" totalsRowShown="0">
  <x:autoFilter ref="A4:F35"/>
  <x:tableColumns count="6">
    <x:tableColumn id="1" name="Distinción"/>
    <x:tableColumn id="2" name="Objeto"/>
    <x:tableColumn id="3" name="Parámetro enlazado"/>
    <x:tableColumn id="4" name="Estado de cobertura"/>
    <x:tableColumn id="5" name="Laguna / alcance"/>
    <x:tableColumn id="6" name="Regla"/>
  </x:tableColumns>
  <x:tableStyleInfo name="TableStyleMedium2" showFirstColumn="0" showLastColumn="0" showRowStripes="1" showColumnStripes="0"/>
</x:table>
</file>

<file path=xl/tables/table54.xml><?xml version="1.0" encoding="utf-8"?>
<x:table xmlns:x="http://schemas.openxmlformats.org/spreadsheetml/2006/main" id="54" name="CYB_Fuentes_lote" displayName="CYB_Fuentes_lote" ref="A4:J11" headerRowCount="1" totalsRowCount="0" totalsRowShown="0">
  <x:autoFilter ref="A4:J11"/>
  <x:tableColumns count="10">
    <x:tableColumn id="1" name="ID"/>
    <x:tableColumn id="2" name="Título"/>
    <x:tableColumn id="3" name="URL"/>
    <x:tableColumn id="4" name="Localizador"/>
    <x:tableColumn id="5" name="Alcance leído"/>
    <x:tableColumn id="6" name="Fecha visible"/>
    <x:tableColumn id="7" name="ms.date"/>
    <x:tableColumn id="8" name="Bytes exactos"/>
    <x:tableColumn id="9" name="SHA-256"/>
    <x:tableColumn id="10" name="Estatuto"/>
  </x:tableColumns>
  <x:tableStyleInfo name="TableStyleMedium2" showFirstColumn="0" showLastColumn="0" showRowStripes="1" showColumnStripes="0"/>
</x:table>
</file>

<file path=xl/tables/table55.xml><?xml version="1.0" encoding="utf-8"?>
<x:table xmlns:x="http://schemas.openxmlformats.org/spreadsheetml/2006/main" id="55" name="CYB_Control_lote" displayName="CYB_Control_lote" ref="A4:E18" headerRowCount="1" totalsRowCount="0" totalsRowShown="0">
  <x:autoFilter ref="A4:E18"/>
  <x:tableColumns count="5">
    <x:tableColumn id="1" name="Control"/>
    <x:tableColumn id="2" name="Magnitud"/>
    <x:tableColumn id="3" name="Observado"/>
    <x:tableColumn id="4" name="Esperado"/>
    <x:tableColumn id="5" name="Alcance"/>
  </x:tableColumns>
  <x:tableStyleInfo name="TableStyleMedium2" showFirstColumn="0" showLastColumn="0" showRowStripes="1" showColumnStripes="0"/>
</x:table>
</file>

<file path=xl/tables/table56.xml><?xml version="1.0" encoding="utf-8"?>
<x:table xmlns:x="http://schemas.openxmlformats.org/spreadsheetml/2006/main" id="56" name="CYB_Codificacion_ensayo" displayName="CYB_Codificacion_ensayo" ref="A4:J13" headerRowCount="1" totalsRowCount="0" totalsRowShown="0">
  <x:autoFilter ref="A4:J13"/>
  <x:tableColumns count="10">
    <x:tableColumn id="1" name="Parámetro"/>
    <x:tableColumn id="2" name="Perfil"/>
    <x:tableColumn id="3" name="Soporte requerido"/>
    <x:tableColumn id="4" name="Contexto requerido"/>
    <x:tableColumn id="5" name="Modo"/>
    <x:tableColumn id="6" name="Positivo 1"/>
    <x:tableColumn id="7" name="Auxiliar"/>
    <x:tableColumn id="8" name="Negativo"/>
    <x:tableColumn id="9" name="Diagnóstico 1"/>
    <x:tableColumn id="10" name="Diagnóstico 0"/>
  </x:tableColumns>
  <x:tableStyleInfo name="TableStyleMedium2" showFirstColumn="0" showLastColumn="0" showRowStripes="1" showColumnStripes="0"/>
</x:table>
</file>

<file path=xl/tables/table57.xml><?xml version="1.0" encoding="utf-8"?>
<x:table xmlns:x="http://schemas.openxmlformats.org/spreadsheetml/2006/main" id="57" name="CYB06_56" displayName="CYB06_56" ref="A4:D15" headerRowCount="1" totalsRowCount="0" totalsRowShown="0">
  <x:autoFilter ref="A4:D15"/>
  <x:tableColumns count="4">
    <x:tableColumn id="1" name="Cuestión"/>
    <x:tableColumn id="2" name="Resultado"/>
    <x:tableColumn id="3" name="Fundamento"/>
    <x:tableColumn id="4" name="Límite o siguiente responsable"/>
  </x:tableColumns>
  <x:tableStyleInfo name="TableStyleMedium2" showFirstColumn="0" showLastColumn="0" showRowStripes="1" showColumnStripes="0"/>
</x:table>
</file>

<file path=xl/tables/table58.xml><?xml version="1.0" encoding="utf-8"?>
<x:table xmlns:x="http://schemas.openxmlformats.org/spreadsheetml/2006/main" id="58" name="CYB06_57" displayName="CYB06_57" ref="A4:H19" headerRowCount="1" totalsRowCount="0" totalsRowShown="0">
  <x:autoFilter ref="A4:H19"/>
  <x:tableColumns count="8">
    <x:tableColumn id="1" name="Alias"/>
    <x:tableColumn id="2" name="Identidad canónica"/>
    <x:tableColumn id="3" name="Nombre"/>
    <x:tableColumn id="4" name="Q0"/>
    <x:tableColumn id="5" name="Proposición única"/>
    <x:tableColumn id="6" name="Estatuto vigente"/>
    <x:tableColumn id="7" name="Perfil / contrato"/>
    <x:tableColumn id="8" name="Límite"/>
  </x:tableColumns>
  <x:tableStyleInfo name="TableStyleMedium2" showFirstColumn="0" showLastColumn="0" showRowStripes="1" showColumnStripes="0"/>
</x:table>
</file>

<file path=xl/tables/table59.xml><?xml version="1.0" encoding="utf-8"?>
<x:table xmlns:x="http://schemas.openxmlformats.org/spreadsheetml/2006/main" id="59" name="CYB06_58" displayName="CYB06_58" ref="A4:D59" headerRowCount="1" totalsRowCount="0" totalsRowShown="0">
  <x:autoFilter ref="A4:D59"/>
  <x:tableColumns count="4">
    <x:tableColumn id="1" name="Alias"/>
    <x:tableColumn id="2" name="Identidad"/>
    <x:tableColumn id="3" name="Componente contractual"/>
    <x:tableColumn id="4" name="Contenido"/>
  </x:tableColumns>
  <x:tableStyleInfo name="TableStyleMedium2" showFirstColumn="0" showLastColumn="0" showRowStripes="1" showColumnStripes="0"/>
</x:table>
</file>

<file path=xl/tables/table60.xml><?xml version="1.0" encoding="utf-8"?>
<x:table xmlns:x="http://schemas.openxmlformats.org/spreadsheetml/2006/main" id="60" name="CYB06_59" displayName="CYB06_59" ref="A4:F35" headerRowCount="1" totalsRowCount="0" totalsRowShown="0">
  <x:autoFilter ref="A4:F35"/>
  <x:tableColumns count="6">
    <x:tableColumn id="1" name="Distinción"/>
    <x:tableColumn id="2" name="Referencias"/>
    <x:tableColumn id="3" name="Estatuto"/>
    <x:tableColumn id="4" name="Resolución documental"/>
    <x:tableColumn id="5" name="Terminación"/>
    <x:tableColumn id="6" name="Dependencia que bloquea capacidad"/>
  </x:tableColumns>
  <x:tableStyleInfo name="TableStyleMedium2" showFirstColumn="0" showLastColumn="0" showRowStripes="1" showColumnStripes="0"/>
</x:table>
</file>

<file path=xl/tables/table61.xml><?xml version="1.0" encoding="utf-8"?>
<x:table xmlns:x="http://schemas.openxmlformats.org/spreadsheetml/2006/main" id="61" name="CYB06_60" displayName="CYB06_60" ref="A4:D88" headerRowCount="1" totalsRowCount="0" totalsRowShown="0">
  <x:autoFilter ref="A4:D88"/>
  <x:tableColumns count="4">
    <x:tableColumn id="1" name="Control"/>
    <x:tableColumn id="2" name="Nombre"/>
    <x:tableColumn id="3" name="Apartado"/>
    <x:tableColumn id="4" name="Contrato y consecuencia"/>
  </x:tableColumns>
  <x:tableStyleInfo name="TableStyleMedium2" showFirstColumn="0" showLastColumn="0" showRowStripes="1" showColumnStripes="0"/>
</x:table>
</file>

<file path=xl/tables/table62.xml><?xml version="1.0" encoding="utf-8"?>
<x:table xmlns:x="http://schemas.openxmlformats.org/spreadsheetml/2006/main" id="62" name="CYB06_61" displayName="CYB06_61" ref="A4:F20" headerRowCount="1" totalsRowCount="0" totalsRowShown="0">
  <x:autoFilter ref="A4:F20"/>
  <x:tableColumns count="6">
    <x:tableColumn id="1" name="Relación"/>
    <x:tableColumn id="2" name="Antecedente"/>
    <x:tableColumn id="3" name="Consecuente"/>
    <x:tableColumn id="4" name="Relación / condición"/>
    <x:tableColumn id="5" name="Consecuencia de omisión"/>
    <x:tableColumn id="6" name="Q0"/>
  </x:tableColumns>
  <x:tableStyleInfo name="TableStyleMedium2" showFirstColumn="0" showLastColumn="0" showRowStripes="1" showColumnStripes="0"/>
</x:table>
</file>

<file path=xl/tables/table63.xml><?xml version="1.0" encoding="utf-8"?>
<x:table xmlns:x="http://schemas.openxmlformats.org/spreadsheetml/2006/main" id="63" name="CYB06_62" displayName="CYB06_62" ref="A4:S69" headerRowCount="1" totalsRowCount="0" totalsRowShown="0">
  <x:autoFilter ref="A4:S69"/>
  <x:tableColumns count="19">
    <x:tableColumn id="1" name="Caso"/>
    <x:tableColumn id="2" name="Parámetro"/>
    <x:tableColumn id="3" name="Ataque"/>
    <x:tableColumn id="4" name="Recepción"/>
    <x:tableColumn id="5" name="Perfil"/>
    <x:tableColumn id="6" name="Pertinencia"/>
    <x:tableColumn id="7" name="Observación"/>
    <x:tableColumn id="8" name="Conflicto"/>
    <x:tableColumn id="9" name="Tipo"/>
    <x:tableColumn id="10" name="Tipo objetivo"/>
    <x:tableColumn id="11" name="Valor"/>
    <x:tableColumn id="12" name="Objetivo"/>
    <x:tableColumn id="13" name="Ancla exacta"/>
    <x:tableColumn id="14" name="Corte exacto"/>
    <x:tableColumn id="15" name="Cobertura"/>
    <x:tableColumn id="16" name="Esperado previo"/>
    <x:tableColumn id="17" name="Resultado ejecutado"/>
    <x:tableColumn id="18" name="Concordancia Excel"/>
    <x:tableColumn id="19" name="Entrada íntegra"/>
  </x:tableColumns>
  <x:tableStyleInfo name="TableStyleMedium2" showFirstColumn="0" showLastColumn="0" showRowStripes="1" showColumnStripes="0"/>
</x:table>
</file>

<file path=xl/tables/table64.xml><?xml version="1.0" encoding="utf-8"?>
<x:table xmlns:x="http://schemas.openxmlformats.org/spreadsheetml/2006/main" id="64" name="CYB06_63" displayName="CYB06_63" ref="A4:F59" headerRowCount="1" totalsRowCount="0" totalsRowShown="0">
  <x:autoFilter ref="A4:F59"/>
  <x:tableColumns count="6">
    <x:tableColumn id="1" name="Caso"/>
    <x:tableColumn id="2" name="Ataque"/>
    <x:tableColumn id="3" name="Esperado previo"/>
    <x:tableColumn id="4" name="Resultado ejecutado"/>
    <x:tableColumn id="5" name="Concordancia Excel"/>
    <x:tableColumn id="6" name="Alcance"/>
  </x:tableColumns>
  <x:tableStyleInfo name="TableStyleMedium2" showFirstColumn="0" showLastColumn="0" showRowStripes="1" showColumnStripes="0"/>
</x:table>
</file>

<file path=xl/tables/table65.xml><?xml version="1.0" encoding="utf-8"?>
<x:table xmlns:x="http://schemas.openxmlformats.org/spreadsheetml/2006/main" id="65" name="CYB06_64" displayName="CYB06_64" ref="A4:D31" headerRowCount="1" totalsRowCount="0" totalsRowShown="0">
  <x:autoFilter ref="A4:D31"/>
  <x:tableColumns count="4">
    <x:tableColumn id="1" name="ID"/>
    <x:tableColumn id="2" name="Ataque / deuda"/>
    <x:tableColumn id="3" name="Resultado / responsable"/>
    <x:tableColumn id="4" name="Resolución / capacidad bloqueada"/>
  </x:tableColumns>
  <x:tableStyleInfo name="TableStyleMedium2" showFirstColumn="0" showLastColumn="0" showRowStripes="1" showColumnStripes="0"/>
</x:table>
</file>

<file path=xl/tables/table66.xml><?xml version="1.0" encoding="utf-8"?>
<x:table xmlns:x="http://schemas.openxmlformats.org/spreadsheetml/2006/main" id="66" name="CYB06_65" displayName="CYB06_65" ref="A4:H9" headerRowCount="1" totalsRowCount="0" totalsRowShown="0">
  <x:autoFilter ref="A4:H9"/>
  <x:tableColumns count="8">
    <x:tableColumn id="1" name="ID"/>
    <x:tableColumn id="2" name="Fuente"/>
    <x:tableColumn id="3" name="URL"/>
    <x:tableColumn id="4" name="Localizador aplicado"/>
    <x:tableColumn id="5" name="Edición / metadato"/>
    <x:tableColumn id="6" name="SHA-256 original"/>
    <x:tableColumn id="7" name="Bytes"/>
    <x:tableColumn id="8" name="Captura / corte"/>
  </x:tableColumns>
  <x:tableStyleInfo name="TableStyleMedium2" showFirstColumn="0" showLastColumn="0" showRowStripes="1" showColumnStripes="0"/>
</x:table>
</file>

<file path=xl/tables/table67.xml><?xml version="1.0" encoding="utf-8"?>
<x:table xmlns:x="http://schemas.openxmlformats.org/spreadsheetml/2006/main" id="67" name="CYB07_66" displayName="CYB07_66" ref="A4:C19" headerRowCount="1" totalsRowCount="0" totalsRowShown="0">
  <x:autoFilter ref="A4:C19"/>
  <x:tableColumns count="3">
    <x:tableColumn id="1" name="Cuestión"/>
    <x:tableColumn id="2" name="Resultado"/>
    <x:tableColumn id="3" name="Fundamento"/>
  </x:tableColumns>
  <x:tableStyleInfo name="TableStyleMedium2" showFirstColumn="0" showLastColumn="0" showRowStripes="1" showColumnStripes="0"/>
</x:table>
</file>

<file path=xl/tables/table68.xml><?xml version="1.0" encoding="utf-8"?>
<x:table xmlns:x="http://schemas.openxmlformats.org/spreadsheetml/2006/main" id="68" name="CYB07_67" displayName="CYB07_67" ref="A4:K28" headerRowCount="1" totalsRowCount="0" totalsRowShown="0">
  <x:autoFilter ref="A4:K28"/>
  <x:tableColumns count="11">
    <x:tableColumn id="1" name="Parámetro"/>
    <x:tableColumn id="2" name="Identidad estable"/>
    <x:tableColumn id="3" name="Versión"/>
    <x:tableColumn id="4" name="Denominación"/>
    <x:tableColumn id="5" name="Sujeto"/>
    <x:tableColumn id="6" name="Proposición"/>
    <x:tableColumn id="7" name="Condición de 1"/>
    <x:tableColumn id="8" name="Condición de 0"/>
    <x:tableColumn id="9" name="Condición de U"/>
    <x:tableColumn id="10" name="Observación y límites"/>
    <x:tableColumn id="11" name="Fuentes"/>
  </x:tableColumns>
  <x:tableStyleInfo name="TableStyleMedium2" showFirstColumn="0" showLastColumn="0" showRowStripes="1" showColumnStripes="0"/>
</x:table>
</file>

<file path=xl/tables/table69.xml><?xml version="1.0" encoding="utf-8"?>
<x:table xmlns:x="http://schemas.openxmlformats.org/spreadsheetml/2006/main" id="69" name="CYB07_68" displayName="CYB07_68" ref="A4:I28" headerRowCount="1" totalsRowCount="0" totalsRowShown="0">
  <x:autoFilter ref="A4:I28"/>
  <x:tableColumns count="9">
    <x:tableColumn id="1" name="Parámetro"/>
    <x:tableColumn id="2" name="Conocimiento necesario"/>
    <x:tableColumn id="3" name="Relación"/>
    <x:tableColumn id="4" name="Consecuencia de omisión"/>
    <x:tableColumn id="5" name="Consecuencia del exceso"/>
    <x:tableColumn id="6" name="Variación independiente"/>
    <x:tableColumn id="7" name="Partición examinada"/>
    <x:tableColumn id="8" name="Comparación principal"/>
    <x:tableColumn id="9" name="Fuentes"/>
  </x:tableColumns>
  <x:tableStyleInfo name="TableStyleMedium2" showFirstColumn="0" showLastColumn="0" showRowStripes="1" showColumnStripes="0"/>
</x:table>
</file>

<file path=xl/tables/table70.xml><?xml version="1.0" encoding="utf-8"?>
<x:table xmlns:x="http://schemas.openxmlformats.org/spreadsheetml/2006/main" id="70" name="CYB07_69" displayName="CYB07_69" ref="A4:F113" headerRowCount="1" totalsRowCount="0" totalsRowShown="0">
  <x:autoFilter ref="A4:F113"/>
  <x:tableColumns count="6">
    <x:tableColumn id="1" name="Tipo"/>
    <x:tableColumn id="2" name="Identidad"/>
    <x:tableColumn id="3" name="Necesidad examinada"/>
    <x:tableColumn id="4" name="Representación o resolución"/>
    <x:tableColumn id="5" name="Justificación y contraejemplo"/>
    <x:tableColumn id="6" name="Fundamento"/>
  </x:tableColumns>
  <x:tableStyleInfo name="TableStyleMedium2" showFirstColumn="0" showLastColumn="0" showRowStripes="1" showColumnStripes="0"/>
</x:table>
</file>

<file path=xl/tables/table71.xml><?xml version="1.0" encoding="utf-8"?>
<x:table xmlns:x="http://schemas.openxmlformats.org/spreadsheetml/2006/main" id="71" name="CYB07_70" displayName="CYB07_70" ref="A4:L33" headerRowCount="1" totalsRowCount="0" totalsRowShown="0">
  <x:autoFilter ref="A4:L33"/>
  <x:tableColumns count="12">
    <x:tableColumn id="1" name="Operación"/>
    <x:tableColumn id="2" name="Familia profesional"/>
    <x:tableColumn id="3" name="Universos compacto"/>
    <x:tableColumn id="4" name="Universos central"/>
    <x:tableColumn id="5" name="Universos amplio"/>
    <x:tableColumn id="6" name="Adicionales compacto"/>
    <x:tableColumn id="7" name="Adicionales central"/>
    <x:tableColumn id="8" name="Adicionales amplio"/>
    <x:tableColumn id="9" name="Justificación de partición"/>
    <x:tableColumn id="10" name="Conocimiento de base"/>
    <x:tableColumn id="11" name="Consecuencia de omitirlo"/>
    <x:tableColumn id="12" name="Referencia educativa"/>
  </x:tableColumns>
  <x:tableStyleInfo name="TableStyleMedium2" showFirstColumn="0" showLastColumn="0" showRowStripes="1" showColumnStripes="0"/>
</x:table>
</file>

<file path=xl/tables/table72.xml><?xml version="1.0" encoding="utf-8"?>
<x:table xmlns:x="http://schemas.openxmlformats.org/spreadsheetml/2006/main" id="72" name="CYB07_71" displayName="CYB07_71" ref="A4:I82" headerRowCount="1" totalsRowCount="0" totalsRowShown="0">
  <x:autoFilter ref="A4:I82"/>
  <x:tableColumns count="9">
    <x:tableColumn id="1" name="Referencia"/>
    <x:tableColumn id="2" name="Autoría"/>
    <x:tableColumn id="3" name="Título"/>
    <x:tableColumn id="4" name="Fecha o edición"/>
    <x:tableColumn id="5" name="Documento original"/>
    <x:tableColumn id="6" name="Localizador"/>
    <x:tableColumn id="7" name="Aportación y límite"/>
    <x:tableColumn id="8" name="SHA-256 del original"/>
    <x:tableColumn id="9" name="Bytes"/>
  </x:tableColumns>
  <x:tableStyleInfo name="TableStyleMedium2" showFirstColumn="0" showLastColumn="0" showRowStripes="1" showColumnStripes="0"/>
</x:table>
</file>

<file path=xl/tables/table73.xml><?xml version="1.0" encoding="utf-8"?>
<x:table xmlns:x="http://schemas.openxmlformats.org/spreadsheetml/2006/main" id="73" name="CYB07_72" displayName="CYB07_72" ref="A4:F68" headerRowCount="1" totalsRowCount="0" totalsRowShown="0">
  <x:autoFilter ref="A4:F68"/>
  <x:tableColumns count="6">
    <x:tableColumn id="1" name="Caso"/>
    <x:tableColumn id="2" name="Parámetro"/>
    <x:tableColumn id="3" name="Supuesto contrastado"/>
    <x:tableColumn id="4" name="Esperado"/>
    <x:tableColumn id="5" name="Obtenido"/>
    <x:tableColumn id="6" name="Concordancia"/>
  </x:tableColumns>
  <x:tableStyleInfo name="TableStyleMedium2" showFirstColumn="0" showLastColumn="0" showRowStripes="1" showColumnStripes="0"/>
</x:table>
</file>

<file path=xl/tables/table74.xml><?xml version="1.0" encoding="utf-8"?>
<x:table xmlns:x="http://schemas.openxmlformats.org/spreadsheetml/2006/main" id="74" name="CYB09_73" displayName="CYB09_73" ref="A4:C21" headerRowCount="1" totalsRowCount="0" totalsRowShown="0">
  <x:autoFilter ref="A4:C21"/>
  <x:tableColumns count="3">
    <x:tableColumn id="1" name="Cuestión"/>
    <x:tableColumn id="2" name="Resultado actual"/>
    <x:tableColumn id="3" name="Fundamento y alcance"/>
  </x:tableColumns>
  <x:tableStyleInfo name="TableStyleMedium2" showFirstColumn="0" showLastColumn="0" showRowStripes="1" showColumnStripes="0"/>
</x:table>
</file>

<file path=xl/tables/table75.xml><?xml version="1.0" encoding="utf-8"?>
<x:table xmlns:x="http://schemas.openxmlformats.org/spreadsheetml/2006/main" id="75" name="CYB09_74" displayName="CYB09_74" ref="A4:Q12" headerRowCount="1" totalsRowCount="0" totalsRowShown="0">
  <x:autoFilter ref="A4:Q12"/>
  <x:tableColumns count="17">
    <x:tableColumn id="1" name="Parámetro"/>
    <x:tableColumn id="2" name="Identidad estable"/>
    <x:tableColumn id="3" name="Versión"/>
    <x:tableColumn id="4" name="Denominación"/>
    <x:tableColumn id="5" name="Sujeto"/>
    <x:tableColumn id="6" name="Proposición"/>
    <x:tableColumn id="7" name="Condición de 1"/>
    <x:tableColumn id="8" name="Condición de 0"/>
    <x:tableColumn id="9" name="Condición de U"/>
    <x:tableColumn id="10" name="Observación y perfil"/>
    <x:tableColumn id="11" name="Conocimiento necesario"/>
    <x:tableColumn id="12" name="Relación"/>
    <x:tableColumn id="13" name="Consecuencia de omisión"/>
    <x:tableColumn id="14" name="Límite frente al exceso"/>
    <x:tableColumn id="15" name="Variación independiente"/>
    <x:tableColumn id="16" name="Partición examinada"/>
    <x:tableColumn id="17" name="Fuentes"/>
  </x:tableColumns>
  <x:tableStyleInfo name="TableStyleMedium2" showFirstColumn="0" showLastColumn="0" showRowStripes="1" showColumnStripes="0"/>
</x:table>
</file>

<file path=xl/tables/table76.xml><?xml version="1.0" encoding="utf-8"?>
<x:table xmlns:x="http://schemas.openxmlformats.org/spreadsheetml/2006/main" id="76" name="CYB09_75" displayName="CYB09_75" ref="A4:H54" headerRowCount="1" totalsRowCount="0" totalsRowShown="0">
  <x:autoFilter ref="A4:H54"/>
  <x:tableColumns count="8">
    <x:tableColumn id="1" name="Tipo"/>
    <x:tableColumn id="2" name="Identidad"/>
    <x:tableColumn id="3" name="Necesidad"/>
    <x:tableColumn id="4" name="Clasificación"/>
    <x:tableColumn id="5" name="Contrato o argumento"/>
    <x:tableColumn id="6" name="Contraejemplo o consecuencia"/>
    <x:tableColumn id="7" name="Resolución o destino"/>
    <x:tableColumn id="8" name="Fundamento"/>
  </x:tableColumns>
  <x:tableStyleInfo name="TableStyleMedium2" showFirstColumn="0" showLastColumn="0" showRowStripes="1" showColumnStripes="0"/>
</x:table>
</file>

<file path=xl/tables/table77.xml><?xml version="1.0" encoding="utf-8"?>
<x:table xmlns:x="http://schemas.openxmlformats.org/spreadsheetml/2006/main" id="77" name="CYB09_76" displayName="CYB09_76" ref="A4:I63" headerRowCount="1" totalsRowCount="0" totalsRowShown="0">
  <x:autoFilter ref="A4:I63"/>
  <x:tableColumns count="9">
    <x:tableColumn id="1" name="Producto"/>
    <x:tableColumn id="2" name="Operación"/>
    <x:tableColumn id="3" name="Resultado profesional"/>
    <x:tableColumn id="4" name="Grupo compacto"/>
    <x:tableColumn id="5" name="Grupo central"/>
    <x:tableColumn id="6" name="Grupo amplio"/>
    <x:tableColumn id="7" name="Estatuto"/>
    <x:tableColumn id="8" name="Razón de partición"/>
    <x:tableColumn id="9" name="Referencia educativa"/>
  </x:tableColumns>
  <x:tableStyleInfo name="TableStyleMedium2" showFirstColumn="0" showLastColumn="0" showRowStripes="1" showColumnStripes="0"/>
</x:table>
</file>

<file path=xl/tables/table78.xml><?xml version="1.0" encoding="utf-8"?>
<x:table xmlns:x="http://schemas.openxmlformats.org/spreadsheetml/2006/main" id="78" name="CYB09_77" displayName="CYB09_77" ref="A4:O33" headerRowCount="1" totalsRowCount="0" totalsRowShown="0">
  <x:autoFilter ref="A4:O33"/>
  <x:tableColumns count="15">
    <x:tableColumn id="1" name="Operación"/>
    <x:tableColumn id="2" name="Familia profesional"/>
    <x:tableColumn id="3" name="Universos compacto"/>
    <x:tableColumn id="4" name="Universos central"/>
    <x:tableColumn id="5" name="Universos amplio"/>
    <x:tableColumn id="6" name="Presupuesto compacto anterior"/>
    <x:tableColumn id="7" name="Presupuesto central anterior"/>
    <x:tableColumn id="8" name="Presupuesto amplio anterior"/>
    <x:tableColumn id="9" name="Identidades ya contadas"/>
    <x:tableColumn id="10" name="Descuento"/>
    <x:tableColumn id="11" name="Pendientes compacto"/>
    <x:tableColumn id="12" name="Pendientes central"/>
    <x:tableColumn id="13" name="Pendientes amplio"/>
    <x:tableColumn id="14" name="Razón de separación"/>
    <x:tableColumn id="15" name="Referencia educativa"/>
  </x:tableColumns>
  <x:tableStyleInfo name="TableStyleMedium2" showFirstColumn="0" showLastColumn="0" showRowStripes="1" showColumnStripes="0"/>
</x:table>
</file>

<file path=xl/tables/table79.xml><?xml version="1.0" encoding="utf-8"?>
<x:table xmlns:x="http://schemas.openxmlformats.org/spreadsheetml/2006/main" id="79" name="CYB09_78" displayName="CYB09_78" ref="A4:H12" headerRowCount="1" totalsRowCount="0" totalsRowShown="0">
  <x:autoFilter ref="A4:H12"/>
  <x:tableColumns count="8">
    <x:tableColumn id="1" name="Requisito"/>
    <x:tableColumn id="2" name="Necesidad"/>
    <x:tableColumn id="3" name="Destinos"/>
    <x:tableColumn id="4" name="Oferta inspeccionada"/>
    <x:tableColumn id="5" name="Contraste exigido"/>
    <x:tableColumn id="6" name="Testigos"/>
    <x:tableColumn id="7" name="Dictamen actual"/>
    <x:tableColumn id="8" name="Responsabilidad"/>
  </x:tableColumns>
  <x:tableStyleInfo name="TableStyleMedium2" showFirstColumn="0" showLastColumn="0" showRowStripes="1" showColumnStripes="0"/>
</x:table>
</file>

<file path=xl/tables/table80.xml><?xml version="1.0" encoding="utf-8"?>
<x:table xmlns:x="http://schemas.openxmlformats.org/spreadsheetml/2006/main" id="80" name="CYB09_79" displayName="CYB09_79" ref="A4:G50" headerRowCount="1" totalsRowCount="0" totalsRowShown="0">
  <x:autoFilter ref="A4:G50"/>
  <x:tableColumns count="7">
    <x:tableColumn id="1" name="Caso"/>
    <x:tableColumn id="2" name="Parámetro"/>
    <x:tableColumn id="3" name="Supuesto"/>
    <x:tableColumn id="4" name="Entrada sintética"/>
    <x:tableColumn id="5" name="Esperado"/>
    <x:tableColumn id="6" name="Obtenido"/>
    <x:tableColumn id="7" name="Concordancia"/>
  </x:tableColumns>
  <x:tableStyleInfo name="TableStyleMedium2" showFirstColumn="0" showLastColumn="0" showRowStripes="1" showColumnStripes="0"/>
</x:table>
</file>

<file path=xl/tables/table81.xml><?xml version="1.0" encoding="utf-8"?>
<x:table xmlns:x="http://schemas.openxmlformats.org/spreadsheetml/2006/main" id="81" name="CYB09_80" displayName="CYB09_80" ref="A4:K16" headerRowCount="1" totalsRowCount="0" totalsRowShown="0">
  <x:autoFilter ref="A4:K16"/>
  <x:tableColumns count="11">
    <x:tableColumn id="1" name="Referencia"/>
    <x:tableColumn id="2" name="Autoría"/>
    <x:tableColumn id="3" name="Título"/>
    <x:tableColumn id="4" name="Edición o fecha"/>
    <x:tableColumn id="5" name="Naturaleza"/>
    <x:tableColumn id="6" name="Fuente o copia"/>
    <x:tableColumn id="7" name="Localizador"/>
    <x:tableColumn id="8" name="Lectura y límite"/>
    <x:tableColumn id="9" name="Aportación"/>
    <x:tableColumn id="10" name="SHA-256 de la copia"/>
    <x:tableColumn id="11" name="By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9ba295bf824d87" /></Relationships>
</file>

<file path=xl/worksheets/_rels/sheet2.xml.rels>&#65279;<?xml version="1.0" encoding="utf-8"?><Relationships xmlns="http://schemas.openxmlformats.org/package/2006/relationships"><Relationship Type="http://schemas.openxmlformats.org/officeDocument/2006/relationships/table" Target="/xl/tables/table2.xml" Id="Rb68a1bfc240d4a92" /></Relationships>
</file>

<file path=xl/worksheets/_rels/sheet3.xml.rels>&#65279;<?xml version="1.0" encoding="utf-8"?><Relationships xmlns="http://schemas.openxmlformats.org/package/2006/relationships"><Relationship Type="http://schemas.openxmlformats.org/officeDocument/2006/relationships/table" Target="/xl/tables/table3.xml" Id="Rd8e6c3fd934d4ea7" /></Relationships>
</file>

<file path=xl/worksheets/_rels/sheet4.xml.rels>&#65279;<?xml version="1.0" encoding="utf-8"?><Relationships xmlns="http://schemas.openxmlformats.org/package/2006/relationships"><Relationship Type="http://schemas.openxmlformats.org/officeDocument/2006/relationships/table" Target="/xl/tables/table4.xml" Id="Ra38961a4f6f64af0" /></Relationships>
</file>

<file path=xl/worksheets/_rels/sheet5.xml.rels>&#65279;<?xml version="1.0" encoding="utf-8"?><Relationships xmlns="http://schemas.openxmlformats.org/package/2006/relationships"><Relationship Type="http://schemas.openxmlformats.org/officeDocument/2006/relationships/table" Target="/xl/tables/table5.xml" Id="Rf684975a61ee4651" /></Relationships>
</file>

<file path=xl/worksheets/_rels/sheet6.xml.rels>&#65279;<?xml version="1.0" encoding="utf-8"?><Relationships xmlns="http://schemas.openxmlformats.org/package/2006/relationships"><Relationship Type="http://schemas.openxmlformats.org/officeDocument/2006/relationships/table" Target="/xl/tables/table6.xml" Id="Rad0ad3971faf4b33" /></Relationships>
</file>

<file path=xl/worksheets/_rels/sheet7.xml.rels>&#65279;<?xml version="1.0" encoding="utf-8"?><Relationships xmlns="http://schemas.openxmlformats.org/package/2006/relationships"><Relationship Type="http://schemas.openxmlformats.org/officeDocument/2006/relationships/table" Target="/xl/tables/table7.xml" Id="Rc560dbead3814a85" /></Relationships>
</file>

<file path=xl/worksheets/_rels/sheet8.xml.rels>&#65279;<?xml version="1.0" encoding="utf-8"?><Relationships xmlns="http://schemas.openxmlformats.org/package/2006/relationships"><Relationship Type="http://schemas.openxmlformats.org/officeDocument/2006/relationships/table" Target="/xl/tables/table8.xml" Id="R2af02203aac44165" /></Relationships>
</file>

<file path=xl/worksheets/_rels/sheet9.xml.rels>&#65279;<?xml version="1.0" encoding="utf-8"?><Relationships xmlns="http://schemas.openxmlformats.org/package/2006/relationships"><Relationship Type="http://schemas.openxmlformats.org/officeDocument/2006/relationships/table" Target="/xl/tables/table9.xml" Id="Rced68f1bd37c4a18" /></Relationships>
</file>

<file path=xl/worksheets/_rels/sheet10.xml.rels>&#65279;<?xml version="1.0" encoding="utf-8"?><Relationships xmlns="http://schemas.openxmlformats.org/package/2006/relationships"><Relationship Type="http://schemas.openxmlformats.org/officeDocument/2006/relationships/table" Target="/xl/tables/table10.xml" Id="R4059a99e924941a7" /></Relationships>
</file>

<file path=xl/worksheets/_rels/sheet11.xml.rels>&#65279;<?xml version="1.0" encoding="utf-8"?><Relationships xmlns="http://schemas.openxmlformats.org/package/2006/relationships"><Relationship Type="http://schemas.openxmlformats.org/officeDocument/2006/relationships/table" Target="/xl/tables/table11.xml" Id="R0af0ff600ffd41fe" /></Relationships>
</file>

<file path=xl/worksheets/_rels/sheet12.xml.rels>&#65279;<?xml version="1.0" encoding="utf-8"?><Relationships xmlns="http://schemas.openxmlformats.org/package/2006/relationships"><Relationship Type="http://schemas.openxmlformats.org/officeDocument/2006/relationships/table" Target="/xl/tables/table12.xml" Id="R38d69a9e64ab426e" /></Relationships>
</file>

<file path=xl/worksheets/_rels/sheet13.xml.rels>&#65279;<?xml version="1.0" encoding="utf-8"?><Relationships xmlns="http://schemas.openxmlformats.org/package/2006/relationships"><Relationship Type="http://schemas.openxmlformats.org/officeDocument/2006/relationships/table" Target="/xl/tables/table13.xml" Id="R4c74586ba8434148" /></Relationships>
</file>

<file path=xl/worksheets/_rels/sheet14.xml.rels>&#65279;<?xml version="1.0" encoding="utf-8"?><Relationships xmlns="http://schemas.openxmlformats.org/package/2006/relationships"><Relationship Type="http://schemas.openxmlformats.org/officeDocument/2006/relationships/table" Target="/xl/tables/table14.xml" Id="R7d8f3fbf191e4af3" /></Relationships>
</file>

<file path=xl/worksheets/_rels/sheet15.xml.rels>&#65279;<?xml version="1.0" encoding="utf-8"?><Relationships xmlns="http://schemas.openxmlformats.org/package/2006/relationships"><Relationship Type="http://schemas.openxmlformats.org/officeDocument/2006/relationships/table" Target="/xl/tables/table15.xml" Id="R1fe9e7b73053438b" /></Relationships>
</file>

<file path=xl/worksheets/_rels/sheet16.xml.rels>&#65279;<?xml version="1.0" encoding="utf-8"?><Relationships xmlns="http://schemas.openxmlformats.org/package/2006/relationships"><Relationship Type="http://schemas.openxmlformats.org/officeDocument/2006/relationships/table" Target="/xl/tables/table16.xml" Id="R1df46a02c08f48f1" /></Relationships>
</file>

<file path=xl/worksheets/_rels/sheet17.xml.rels>&#65279;<?xml version="1.0" encoding="utf-8"?><Relationships xmlns="http://schemas.openxmlformats.org/package/2006/relationships"><Relationship Type="http://schemas.openxmlformats.org/officeDocument/2006/relationships/table" Target="/xl/tables/table17.xml" Id="Rb29d787b316d4a5c" /></Relationships>
</file>

<file path=xl/worksheets/_rels/sheet18.xml.rels>&#65279;<?xml version="1.0" encoding="utf-8"?><Relationships xmlns="http://schemas.openxmlformats.org/package/2006/relationships"><Relationship Type="http://schemas.openxmlformats.org/officeDocument/2006/relationships/table" Target="/xl/tables/table18.xml" Id="R8bf58d6d64fc4f36" /></Relationships>
</file>

<file path=xl/worksheets/_rels/sheet19.xml.rels>&#65279;<?xml version="1.0" encoding="utf-8"?><Relationships xmlns="http://schemas.openxmlformats.org/package/2006/relationships"><Relationship Type="http://schemas.openxmlformats.org/officeDocument/2006/relationships/table" Target="/xl/tables/table19.xml" Id="R5c084d10d6fb429e" /></Relationships>
</file>

<file path=xl/worksheets/_rels/sheet20.xml.rels>&#65279;<?xml version="1.0" encoding="utf-8"?><Relationships xmlns="http://schemas.openxmlformats.org/package/2006/relationships"><Relationship Type="http://schemas.openxmlformats.org/officeDocument/2006/relationships/table" Target="/xl/tables/table20.xml" Id="R85d908f12d15478d" /></Relationships>
</file>

<file path=xl/worksheets/_rels/sheet21.xml.rels>&#65279;<?xml version="1.0" encoding="utf-8"?><Relationships xmlns="http://schemas.openxmlformats.org/package/2006/relationships"><Relationship Type="http://schemas.openxmlformats.org/officeDocument/2006/relationships/table" Target="/xl/tables/table21.xml" Id="R9d02e82913af4eb4" /></Relationships>
</file>

<file path=xl/worksheets/_rels/sheet22.xml.rels>&#65279;<?xml version="1.0" encoding="utf-8"?><Relationships xmlns="http://schemas.openxmlformats.org/package/2006/relationships"><Relationship Type="http://schemas.openxmlformats.org/officeDocument/2006/relationships/table" Target="/xl/tables/table22.xml" Id="R3fc6f006679b4740" /></Relationships>
</file>

<file path=xl/worksheets/_rels/sheet23.xml.rels>&#65279;<?xml version="1.0" encoding="utf-8"?><Relationships xmlns="http://schemas.openxmlformats.org/package/2006/relationships"><Relationship Type="http://schemas.openxmlformats.org/officeDocument/2006/relationships/table" Target="/xl/tables/table23.xml" Id="R4e09acb51def4502" /></Relationships>
</file>

<file path=xl/worksheets/_rels/sheet24.xml.rels>&#65279;<?xml version="1.0" encoding="utf-8"?><Relationships xmlns="http://schemas.openxmlformats.org/package/2006/relationships"><Relationship Type="http://schemas.openxmlformats.org/officeDocument/2006/relationships/table" Target="/xl/tables/table24.xml" Id="R45a70e280d4345c3" /></Relationships>
</file>

<file path=xl/worksheets/_rels/sheet25.xml.rels>&#65279;<?xml version="1.0" encoding="utf-8"?><Relationships xmlns="http://schemas.openxmlformats.org/package/2006/relationships"><Relationship Type="http://schemas.openxmlformats.org/officeDocument/2006/relationships/table" Target="/xl/tables/table25.xml" Id="R545ba704769940a4" /></Relationships>
</file>

<file path=xl/worksheets/_rels/sheet26.xml.rels>&#65279;<?xml version="1.0" encoding="utf-8"?><Relationships xmlns="http://schemas.openxmlformats.org/package/2006/relationships"><Relationship Type="http://schemas.openxmlformats.org/officeDocument/2006/relationships/table" Target="/xl/tables/table26.xml" Id="R5c5333c38b3e4d2a" /></Relationships>
</file>

<file path=xl/worksheets/_rels/sheet27.xml.rels>&#65279;<?xml version="1.0" encoding="utf-8"?><Relationships xmlns="http://schemas.openxmlformats.org/package/2006/relationships"><Relationship Type="http://schemas.openxmlformats.org/officeDocument/2006/relationships/table" Target="/xl/tables/table27.xml" Id="R774186e0ebea47ff" /></Relationships>
</file>

<file path=xl/worksheets/_rels/sheet28.xml.rels>&#65279;<?xml version="1.0" encoding="utf-8"?><Relationships xmlns="http://schemas.openxmlformats.org/package/2006/relationships"><Relationship Type="http://schemas.openxmlformats.org/officeDocument/2006/relationships/table" Target="/xl/tables/table28.xml" Id="R095ab6f3331f445a" /></Relationships>
</file>

<file path=xl/worksheets/_rels/sheet29.xml.rels>&#65279;<?xml version="1.0" encoding="utf-8"?><Relationships xmlns="http://schemas.openxmlformats.org/package/2006/relationships"><Relationship Type="http://schemas.openxmlformats.org/officeDocument/2006/relationships/table" Target="/xl/tables/table29.xml" Id="R20b3cf9300f94d1f" /></Relationships>
</file>

<file path=xl/worksheets/_rels/sheet30.xml.rels>&#65279;<?xml version="1.0" encoding="utf-8"?><Relationships xmlns="http://schemas.openxmlformats.org/package/2006/relationships"><Relationship Type="http://schemas.openxmlformats.org/officeDocument/2006/relationships/table" Target="/xl/tables/table30.xml" Id="R26cef5c964114a5c" /></Relationships>
</file>

<file path=xl/worksheets/_rels/sheet31.xml.rels>&#65279;<?xml version="1.0" encoding="utf-8"?><Relationships xmlns="http://schemas.openxmlformats.org/package/2006/relationships"><Relationship Type="http://schemas.openxmlformats.org/officeDocument/2006/relationships/table" Target="/xl/tables/table31.xml" Id="R88c9d32b90684dd0" /></Relationships>
</file>

<file path=xl/worksheets/_rels/sheet32.xml.rels>&#65279;<?xml version="1.0" encoding="utf-8"?><Relationships xmlns="http://schemas.openxmlformats.org/package/2006/relationships"><Relationship Type="http://schemas.openxmlformats.org/officeDocument/2006/relationships/table" Target="/xl/tables/table32.xml" Id="Rb6b11c6f62a74946" /></Relationships>
</file>

<file path=xl/worksheets/_rels/sheet33.xml.rels>&#65279;<?xml version="1.0" encoding="utf-8"?><Relationships xmlns="http://schemas.openxmlformats.org/package/2006/relationships"><Relationship Type="http://schemas.openxmlformats.org/officeDocument/2006/relationships/table" Target="/xl/tables/table33.xml" Id="R36f91f44cad14a6d" /></Relationships>
</file>

<file path=xl/worksheets/_rels/sheet34.xml.rels>&#65279;<?xml version="1.0" encoding="utf-8"?><Relationships xmlns="http://schemas.openxmlformats.org/package/2006/relationships"><Relationship Type="http://schemas.openxmlformats.org/officeDocument/2006/relationships/table" Target="/xl/tables/table34.xml" Id="Raeafa907c23241c5" /></Relationships>
</file>

<file path=xl/worksheets/_rels/sheet35.xml.rels>&#65279;<?xml version="1.0" encoding="utf-8"?><Relationships xmlns="http://schemas.openxmlformats.org/package/2006/relationships"><Relationship Type="http://schemas.openxmlformats.org/officeDocument/2006/relationships/table" Target="/xl/tables/table35.xml" Id="Raca24508e1de4b14" /></Relationships>
</file>

<file path=xl/worksheets/_rels/sheet36.xml.rels>&#65279;<?xml version="1.0" encoding="utf-8"?><Relationships xmlns="http://schemas.openxmlformats.org/package/2006/relationships"><Relationship Type="http://schemas.openxmlformats.org/officeDocument/2006/relationships/table" Target="/xl/tables/table36.xml" Id="Ra8368533c23b4055" /></Relationships>
</file>

<file path=xl/worksheets/_rels/sheet37.xml.rels>&#65279;<?xml version="1.0" encoding="utf-8"?><Relationships xmlns="http://schemas.openxmlformats.org/package/2006/relationships"><Relationship Type="http://schemas.openxmlformats.org/officeDocument/2006/relationships/table" Target="/xl/tables/table37.xml" Id="R93bfdab8a17e4429" /></Relationships>
</file>

<file path=xl/worksheets/_rels/sheet38.xml.rels>&#65279;<?xml version="1.0" encoding="utf-8"?><Relationships xmlns="http://schemas.openxmlformats.org/package/2006/relationships"><Relationship Type="http://schemas.openxmlformats.org/officeDocument/2006/relationships/table" Target="/xl/tables/table38.xml" Id="Rd9321ed5cd2c4fcf" /></Relationships>
</file>

<file path=xl/worksheets/_rels/sheet39.xml.rels>&#65279;<?xml version="1.0" encoding="utf-8"?><Relationships xmlns="http://schemas.openxmlformats.org/package/2006/relationships"><Relationship Type="http://schemas.openxmlformats.org/officeDocument/2006/relationships/table" Target="/xl/tables/table39.xml" Id="R545d2a65e47642eb" /></Relationships>
</file>

<file path=xl/worksheets/_rels/sheet40.xml.rels>&#65279;<?xml version="1.0" encoding="utf-8"?><Relationships xmlns="http://schemas.openxmlformats.org/package/2006/relationships"><Relationship Type="http://schemas.openxmlformats.org/officeDocument/2006/relationships/table" Target="/xl/tables/table40.xml" Id="Rd1bc1c689e474471" /></Relationships>
</file>

<file path=xl/worksheets/_rels/sheet41.xml.rels>&#65279;<?xml version="1.0" encoding="utf-8"?><Relationships xmlns="http://schemas.openxmlformats.org/package/2006/relationships"><Relationship Type="http://schemas.openxmlformats.org/officeDocument/2006/relationships/table" Target="/xl/tables/table41.xml" Id="R3f44a59bbe284dd3" /></Relationships>
</file>

<file path=xl/worksheets/_rels/sheet42.xml.rels>&#65279;<?xml version="1.0" encoding="utf-8"?><Relationships xmlns="http://schemas.openxmlformats.org/package/2006/relationships"><Relationship Type="http://schemas.openxmlformats.org/officeDocument/2006/relationships/table" Target="/xl/tables/table42.xml" Id="Rd717deab68034af0" /></Relationships>
</file>

<file path=xl/worksheets/_rels/sheet43.xml.rels>&#65279;<?xml version="1.0" encoding="utf-8"?><Relationships xmlns="http://schemas.openxmlformats.org/package/2006/relationships"><Relationship Type="http://schemas.openxmlformats.org/officeDocument/2006/relationships/table" Target="/xl/tables/table43.xml" Id="R83b1ec0af48c4dff" /></Relationships>
</file>

<file path=xl/worksheets/_rels/sheet44.xml.rels>&#65279;<?xml version="1.0" encoding="utf-8"?><Relationships xmlns="http://schemas.openxmlformats.org/package/2006/relationships"><Relationship Type="http://schemas.openxmlformats.org/officeDocument/2006/relationships/table" Target="/xl/tables/table44.xml" Id="R2e77d27f165c49a6" /></Relationships>
</file>

<file path=xl/worksheets/_rels/sheet45.xml.rels>&#65279;<?xml version="1.0" encoding="utf-8"?><Relationships xmlns="http://schemas.openxmlformats.org/package/2006/relationships"><Relationship Type="http://schemas.openxmlformats.org/officeDocument/2006/relationships/table" Target="/xl/tables/table45.xml" Id="R097f906208654e46" /></Relationships>
</file>

<file path=xl/worksheets/_rels/sheet46.xml.rels>&#65279;<?xml version="1.0" encoding="utf-8"?><Relationships xmlns="http://schemas.openxmlformats.org/package/2006/relationships"><Relationship Type="http://schemas.openxmlformats.org/officeDocument/2006/relationships/table" Target="/xl/tables/table46.xml" Id="R0292b520b4f64006" /></Relationships>
</file>

<file path=xl/worksheets/_rels/sheet47.xml.rels>&#65279;<?xml version="1.0" encoding="utf-8"?><Relationships xmlns="http://schemas.openxmlformats.org/package/2006/relationships"><Relationship Type="http://schemas.openxmlformats.org/officeDocument/2006/relationships/table" Target="/xl/tables/table47.xml" Id="R44e23ed86cad4b1b" /></Relationships>
</file>

<file path=xl/worksheets/_rels/sheet48.xml.rels>&#65279;<?xml version="1.0" encoding="utf-8"?><Relationships xmlns="http://schemas.openxmlformats.org/package/2006/relationships"><Relationship Type="http://schemas.openxmlformats.org/officeDocument/2006/relationships/table" Target="/xl/tables/table48.xml" Id="R9e4a201cf14c40dd" /></Relationships>
</file>

<file path=xl/worksheets/_rels/sheet49.xml.rels>&#65279;<?xml version="1.0" encoding="utf-8"?><Relationships xmlns="http://schemas.openxmlformats.org/package/2006/relationships"><Relationship Type="http://schemas.openxmlformats.org/officeDocument/2006/relationships/table" Target="/xl/tables/table49.xml" Id="Rabca4718fa1e4263" /></Relationships>
</file>

<file path=xl/worksheets/_rels/sheet50.xml.rels>&#65279;<?xml version="1.0" encoding="utf-8"?><Relationships xmlns="http://schemas.openxmlformats.org/package/2006/relationships"><Relationship Type="http://schemas.openxmlformats.org/officeDocument/2006/relationships/table" Target="/xl/tables/table50.xml" Id="R78c6203f879c4c64" /></Relationships>
</file>

<file path=xl/worksheets/_rels/sheet51.xml.rels>&#65279;<?xml version="1.0" encoding="utf-8"?><Relationships xmlns="http://schemas.openxmlformats.org/package/2006/relationships"><Relationship Type="http://schemas.openxmlformats.org/officeDocument/2006/relationships/table" Target="/xl/tables/table51.xml" Id="Ra0bd2098a1ed4bc2" /></Relationships>
</file>

<file path=xl/worksheets/_rels/sheet52.xml.rels>&#65279;<?xml version="1.0" encoding="utf-8"?><Relationships xmlns="http://schemas.openxmlformats.org/package/2006/relationships"><Relationship Type="http://schemas.openxmlformats.org/officeDocument/2006/relationships/table" Target="/xl/tables/table52.xml" Id="R920b6fbf9f62457a" /></Relationships>
</file>

<file path=xl/worksheets/_rels/sheet53.xml.rels>&#65279;<?xml version="1.0" encoding="utf-8"?><Relationships xmlns="http://schemas.openxmlformats.org/package/2006/relationships"><Relationship Type="http://schemas.openxmlformats.org/officeDocument/2006/relationships/table" Target="/xl/tables/table53.xml" Id="R8c72845414cd4c8a" /></Relationships>
</file>

<file path=xl/worksheets/_rels/sheet54.xml.rels>&#65279;<?xml version="1.0" encoding="utf-8"?><Relationships xmlns="http://schemas.openxmlformats.org/package/2006/relationships"><Relationship Type="http://schemas.openxmlformats.org/officeDocument/2006/relationships/table" Target="/xl/tables/table54.xml" Id="R464abad28c1546a9" /></Relationships>
</file>

<file path=xl/worksheets/_rels/sheet55.xml.rels>&#65279;<?xml version="1.0" encoding="utf-8"?><Relationships xmlns="http://schemas.openxmlformats.org/package/2006/relationships"><Relationship Type="http://schemas.openxmlformats.org/officeDocument/2006/relationships/table" Target="/xl/tables/table55.xml" Id="Rb4ba60158b4645a2" /></Relationships>
</file>

<file path=xl/worksheets/_rels/sheet56.xml.rels>&#65279;<?xml version="1.0" encoding="utf-8"?><Relationships xmlns="http://schemas.openxmlformats.org/package/2006/relationships"><Relationship Type="http://schemas.openxmlformats.org/officeDocument/2006/relationships/table" Target="/xl/tables/table56.xml" Id="R29e99d2f761548bf" /></Relationships>
</file>

<file path=xl/worksheets/_rels/sheet57.xml.rels>&#65279;<?xml version="1.0" encoding="utf-8"?><Relationships xmlns="http://schemas.openxmlformats.org/package/2006/relationships"><Relationship Type="http://schemas.openxmlformats.org/officeDocument/2006/relationships/table" Target="/xl/tables/table57.xml" Id="R9ae9440fa5194950" /></Relationships>
</file>

<file path=xl/worksheets/_rels/sheet58.xml.rels>&#65279;<?xml version="1.0" encoding="utf-8"?><Relationships xmlns="http://schemas.openxmlformats.org/package/2006/relationships"><Relationship Type="http://schemas.openxmlformats.org/officeDocument/2006/relationships/table" Target="/xl/tables/table58.xml" Id="Rde7b519aafa74366" /></Relationships>
</file>

<file path=xl/worksheets/_rels/sheet59.xml.rels>&#65279;<?xml version="1.0" encoding="utf-8"?><Relationships xmlns="http://schemas.openxmlformats.org/package/2006/relationships"><Relationship Type="http://schemas.openxmlformats.org/officeDocument/2006/relationships/table" Target="/xl/tables/table59.xml" Id="Ra708ccd3820a49de" /></Relationships>
</file>

<file path=xl/worksheets/_rels/sheet60.xml.rels>&#65279;<?xml version="1.0" encoding="utf-8"?><Relationships xmlns="http://schemas.openxmlformats.org/package/2006/relationships"><Relationship Type="http://schemas.openxmlformats.org/officeDocument/2006/relationships/table" Target="/xl/tables/table60.xml" Id="R30068b3b112d42dc" /></Relationships>
</file>

<file path=xl/worksheets/_rels/sheet61.xml.rels>&#65279;<?xml version="1.0" encoding="utf-8"?><Relationships xmlns="http://schemas.openxmlformats.org/package/2006/relationships"><Relationship Type="http://schemas.openxmlformats.org/officeDocument/2006/relationships/table" Target="/xl/tables/table61.xml" Id="R4165337b7279452d" /></Relationships>
</file>

<file path=xl/worksheets/_rels/sheet62.xml.rels>&#65279;<?xml version="1.0" encoding="utf-8"?><Relationships xmlns="http://schemas.openxmlformats.org/package/2006/relationships"><Relationship Type="http://schemas.openxmlformats.org/officeDocument/2006/relationships/table" Target="/xl/tables/table62.xml" Id="Re0ee511dcd42410e" /></Relationships>
</file>

<file path=xl/worksheets/_rels/sheet63.xml.rels>&#65279;<?xml version="1.0" encoding="utf-8"?><Relationships xmlns="http://schemas.openxmlformats.org/package/2006/relationships"><Relationship Type="http://schemas.openxmlformats.org/officeDocument/2006/relationships/table" Target="/xl/tables/table63.xml" Id="Rf0812bd67a1b44d1" /></Relationships>
</file>

<file path=xl/worksheets/_rels/sheet64.xml.rels>&#65279;<?xml version="1.0" encoding="utf-8"?><Relationships xmlns="http://schemas.openxmlformats.org/package/2006/relationships"><Relationship Type="http://schemas.openxmlformats.org/officeDocument/2006/relationships/table" Target="/xl/tables/table64.xml" Id="Rd5f1d30647f74ef2" /></Relationships>
</file>

<file path=xl/worksheets/_rels/sheet65.xml.rels>&#65279;<?xml version="1.0" encoding="utf-8"?><Relationships xmlns="http://schemas.openxmlformats.org/package/2006/relationships"><Relationship Type="http://schemas.openxmlformats.org/officeDocument/2006/relationships/table" Target="/xl/tables/table65.xml" Id="R01debe234bfe4bc9" /></Relationships>
</file>

<file path=xl/worksheets/_rels/sheet66.xml.rels>&#65279;<?xml version="1.0" encoding="utf-8"?><Relationships xmlns="http://schemas.openxmlformats.org/package/2006/relationships"><Relationship Type="http://schemas.openxmlformats.org/officeDocument/2006/relationships/table" Target="/xl/tables/table66.xml" Id="R12bded431bf74cc8" /></Relationships>
</file>

<file path=xl/worksheets/_rels/sheet67.xml.rels>&#65279;<?xml version="1.0" encoding="utf-8"?><Relationships xmlns="http://schemas.openxmlformats.org/package/2006/relationships"><Relationship Type="http://schemas.openxmlformats.org/officeDocument/2006/relationships/table" Target="/xl/tables/table67.xml" Id="Ra9be004d613b4aa7" /></Relationships>
</file>

<file path=xl/worksheets/_rels/sheet68.xml.rels>&#65279;<?xml version="1.0" encoding="utf-8"?><Relationships xmlns="http://schemas.openxmlformats.org/package/2006/relationships"><Relationship Type="http://schemas.openxmlformats.org/officeDocument/2006/relationships/table" Target="/xl/tables/table68.xml" Id="R7dbeaef657ac4abf" /></Relationships>
</file>

<file path=xl/worksheets/_rels/sheet69.xml.rels>&#65279;<?xml version="1.0" encoding="utf-8"?><Relationships xmlns="http://schemas.openxmlformats.org/package/2006/relationships"><Relationship Type="http://schemas.openxmlformats.org/officeDocument/2006/relationships/table" Target="/xl/tables/table69.xml" Id="R9c6d0ca43c654587" /></Relationships>
</file>

<file path=xl/worksheets/_rels/sheet70.xml.rels>&#65279;<?xml version="1.0" encoding="utf-8"?><Relationships xmlns="http://schemas.openxmlformats.org/package/2006/relationships"><Relationship Type="http://schemas.openxmlformats.org/officeDocument/2006/relationships/table" Target="/xl/tables/table70.xml" Id="R67b7d86758c44f63" /></Relationships>
</file>

<file path=xl/worksheets/_rels/sheet71.xml.rels>&#65279;<?xml version="1.0" encoding="utf-8"?><Relationships xmlns="http://schemas.openxmlformats.org/package/2006/relationships"><Relationship Type="http://schemas.openxmlformats.org/officeDocument/2006/relationships/table" Target="/xl/tables/table71.xml" Id="Rb1f146117fb04327" /></Relationships>
</file>

<file path=xl/worksheets/_rels/sheet72.xml.rels>&#65279;<?xml version="1.0" encoding="utf-8"?><Relationships xmlns="http://schemas.openxmlformats.org/package/2006/relationships"><Relationship Type="http://schemas.openxmlformats.org/officeDocument/2006/relationships/table" Target="/xl/tables/table72.xml" Id="Re84bbd363d5e4e74" /></Relationships>
</file>

<file path=xl/worksheets/_rels/sheet73.xml.rels>&#65279;<?xml version="1.0" encoding="utf-8"?><Relationships xmlns="http://schemas.openxmlformats.org/package/2006/relationships"><Relationship Type="http://schemas.openxmlformats.org/officeDocument/2006/relationships/table" Target="/xl/tables/table73.xml" Id="R8aede36562e24f97" /></Relationships>
</file>

<file path=xl/worksheets/_rels/sheet74.xml.rels>&#65279;<?xml version="1.0" encoding="utf-8"?><Relationships xmlns="http://schemas.openxmlformats.org/package/2006/relationships"><Relationship Type="http://schemas.openxmlformats.org/officeDocument/2006/relationships/table" Target="/xl/tables/table74.xml" Id="Rfdef8ca97f5948bd" /></Relationships>
</file>

<file path=xl/worksheets/_rels/sheet75.xml.rels>&#65279;<?xml version="1.0" encoding="utf-8"?><Relationships xmlns="http://schemas.openxmlformats.org/package/2006/relationships"><Relationship Type="http://schemas.openxmlformats.org/officeDocument/2006/relationships/table" Target="/xl/tables/table75.xml" Id="Rc59598e6d25045dc" /></Relationships>
</file>

<file path=xl/worksheets/_rels/sheet76.xml.rels>&#65279;<?xml version="1.0" encoding="utf-8"?><Relationships xmlns="http://schemas.openxmlformats.org/package/2006/relationships"><Relationship Type="http://schemas.openxmlformats.org/officeDocument/2006/relationships/table" Target="/xl/tables/table76.xml" Id="R221f0a6205604bb5" /></Relationships>
</file>

<file path=xl/worksheets/_rels/sheet77.xml.rels>&#65279;<?xml version="1.0" encoding="utf-8"?><Relationships xmlns="http://schemas.openxmlformats.org/package/2006/relationships"><Relationship Type="http://schemas.openxmlformats.org/officeDocument/2006/relationships/table" Target="/xl/tables/table77.xml" Id="R6cbb2b6e629b4759" /></Relationships>
</file>

<file path=xl/worksheets/_rels/sheet78.xml.rels>&#65279;<?xml version="1.0" encoding="utf-8"?><Relationships xmlns="http://schemas.openxmlformats.org/package/2006/relationships"><Relationship Type="http://schemas.openxmlformats.org/officeDocument/2006/relationships/table" Target="/xl/tables/table78.xml" Id="Rc2c08afe03624227" /></Relationships>
</file>

<file path=xl/worksheets/_rels/sheet79.xml.rels>&#65279;<?xml version="1.0" encoding="utf-8"?><Relationships xmlns="http://schemas.openxmlformats.org/package/2006/relationships"><Relationship Type="http://schemas.openxmlformats.org/officeDocument/2006/relationships/table" Target="/xl/tables/table79.xml" Id="Rd55bc9ecb3484d62" /></Relationships>
</file>

<file path=xl/worksheets/_rels/sheet80.xml.rels>&#65279;<?xml version="1.0" encoding="utf-8"?><Relationships xmlns="http://schemas.openxmlformats.org/package/2006/relationships"><Relationship Type="http://schemas.openxmlformats.org/officeDocument/2006/relationships/table" Target="/xl/tables/table80.xml" Id="Recae9a2b5bba4090" /></Relationships>
</file>

<file path=xl/worksheets/_rels/sheet81.xml.rels>&#65279;<?xml version="1.0" encoding="utf-8"?><Relationships xmlns="http://schemas.openxmlformats.org/package/2006/relationships"><Relationship Type="http://schemas.openxmlformats.org/officeDocument/2006/relationships/table" Target="/xl/tables/table81.xml" Id="R1f6228f4b3494bfc"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0.9. Identidad, autoridad y protección de datos en el primer universo.</x:v>
      </x:c>
      <x:c r="B2" s="8"/>
    </x:row>
    <x:row r="3">
      <x:c r="A3" s="4"/>
      <x:c r="B3" s="4"/>
    </x:row>
    <x:row r="4" ht="42" customHeight="1">
      <x:c r="A4" s="10" t="str">
        <x:v>Campo</x:v>
      </x:c>
      <x:c r="B4" s="10" t="str">
        <x:v>Contenido</x:v>
      </x:c>
    </x:row>
    <x:row r="5" ht="47" customHeight="1">
      <x:c r="A5" s="4" t="str">
        <x:v>Versión y fecha</x:v>
      </x:c>
      <x:c r="B5" s="4" t="str">
        <x:v>0.9 · presión de identidad, autoridad y datos · 09-09-2026</x:v>
      </x:c>
    </x:row>
    <x:row r="6" ht="47" customHeight="1">
      <x:c r="A6" s="4" t="str">
        <x:v>Estado</x:v>
      </x:c>
      <x:c r="B6" s="4" t="str">
        <x:v>32 definiciones documentales. Se rectifica la cobertura anterior de autoridad y datos. Capacidad operacional SV no acreditada.</x:v>
      </x:c>
    </x:row>
    <x:row r="7" ht="47" customHeight="1">
      <x:c r="A7" s="4" t="str">
        <x:v>Autoría del trabajo</x:v>
      </x:c>
      <x:c r="B7" s="4" t="str">
        <x:v>Watson. Revisión documental, adjudicación, consecuencias y contraste en español.</x:v>
      </x:c>
    </x:row>
    <x:row r="8" ht="47" customHeight="1">
      <x:c r="A8" s="4" t="str">
        <x:v>Mandato</x:v>
      </x:c>
      <x:c r="B8" s="4" t="str">
        <x:v>Orden humana de 09-09-2026: revisión adversarial con ENS, protección de datos, identidad y SASE; decisión posterior por necesidad semántica.</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IF('54_Control_lote'!C5='54_Control_lote'!D5,0,1)+IF('54_Control_lote'!C6='54_Control_lote'!D6,0,1)+IF('54_Control_lote'!C7='54_Control_lote'!D7,0,1)+IF('54_Control_lote'!C8='54_Control_lote'!D8,0,1)+IF('54_Control_lote'!C9='54_Control_lote'!D9,0,1)+IF('54_Control_lote'!C10='54_Control_lote'!D10,0,1)+IF('54_Control_lote'!C11='54_Control_lote'!D11,0,1)+IF('54_Control_lote'!C12='54_Control_lote'!D12,0,1)+IF('54_Control_lote'!C13='54_Control_lote'!D13,0,1)+IF('54_Control_lote'!C14='54_Control_lote'!D14,0,1)+IF('54_Control_lote'!C15='54_Control_lote'!D15,0,1)+IF('54_Control_lote'!C16='54_Control_lote'!D16,0,1)+IF('54_Control_lote'!C17='54_Control_lote'!D17,0,1)+IF('54_Control_lote'!C18='54_Control_lote'!D18,0,1)</x:f>
        <x:v>0</x:v>
      </x:c>
    </x:row>
    <x:row r="19" ht="47" customHeight="1">
      <x:c r="A19" s="4" t="str">
        <x:v>Admisión y adopción</x:v>
      </x:c>
      <x:c r="B19" s="4" t="str">
        <x:v>El trabajo documental está autorizado. Las nuevas fuentes y reglas para un consejo real siguen sujetas a admisión humana competente.</x:v>
      </x:c>
    </x:row>
    <x:row r="20" ht="47" customHeight="1">
      <x:c r="A20" s="4" t="str">
        <x:v>Primer universo</x:v>
      </x:c>
      <x:c r="B20" s="4" t="str">
        <x:v>P01–P24 en 67/68, sin cambios; P25–P32 en 74. Resultado de la revisión en 73–80.</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Las fórmulas auditan recuentos y escenarios. No convierten hipótesis ni documentos de autoridad en permisos materiales.</x:v>
      </x:c>
    </x:row>
    <x:row r="24" ht="47" customHeight="1">
      <x:c r="A24" s="4" t="str">
        <x:v>Trazabilidad</x:v>
      </x:c>
      <x:c r="B24" s="4" t="str">
        <x:v>La revisión vigente está en 73–80. 66/70 conservan el cierre y estimación anteriores, rectificados. El currículo original permanece.</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Identidades, versiones, huellas y magnitudes exactas se conservan como texto. Recuentos y supuestos son números.</x:v>
      </x:c>
    </x:row>
    <x:row r="27" ht="47" customHeight="1">
      <x:c r="A27" s="4" t="str">
        <x:v>Proyección posterior</x:v>
      </x:c>
      <x:c r="B27" s="4" t="str">
        <x:v>El anexo complementario se obtiene del libro cerrado, por lectura, sin resalvarlo.</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73 resultado; 74 ampliación; 75 presión y controles; 76 productos; 77 estimación; 78 Lenguaje; 79 ensayos; 80 fuentes.</x:v>
      </x:c>
    </x:row>
    <x:row r="30" ht="47" customHeight="1">
      <x:c r="A30" s="4" t="str">
        <x:v>Límite del corte</x:v>
      </x:c>
      <x:c r="B30" s="4" t="str">
        <x:v>La recomendación de contraste con el primer universo ampliado se entrega al Director. No hay apertura de otro universo ni relevo automático.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32 definiciones. La cantidad no constituye células ni autoriza relleno.</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ec9ba295bf824d8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b68a1bfc240d4a9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d8e6c3fd934d4ea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a38961a4f6f64a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f684975a61ee465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ad0ad3971faf4b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c560dbead3814a8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2af02203aac441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ced68f1bd37c4a1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4059a99e924941a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0af0ff600ffd41f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38d69a9e64ab426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4c74586ba8434148"/>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7d8f3fbf191e4af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1fe9e7b73053438b"/>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1df46a02c08f48f1"/>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b29d787b316d4a5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8bf58d6d64fc4f36"/>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5c084d10d6fb429e"/>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85d908f12d15478d"/>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9d02e82913af4eb4"/>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3fc6f006679b4740"/>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4e09acb51def4502"/>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45a70e280d4345c3"/>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545ba704769940a4"/>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5c5333c38b3e4d2a"/>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774186e0ebea47ff"/>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095ab6f3331f445a"/>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20b3cf9300f94d1f"/>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v0.5: universo abierto y P01 adoptado; P02–P10 con dictamen documental en 45–55. Cobertura/arquitectura/aptitud siguen pendientes.</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Acta de apertura y manifiesto publicados en 2454cb1080c2f824bd3b8115cb31729db8f2d7e8. Q0 conserva nueve raíces y 31 distinciones.</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APERTURA REGISTRADA EN 45</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P01 ADOPTADO; VÉASE 45</x:v>
      </x:c>
    </x:row>
    <x:row r="11" ht="47" customHeight="1">
      <x:c r="A11" s="4" t="str">
        <x:v>PC-07</x:v>
      </x:c>
      <x:c r="B11" s="4" t="str">
        <x:v>Lote posterior de hasta diez</x:v>
      </x:c>
      <x:c r="C11" s="4" t="str">
        <x:v>Nueve candidatos adicionales con dictamen G5 en perfil documental. Se conservan alcance parcial y deuda; diez parámetros totales.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LOTE DOCUMENTAL EN 46–55</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26cef5c964114a5c"/>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88c9d32b90684dd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b6b11c6f62a74946"/>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36f91f44cad14a6d"/>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aeafa907c23241c5"/>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aca24508e1de4b14"/>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a8368533c23b4055"/>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93bfdab8a17e4429"/>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d9321ed5cd2c4fcf"/>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545d2a65e47642eb"/>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d1bc1c689e474471"/>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3f44a59bbe284dd3"/>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d717deab68034af0"/>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83b1ec0af48c4dff"/>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2e77d27f165c49a6"/>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097f906208654e46"/>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1" hidden="0" customWidth="1"/>
    <x:col min="2" max="2" width="66" hidden="0" customWidth="1"/>
    <x:col min="3" max="3" width="113" hidden="0" customWidth="1"/>
  </x:cols>
  <x:sheetData>
    <x:row r="1" ht="35" customHeight="1">
      <x:c r="A1" s="6" t="str">
        <x:v>APERTURA · primer parámetro adoptado</x:v>
      </x:c>
      <x:c r="B1" s="6"/>
      <x:c r="C1" s="6"/>
    </x:row>
    <x:row r="2" ht="52" customHeight="1">
      <x:c r="A2" s="8" t="str">
        <x:v>Suceso posterior al corte v0.4. No altera retrospectivamente las hojas históricas 36–44.</x:v>
      </x:c>
      <x:c r="B2" s="8"/>
      <x:c r="C2" s="8"/>
    </x:row>
    <x:row r="3">
      <x:c r="A3" s="4"/>
      <x:c r="B3" s="4"/>
      <x:c r="C3" s="4"/>
    </x:row>
    <x:row r="4" ht="42" customHeight="1">
      <x:c r="A4" s="10" t="str">
        <x:v>Elemento</x:v>
      </x:c>
      <x:c r="B4" s="10" t="str">
        <x:v>Estado actual</x:v>
      </x:c>
      <x:c r="C4" s="10" t="str">
        <x:v>Fundamento</x:v>
      </x:c>
    </x:row>
    <x:row r="5" ht="47" customHeight="1">
      <x:c r="A5" s="4" t="str">
        <x:v>Universo</x:v>
      </x:c>
      <x:c r="B5" s="4" t="str">
        <x:v>ABIERTO_EN_CONSTITUCION</x:v>
      </x:c>
      <x:c r="C5" s="4" t="str">
        <x:v>OP-CYB-001; acta y manifiesto publicados en 2454cb1080c2f824bd3b8115cb31729db8f2d7e8</x:v>
      </x:c>
    </x:row>
    <x:row r="6" ht="47" customHeight="1">
      <x:c r="A6" s="4" t="str">
        <x:v>P01</x:v>
      </x:c>
      <x:c r="B6" s="4" t="str">
        <x:v>ADOPTADO_POR_DIRECCION</x:v>
      </x:c>
      <x:c r="C6" s="4" t="str">
        <x:v>PAR-CYB-REINICIO-SISTEMA-REQUERIDO-001 v0.1, con el perfil y los límites ya presentados.</x:v>
      </x:c>
    </x:row>
    <x:row r="7" ht="47" customHeight="1">
      <x:c r="A7" s="4" t="str">
        <x:v>Mandato</x:v>
      </x:c>
      <x:c r="B7" s="4" t="str">
        <x:v>Completar diez adjudicaciones documentales</x:v>
      </x:c>
      <x:c r="C7" s="4" t="str">
        <x:v>Incluye P01; no debilita atomicidad ni aprueba nominalmente resultados nuevos no entregados.</x:v>
      </x:c>
    </x:row>
    <x:row r="8" ht="47" customHeight="1">
      <x:c r="A8" s="4" t="str">
        <x:v>Lote P02–P10</x:v>
      </x:c>
      <x:c r="B8" s="4" t="str">
        <x:v>DICTAMEN G5 DOCUMENTAL FAVORABLE</x:v>
      </x:c>
      <x:c r="C8" s="4" t="str">
        <x:v>Nueve resultados delimitados en 46–54; adopción nominal de estos nueve pendiente.</x:v>
      </x:c>
    </x:row>
    <x:row r="9" ht="47" customHeight="1">
      <x:c r="A9" s="4" t="str">
        <x:v>Base educativa</x:v>
      </x:c>
      <x:c r="B9" s="4" t="str">
        <x:v>URJC 2026–27 y complementos justificados</x:v>
      </x:c>
      <x:c r="C9" s="4" t="str">
        <x:v>R025 aporta procesos/memoria/ficheros; R033 continuidad; R035 riesgo/coste. No se sustituyen por documentación de fabricante.</x:v>
      </x:c>
    </x:row>
    <x:row r="10" ht="47" customHeight="1">
      <x:c r="A10" s="4" t="str">
        <x:v>Q0</x:v>
      </x:c>
      <x:c r="B10" s="4" t="str">
        <x:v>Nueve raíces; 31 distinciones conservadas</x:v>
      </x:c>
      <x:c r="C10" s="4" t="str">
        <x:v>La hoja 52 muestra cobertura actual, incluyendo alcances parciales. Diez fichas no resuelven Q0.</x:v>
      </x:c>
    </x:row>
    <x:row r="11" ht="47" customHeight="1">
      <x:c r="A11" s="4" t="str">
        <x:v>IA y experto</x:v>
      </x:c>
      <x:c r="B11" s="4" t="str">
        <x:v>Consejo explicado; decisión humana</x:v>
      </x:c>
      <x:c r="C11" s="4" t="str">
        <x:v>La investigación de candidatas no actualiza el conocimiento de un agente durante su ejecución.</x:v>
      </x:c>
    </x:row>
    <x:row r="12" ht="47" customHeight="1">
      <x:c r="A12" s="4" t="str">
        <x:v>Arquitectura</x:v>
      </x:c>
      <x:c r="B12" s="4" t="str">
        <x:v>0 células / 0 rutas / 0 Frames</x:v>
      </x:c>
      <x:c r="C12" s="4" t="str">
        <x:v>La cifra diez es resultado del lote, no tamaño matricial. SV(9,3) no significa 3×3 cartesiano.</x:v>
      </x:c>
    </x:row>
    <x:row r="13" ht="47" customHeight="1">
      <x:c r="A13" s="4" t="str">
        <x:v>Excel</x:v>
      </x:c>
      <x:c r="B13" s="4" t="str">
        <x:v>Catálogo principal v0.5</x:v>
      </x:c>
      <x:c r="C13" s="4" t="str">
        <x:v>La proyección textual complementaria se hará sólo después del cierre aprobado, sin resalvar el libro congelado.</x:v>
      </x:c>
    </x:row>
    <x:row r="14" ht="47" customHeight="1">
      <x:c r="A14" s="4" t="str">
        <x:v>Siguiente frontera</x:v>
      </x:c>
      <x:c r="B14" s="4" t="str">
        <x:v>Resolver cobertura y aptitud</x:v>
      </x:c>
      <x:c r="C14" s="4" t="str">
        <x:v>No se atribuye aptitud operacional por el número de parámetros o por concordancia de fórmulas.</x:v>
      </x:c>
    </x:row>
  </x:sheetData>
  <x:mergeCells>
    <x:mergeCell ref="A1:C1"/>
    <x:mergeCell ref="A2:C2"/>
  </x:mergeCells>
  <x:pageMargins left="0.7" right="0.7" top="0.75" bottom="0.75" header="0.3" footer="0.3"/>
  <x:tableParts count="1">
    <x:tablePart xmlns:r="http://schemas.openxmlformats.org/officeDocument/2006/relationships" r:id="R0292b520b4f64006"/>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0" hidden="0" customWidth="1"/>
    <x:col min="2" max="2" width="52" hidden="0" customWidth="1"/>
    <x:col min="3" max="3" width="10" hidden="0" customWidth="1"/>
    <x:col min="4" max="4" width="19" hidden="0" customWidth="1"/>
    <x:col min="5" max="5" width="43" hidden="0" customWidth="1"/>
    <x:col min="6" max="6" width="106" hidden="0" customWidth="1"/>
    <x:col min="7" max="7" width="54" hidden="0" customWidth="1"/>
    <x:col min="8" max="8" width="44" hidden="0" customWidth="1"/>
    <x:col min="9" max="9" width="40" hidden="0" customWidth="1"/>
    <x:col min="10" max="10" width="59" hidden="0" customWidth="1"/>
    <x:col min="11" max="11" width="62" hidden="0" customWidth="1"/>
    <x:col min="12" max="12" width="23" hidden="0" customWidth="1"/>
  </x:cols>
  <x:sheetData>
    <x:row r="1" ht="35" customHeight="1">
      <x:c r="A1" s="6" t="str">
        <x:v>DIEZ PARÁMETROS · registro de identidades</x:v>
      </x:c>
      <x:c r="B1" s="6"/>
      <x:c r="C1" s="6"/>
      <x:c r="D1" s="6"/>
      <x:c r="E1" s="6"/>
      <x:c r="F1" s="6"/>
      <x:c r="G1" s="6"/>
      <x:c r="H1" s="6"/>
      <x:c r="I1" s="6"/>
      <x:c r="J1" s="6"/>
      <x:c r="K1" s="6"/>
      <x:c r="L1" s="6"/>
    </x:row>
    <x:row r="2" ht="52" customHeight="1">
      <x:c r="A2" s="8" t="str">
        <x:v>Cada fila es una definición atómica en su perfil; ni los campos de identidad ni cada testigo cuentan como parámetros adicionales.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Alias</x:v>
      </x:c>
      <x:c r="B4" s="10" t="str">
        <x:v>Identidad canónica</x:v>
      </x:c>
      <x:c r="C4" s="10" t="str">
        <x:v>Versión</x:v>
      </x:c>
      <x:c r="D4" s="10" t="str">
        <x:v>Distinción Q0</x:v>
      </x:c>
      <x:c r="E4" s="10" t="str">
        <x:v>Nombre</x:v>
      </x:c>
      <x:c r="F4" s="10" t="str">
        <x:v>Proposición única</x:v>
      </x:c>
      <x:c r="G4" s="10" t="str">
        <x:v>Perfil</x:v>
      </x:c>
      <x:c r="H4" s="10" t="str">
        <x:v>Dictamen</x:v>
      </x:c>
      <x:c r="I4" s="10" t="str">
        <x:v>Adopción nominal</x:v>
      </x:c>
      <x:c r="J4" s="10" t="str">
        <x:v>Expediente</x:v>
      </x:c>
      <x:c r="K4" s="10" t="str">
        <x:v>Fuentes</x:v>
      </x:c>
      <x:c r="L4" s="10" t="str">
        <x:v>Propiedad</x:v>
      </x:c>
    </x:row>
    <x:row r="5" ht="47" customHeight="1">
      <x:c r="A5" s="4" t="str">
        <x:v>P01</x:v>
      </x:c>
      <x:c r="B5" s="4" t="str">
        <x:v>PAR-CYB-REINICIO-SISTEMA-REQUERIDO-001</x:v>
      </x:c>
      <x:c r="C5" s="4" t="str">
        <x:v>0.1</x:v>
      </x:c>
      <x:c r="D5" s="4" t="str">
        <x:v>QCY-04-D1</x:v>
      </x:c>
      <x:c r="E5" s="4" t="str">
        <x:v>Reinicio del sistema requerido</x:v>
      </x:c>
      <x:c r="F5" s="4" t="str">
        <x:v>Al terminar la instalación individual identificada, era necesario reiniciar el sistema anfitrión para completarla.</x:v>
      </x:c>
      <x:c r="G5" s="4" t="str">
        <x:v>WUA-INDIVIDUAL-INSTALACION-0.1</x:v>
      </x:c>
      <x:c r="H5" s="4" t="str">
        <x:v>PARAMETRO_ATOMICO_EN_PERFIL_DOCUMENTAL</x:v>
      </x:c>
      <x:c r="I5" s="4" t="str">
        <x:v>ADOPTADO_POR_DIRECCION</x:v>
      </x:c>
      <x:c r="J5" s="4" t="str">
        <x:v>39; acta 2454cb1080c2f824bd3b8115cb31729db8f2d7e8</x:v>
      </x:c>
      <x:c r="K5" s="4" t="str">
        <x:v>T001–T006; R025</x:v>
      </x:c>
      <x:c r="L5" s="4" t="str">
        <x:v>PENDIENTE_G6</x:v>
      </x:c>
    </x:row>
    <x:row r="6" ht="47" customHeight="1">
      <x:c r="A6" s="4" t="str">
        <x:v>P02</x:v>
      </x:c>
      <x:c r="B6" s="4" t="str">
        <x:v>PAR-CYB-INSTALACION-EXITO-COMUNICADO-001</x:v>
      </x:c>
      <x:c r="C6" s="4" t="str">
        <x:v>0.1</x:v>
      </x:c>
      <x:c r="D6" s="4" t="str">
        <x:v>QCY-03-D2</x:v>
      </x:c>
      <x:c r="E6" s="4" t="str">
        <x:v>Éxito comunicado de instalación</x:v>
      </x:c>
      <x:c r="F6" s="4" t="str">
        <x:v>La operación individual de instalación identificada comunicó terminación satisfactoria sin el calificador de errores del emisor.</x:v>
      </x:c>
      <x:c r="G6" s="4" t="str">
        <x:v>WUA-RESULTADO-INDIVIDUAL-0.1</x:v>
      </x:c>
      <x:c r="H6" s="4" t="str">
        <x:v>PARAMETRO_ATOMICO_EN_PERFIL_DOCUMENTAL</x:v>
      </x:c>
      <x:c r="I6" s="4" t="str">
        <x:v>PENDIENTE_DE_ADOPCION_NOMINAL</x:v>
      </x:c>
      <x:c r="J6" s="4" t="str">
        <x:v>47–54; LOTE_ATOMICO_02_A_10_OP_CYB_001_v0.1.md</x:v>
      </x:c>
      <x:c r="K6" s="4" t="str">
        <x:v>T004 Constants; T005; T006; R025</x:v>
      </x:c>
      <x:c r="L6" s="4" t="str">
        <x:v>PENDIENTE_G6</x:v>
      </x:c>
    </x:row>
    <x:row r="7" ht="47" customHeight="1">
      <x:c r="A7" s="4" t="str">
        <x:v>P03</x:v>
      </x:c>
      <x:c r="B7" s="4" t="str">
        <x:v>PAR-CYB-REINICIO-SISTEMA-REALIZADO-001</x:v>
      </x:c>
      <x:c r="C7" s="4" t="str">
        <x:v>0.1</x:v>
      </x:c>
      <x:c r="D7" s="4" t="str">
        <x:v>QCY-04-D2</x:v>
      </x:c>
      <x:c r="E7" s="4" t="str">
        <x:v>Reinicio completo realizado</x:v>
      </x:c>
      <x:c r="F7" s="4" t="str">
        <x:v>Se completó al menos un reinicio íntegro del sistema anfitrión después del resultado de instalación y no después del corte.</x:v>
      </x:c>
      <x:c r="G7" s="4" t="str">
        <x:v>EVENTO-REINICIO-COMPLETO-0.1</x:v>
      </x:c>
      <x:c r="H7" s="4" t="str">
        <x:v>PARAMETRO_ATOMICO_EN_PERFIL_DOCUMENTAL</x:v>
      </x:c>
      <x:c r="I7" s="4" t="str">
        <x:v>PENDIENTE_DE_ADOPCION_NOMINAL</x:v>
      </x:c>
      <x:c r="J7" s="4" t="str">
        <x:v>47–54; LOTE_ATOMICO_02_A_10_OP_CYB_001_v0.1.md</x:v>
      </x:c>
      <x:c r="K7" s="4" t="str">
        <x:v>T001 §2.3.2; T007 Summary/More information; R025</x:v>
      </x:c>
      <x:c r="L7" s="4" t="str">
        <x:v>PENDIENTE_G6</x:v>
      </x:c>
    </x:row>
    <x:row r="8" ht="47" customHeight="1">
      <x:c r="A8" s="4" t="str">
        <x:v>P04</x:v>
      </x:c>
      <x:c r="B8" s="4" t="str">
        <x:v>PAR-CYB-REINICIO-SOFTWARE-REQUERIDO-001</x:v>
      </x:c>
      <x:c r="C8" s="4" t="str">
        <x:v>0.1</x:v>
      </x:c>
      <x:c r="D8" s="4" t="str">
        <x:v>QCY-04-D3</x:v>
      </x:c>
      <x:c r="E8" s="4" t="str">
        <x:v>Reinicio de software requerido</x:v>
      </x:c>
      <x:c r="F8" s="4" t="str">
        <x:v>La instrucción específica admitida para completar esta instalación exigía reiniciar el software identificado.</x:v>
      </x:c>
      <x:c r="G8" s="4" t="str">
        <x:v>REQUISITO-SOFTWARE-INDIVIDUAL-0.1</x:v>
      </x:c>
      <x:c r="H8" s="4" t="str">
        <x:v>PARAMETRO_ATOMICO_EN_PERFIL_DOCUMENTAL</x:v>
      </x:c>
      <x:c r="I8" s="4" t="str">
        <x:v>PENDIENTE_DE_ADOPCION_NOMINAL</x:v>
      </x:c>
      <x:c r="J8" s="4" t="str">
        <x:v>47–54; LOTE_ATOMICO_02_A_10_OP_CYB_001_v0.1.md</x:v>
      </x:c>
      <x:c r="K8" s="4" t="str">
        <x:v>T001 §2.3.2; T009 cuerpo técnico; R025</x:v>
      </x:c>
      <x:c r="L8" s="4" t="str">
        <x:v>PENDIENTE_G6</x:v>
      </x:c>
    </x:row>
    <x:row r="9" ht="47" customHeight="1">
      <x:c r="A9" s="4" t="str">
        <x:v>P05</x:v>
      </x:c>
      <x:c r="B9" s="4" t="str">
        <x:v>PAR-CYB-GENERACION-PROCESO-TERMINADA-001</x:v>
      </x:c>
      <x:c r="C9" s="4" t="str">
        <x:v>0.1</x:v>
      </x:c>
      <x:c r="D9" s="4" t="str">
        <x:v>QCY-04-D4</x:v>
      </x:c>
      <x:c r="E9" s="4" t="str">
        <x:v>Generación previa de proceso terminada</x:v>
      </x:c>
      <x:c r="F9" s="4" t="str">
        <x:v>Terminó la ejecución de la generación de proceso identificada después del ancla de instalación y no después del corte.</x:v>
      </x:c>
      <x:c r="G9" s="4" t="str">
        <x:v>TERMINACION-GENERACION-PROCESO-0.1</x:v>
      </x:c>
      <x:c r="H9" s="4" t="str">
        <x:v>PARAMETRO_ATOMICO_EN_PERFIL_DOCUMENTAL</x:v>
      </x:c>
      <x:c r="I9" s="4" t="str">
        <x:v>PENDIENTE_DE_ADOPCION_NOMINAL</x:v>
      </x:c>
      <x:c r="J9" s="4" t="str">
        <x:v>47–54; LOTE_ATOMICO_02_A_10_OP_CYB_001_v0.1.md</x:v>
      </x:c>
      <x:c r="K9" s="4" t="str">
        <x:v>T009 cuerpo técnico; T008 loaded-module list; R025 IV tema 4</x:v>
      </x:c>
      <x:c r="L9" s="4" t="str">
        <x:v>PENDIENTE_G6</x:v>
      </x:c>
    </x:row>
    <x:row r="10" ht="47" customHeight="1">
      <x:c r="A10" s="4" t="str">
        <x:v>P06</x:v>
      </x:c>
      <x:c r="B10" s="4" t="str">
        <x:v>PAR-CYB-IMAGEN-OBJETIVO-ACTIVA-001</x:v>
      </x:c>
      <x:c r="C10" s="4" t="str">
        <x:v>0.1</x:v>
      </x:c>
      <x:c r="D10" s="4" t="str">
        <x:v>QCY-05-D2</x:v>
      </x:c>
      <x:c r="E10" s="4" t="str">
        <x:v>Imagen objetivo activa</x:v>
      </x:c>
      <x:c r="F10" s="4" t="str">
        <x:v>La imagen del componente cargada en la instancia evaluada al corte coincide con la imagen objetivo previamente fijada.</x:v>
      </x:c>
      <x:c r="G10" s="4" t="str">
        <x:v>IDENTIDAD-IMAGEN-CARGADA-0.1</x:v>
      </x:c>
      <x:c r="H10" s="4" t="str">
        <x:v>PARAMETRO_ATOMICO_EN_PERFIL_DOCUMENTAL</x:v>
      </x:c>
      <x:c r="I10" s="4" t="str">
        <x:v>PENDIENTE_DE_ADOPCION_NOMINAL</x:v>
      </x:c>
      <x:c r="J10" s="4" t="str">
        <x:v>47–54; LOTE_ATOMICO_02_A_10_OP_CYB_001_v0.1.md</x:v>
      </x:c>
      <x:c r="K10" s="4" t="str">
        <x:v>T001 §2.3.3; T008; T012–T013; R025 IV temas 4/5/6</x:v>
      </x:c>
      <x:c r="L10" s="4" t="str">
        <x:v>PENDIENTE_G6</x:v>
      </x:c>
    </x:row>
    <x:row r="11" ht="47" customHeight="1">
      <x:c r="A11" s="4" t="str">
        <x:v>P07</x:v>
      </x:c>
      <x:c r="B11" s="4" t="str">
        <x:v>PAR-CYB-COMPROBACION-POSITIVA-001</x:v>
      </x:c>
      <x:c r="C11" s="4" t="str">
        <x:v>0.1</x:v>
      </x:c>
      <x:c r="D11" s="4" t="str">
        <x:v>QCY-05-D3</x:v>
      </x:c>
      <x:c r="E11" s="4" t="str">
        <x:v>Resultado positivo de comprobación</x:v>
      </x:c>
      <x:c r="F11" s="4" t="str">
        <x:v>La comprobación individual identificada satisfizo el único criterio de aceptación previamente fijado para ella.</x:v>
      </x:c>
      <x:c r="G11" s="4" t="str">
        <x:v>COMPROBACION-CRITERIO-UNITARIO-0.1</x:v>
      </x:c>
      <x:c r="H11" s="4" t="str">
        <x:v>PARAMETRO_ATOMICO_EN_PERFIL_DOCUMENTAL</x:v>
      </x:c>
      <x:c r="I11" s="4" t="str">
        <x:v>PENDIENTE_DE_ADOPCION_NOMINAL</x:v>
      </x:c>
      <x:c r="J11" s="4" t="str">
        <x:v>47–54; LOTE_ATOMICO_02_A_10_OP_CYB_001_v0.1.md</x:v>
      </x:c>
      <x:c r="K11" s="4" t="str">
        <x:v>T001 §2.3.3; R025; R035</x:v>
      </x:c>
      <x:c r="L11" s="4" t="str">
        <x:v>PENDIENTE_G6</x:v>
      </x:c>
    </x:row>
    <x:row r="12" ht="47" customHeight="1">
      <x:c r="A12" s="4" t="str">
        <x:v>P08</x:v>
      </x:c>
      <x:c r="B12" s="4" t="str">
        <x:v>PAR-CYB-RETIRADA-EXITOSA-COMUNICADA-001</x:v>
      </x:c>
      <x:c r="C12" s="4" t="str">
        <x:v>0.1</x:v>
      </x:c>
      <x:c r="D12" s="4" t="str">
        <x:v>QCY-08-D1</x:v>
      </x:c>
      <x:c r="E12" s="4" t="str">
        <x:v>Retirada exitosa comunicada</x:v>
      </x:c>
      <x:c r="F12" s="4" t="str">
        <x:v>Existe después de la instalación y hasta el corte una operación de retirada de esa actualización que comunica éxito.</x:v>
      </x:c>
      <x:c r="G12" s="4" t="str">
        <x:v>HISTORIA-RETIRADA-ACTUALIZACION-0.1</x:v>
      </x:c>
      <x:c r="H12" s="4" t="str">
        <x:v>PARAMETRO_ATOMICO_EN_PERFIL_DOCUMENTAL</x:v>
      </x:c>
      <x:c r="I12" s="4" t="str">
        <x:v>PENDIENTE_DE_ADOPCION_NOMINAL</x:v>
      </x:c>
      <x:c r="J12" s="4" t="str">
        <x:v>47–54; LOTE_ATOMICO_02_A_10_OP_CYB_001_v0.1.md</x:v>
      </x:c>
      <x:c r="K12" s="4" t="str">
        <x:v>T001 §§2.3.2/2.3.4; T010–T011; T004</x:v>
      </x:c>
      <x:c r="L12" s="4" t="str">
        <x:v>PENDIENTE_G6</x:v>
      </x:c>
    </x:row>
    <x:row r="13" ht="47" customHeight="1">
      <x:c r="A13" s="4" t="str">
        <x:v>P09</x:v>
      </x:c>
      <x:c r="B13" s="4" t="str">
        <x:v>PAR-CYB-CAMBIO-COMPONENTE-POSTERIOR-001</x:v>
      </x:c>
      <x:c r="C13" s="4" t="str">
        <x:v>0.1</x:v>
      </x:c>
      <x:c r="D13" s="4" t="str">
        <x:v>QCY-08-D2</x:v>
      </x:c>
      <x:c r="E13" s="4" t="str">
        <x:v>Cambio posterior del componente</x:v>
      </x:c>
      <x:c r="F13" s="4" t="str">
        <x:v>Ocurrió al menos un cambio de identidad binaria del componente desde la comprobación de referencia hasta el corte.</x:v>
      </x:c>
      <x:c r="G13" s="4" t="str">
        <x:v>HISTORIA-CAMBIO-COMPONENTE-0.1</x:v>
      </x:c>
      <x:c r="H13" s="4" t="str">
        <x:v>PARAMETRO_ATOMICO_EN_PERFIL_DOCUMENTAL</x:v>
      </x:c>
      <x:c r="I13" s="4" t="str">
        <x:v>PENDIENTE_DE_ADOPCION_NOMINAL</x:v>
      </x:c>
      <x:c r="J13" s="4" t="str">
        <x:v>47–54; LOTE_ATOMICO_02_A_10_OP_CYB_001_v0.1.md</x:v>
      </x:c>
      <x:c r="K13" s="4" t="str">
        <x:v>T001 §§2.2/2.3.4; T008; R025; S018</x:v>
      </x:c>
      <x:c r="L13" s="4" t="str">
        <x:v>PENDIENTE_G6</x:v>
      </x:c>
    </x:row>
    <x:row r="14" ht="47" customHeight="1">
      <x:c r="A14" s="4" t="str">
        <x:v>P10</x:v>
      </x:c>
      <x:c r="B14" s="4" t="str">
        <x:v>PAR-CYB-RESTAURACION-PREVIA-COMUNICADA-001</x:v>
      </x:c>
      <x:c r="C14" s="4" t="str">
        <x:v>0.1</x:v>
      </x:c>
      <x:c r="D14" s="4" t="str">
        <x:v>QCY-08-D3</x:v>
      </x:c>
      <x:c r="E14" s="4" t="str">
        <x:v>Restauración desde estado anterior comunicada</x:v>
      </x:c>
      <x:c r="F14" s="4" t="str">
        <x:v>Se comunicó la terminación satisfactoria de una restauración cuyo punto de origen fue capturado antes de la instalación evaluada.</x:v>
      </x:c>
      <x:c r="G14" s="4" t="str">
        <x:v>HISTORIA-RESTAURACION-PREVIA-0.1</x:v>
      </x:c>
      <x:c r="H14" s="4" t="str">
        <x:v>PARAMETRO_ATOMICO_EN_PERFIL_DOCUMENTAL</x:v>
      </x:c>
      <x:c r="I14" s="4" t="str">
        <x:v>PENDIENTE_DE_ADOPCION_NOMINAL</x:v>
      </x:c>
      <x:c r="J14" s="4" t="str">
        <x:v>47–54; LOTE_ATOMICO_02_A_10_OP_CYB_001_v0.1.md</x:v>
      </x:c>
      <x:c r="K14" s="4" t="str">
        <x:v>T001 §§2.3.2/2.3.4; R033 IV tema 7; S018</x:v>
      </x:c>
      <x:c r="L14" s="4" t="str">
        <x:v>PENDIENTE_G6</x:v>
      </x:c>
    </x:row>
  </x:sheetData>
  <x:mergeCells>
    <x:mergeCell ref="A1:D1"/>
    <x:mergeCell ref="A2:F2"/>
  </x:mergeCells>
  <x:pageMargins left="0.7" right="0.7" top="0.75" bottom="0.75" header="0.3" footer="0.3"/>
  <x:tableParts count="1">
    <x:tablePart xmlns:r="http://schemas.openxmlformats.org/officeDocument/2006/relationships" r:id="R44e23ed86cad4b1b"/>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30" hidden="0" customWidth="1"/>
    <x:col min="4" max="4" width="60" hidden="0" customWidth="1"/>
  </x:cols>
  <x:sheetData>
    <x:row r="1" ht="35" customHeight="1">
      <x:c r="A1" s="6" t="str">
        <x:v>CONTRATOS G3/G5 · P02–P10</x:v>
      </x:c>
      <x:c r="B1" s="6"/>
      <x:c r="C1" s="6"/>
      <x:c r="D1" s="6"/>
    </x:row>
    <x:row r="2" ht="52" customHeight="1">
      <x:c r="A2" s="8" t="str">
        <x:v>Todo valor se refiere al sujeto, horizonte y perfil de su ficha. Capturadores y aptitud operacional permanecen pendientes.</x:v>
      </x:c>
      <x:c r="B2" s="8"/>
      <x:c r="C2" s="8"/>
      <x:c r="D2" s="8"/>
    </x:row>
    <x:row r="3">
      <x:c r="A3" s="4"/>
      <x:c r="B3" s="4"/>
      <x:c r="C3" s="4"/>
      <x:c r="D3" s="4"/>
    </x:row>
    <x:row r="4" ht="42" customHeight="1">
      <x:c r="A4" s="10" t="str">
        <x:v>Parámetro</x:v>
      </x:c>
      <x:c r="B4" s="10" t="str">
        <x:v>Elemento</x:v>
      </x:c>
      <x:c r="C4" s="10" t="str">
        <x:v>Contrato</x:v>
      </x:c>
      <x:c r="D4" s="10" t="str">
        <x:v>Fuente</x:v>
      </x:c>
    </x:row>
    <x:row r="5" ht="47" customHeight="1">
      <x:c r="A5" s="4" t="str">
        <x:v>P02</x:v>
      </x:c>
      <x:c r="B5" s="4" t="str">
        <x:v>Proposición</x:v>
      </x:c>
      <x:c r="C5" s="4" t="str">
        <x:v>La operación individual de instalación identificada comunicó terminación satisfactoria sin el calificador de errores del emisor.</x:v>
      </x:c>
      <x:c r="D5" s="4" t="str">
        <x:v>T004 Constants; T005; T006; R025</x:v>
      </x:c>
    </x:row>
    <x:row r="6" ht="47" customHeight="1">
      <x:c r="A6" s="4" t="str">
        <x:v>P02</x:v>
      </x:c>
      <x:c r="B6" s="4" t="str">
        <x:v>Sujeto e identidad</x:v>
      </x:c>
      <x:c r="C6" s="4" t="str">
        <x:v>Activo, actualización/revisión e intento individual de instalación; correspondencia índice–colección original.</x:v>
      </x:c>
      <x:c r="D6" s="4" t="str">
        <x:v>T004 Constants; T005; T006; R025</x:v>
      </x:c>
    </x:row>
    <x:row r="7" ht="47" customHeight="1">
      <x:c r="A7" s="4" t="str">
        <x:v>P02</x:v>
      </x:c>
      <x:c r="B7" s="4" t="str">
        <x:v>Horizonte</x:v>
      </x:c>
      <x:c r="C7" s="4" t="str">
        <x:v>Resultado terminal de aquel intento. Un resultado de otro intento no lo modifica.</x:v>
      </x:c>
      <x:c r="D7" s="4" t="str">
        <x:v>T004 Constants; T005; T006; R025</x:v>
      </x:c>
    </x:row>
    <x:row r="8" ht="47" customHeight="1">
      <x:c r="A8" s="4" t="str">
        <x:v>P02</x:v>
      </x:c>
      <x:c r="B8" s="4" t="str">
        <x:v>Perfil documental</x:v>
      </x:c>
      <x:c r="C8" s="4" t="str">
        <x:v>WUA-RESULTADO-INDIVIDUAL-0.1</x:v>
      </x:c>
      <x:c r="D8" s="4" t="str">
        <x:v>T004 Constants; T005; T006; R025</x:v>
      </x:c>
    </x:row>
    <x:row r="9" ht="47" customHeight="1">
      <x:c r="A9" s="4" t="str">
        <x:v>P02</x:v>
      </x:c>
      <x:c r="B9" s="4" t="str">
        <x:v>Observación exigida</x:v>
      </x:c>
      <x:c r="C9" s="4" t="str">
        <x:v>IUpdateInstallationResult.ResultCode; HResult se conserva como evidencia separada. No es HRESULT de la llamada de captura.</x:v>
      </x:c>
      <x:c r="D9" s="4" t="str">
        <x:v>T004 Constants; T005; T006; R025</x:v>
      </x:c>
    </x:row>
    <x:row r="10" ht="47" customHeight="1">
      <x:c r="A10" s="4" t="str">
        <x:v>P02</x:v>
      </x:c>
      <x:c r="B10" s="4" t="str">
        <x:v>Tri 1</x:v>
      </x:c>
      <x:c r="C10" s="4" t="str">
        <x:v>orcSucceeded.</x:v>
      </x:c>
      <x:c r="D10" s="4" t="str">
        <x:v>T004 Constants; T005; T006; R025</x:v>
      </x:c>
    </x:row>
    <x:row r="11" ht="47" customHeight="1">
      <x:c r="A11" s="4" t="str">
        <x:v>P02</x:v>
      </x:c>
      <x:c r="B11" s="4" t="str">
        <x:v>Tri 0</x:v>
      </x:c>
      <x:c r="C11" s="4" t="str">
        <x:v>orcSucceededWithErrors, orcFailed u orcAborted; 0 niega esta proposición, no afirma que nada se instaló.</x:v>
      </x:c>
      <x:c r="D11" s="4" t="str">
        <x:v>T004 Constants; T005; T006; R025</x:v>
      </x:c>
    </x:row>
    <x:row r="12" ht="47" customHeight="1">
      <x:c r="A12" s="4" t="str">
        <x:v>P02</x:v>
      </x:c>
      <x:c r="B12" s="4" t="str">
        <x:v>Incertidumbre propia</x:v>
      </x:c>
      <x:c r="C12" s="4" t="str">
        <x:v>Resultado ausente o conflicto de resultados terminales admitidos. NotStarted/InProgress quedan fuera del perfil terminal.</x:v>
      </x:c>
      <x:c r="D12" s="4" t="str">
        <x:v>T004 Constants; T005; T006; R025</x:v>
      </x:c>
    </x:row>
    <x:row r="13" ht="47" customHeight="1">
      <x:c r="A13" s="4" t="str">
        <x:v>P02</x:v>
      </x:c>
      <x:c r="B13" s="4" t="str">
        <x:v>Uso en OP-CYB-001</x:v>
      </x:c>
      <x:c r="C13" s="4" t="str">
        <x:v>Separar el resultado profesional comunicado de completitud, efecto y fallo del observador.</x:v>
      </x:c>
      <x:c r="D13" s="4" t="str">
        <x:v>T004 Constants; T005; T006; R025</x:v>
      </x:c>
    </x:row>
    <x:row r="14" ht="47" customHeight="1">
      <x:c r="A14" s="4" t="str">
        <x:v>P02</x:v>
      </x:c>
      <x:c r="B14" s="4" t="str">
        <x:v>Partición examinada</x:v>
      </x:c>
      <x:c r="C14" s="4" t="str">
        <x:v>No crear tres átomos uno-por-enum. El observable completo conserva errores; el uso pide exactamente éxito comunicado sin ese calificador.</x:v>
      </x:c>
      <x:c r="D14" s="4" t="str">
        <x:v>T004 Constants; T005; T006; R025</x:v>
      </x:c>
    </x:row>
    <x:row r="15" ht="47" customHeight="1">
      <x:c r="A15" s="4" t="str">
        <x:v>P02</x:v>
      </x:c>
      <x:c r="B15" s="4" t="str">
        <x:v>Límite y deuda</x:v>
      </x:c>
      <x:c r="C15" s="4" t="str">
        <x:v>No acredita que el parche haya tomado efecto. El perfil P01 sigue exigiendo orcSucceeded y no se amplía.</x:v>
      </x:c>
      <x:c r="D15" s="4" t="str">
        <x:v>T004 Constants; T005; T006; R025</x:v>
      </x:c>
    </x:row>
    <x:row r="16" ht="47" customHeight="1">
      <x:c r="A16" s="4" t="str">
        <x:v>P03</x:v>
      </x:c>
      <x:c r="B16" s="4" t="str">
        <x:v>Proposición</x:v>
      </x:c>
      <x:c r="C16" s="4" t="str">
        <x:v>Se completó al menos un reinicio íntegro del sistema anfitrión después del resultado de instalación y no después del corte.</x:v>
      </x:c>
      <x:c r="D16" s="4" t="str">
        <x:v>T001 §2.3.2; T007 Summary/More information; R025</x:v>
      </x:c>
    </x:row>
    <x:row r="17" ht="47" customHeight="1">
      <x:c r="A17" s="4" t="str">
        <x:v>P03</x:v>
      </x:c>
      <x:c r="B17" s="4" t="str">
        <x:v>Sujeto e identidad</x:v>
      </x:c>
      <x:c r="C17" s="4" t="str">
        <x:v>Mismo anfitrión/instalación; evento de arranque y corte identificados, sin confundir huésped VM con anfitrión físico.</x:v>
      </x:c>
      <x:c r="D17" s="4" t="str">
        <x:v>T001 §2.3.2; T007 Summary/More information; R025</x:v>
      </x:c>
    </x:row>
    <x:row r="18" ht="47" customHeight="1">
      <x:c r="A18" s="4" t="str">
        <x:v>P03</x:v>
      </x:c>
      <x:c r="B18" s="4" t="str">
        <x:v>Horizonte</x:v>
      </x:c>
      <x:c r="C18" s="4" t="str">
        <x:v>Intervalo (fin de instalación, corte]. El orden debe estar acreditado; no se infiere de la mera fecha de captura.</x:v>
      </x:c>
      <x:c r="D18" s="4" t="str">
        <x:v>T001 §2.3.2; T007 Summary/More information; R025</x:v>
      </x:c>
    </x:row>
    <x:row r="19" ht="47" customHeight="1">
      <x:c r="A19" s="4" t="str">
        <x:v>P03</x:v>
      </x:c>
      <x:c r="B19" s="4" t="str">
        <x:v>Perfil documental</x:v>
      </x:c>
      <x:c r="C19" s="4" t="str">
        <x:v>EVENTO-REINICIO-COMPLETO-0.1</x:v>
      </x:c>
      <x:c r="D19" s="4" t="str">
        <x:v>T001 §2.3.2; T007 Summary/More information; R025</x:v>
      </x:c>
    </x:row>
    <x:row r="20" ht="47" customHeight="1">
      <x:c r="A20" s="4" t="str">
        <x:v>P03</x:v>
      </x:c>
      <x:c r="B20" s="4" t="str">
        <x:v>Observación exigida</x:v>
      </x:c>
      <x:c r="C20" s="4" t="str">
        <x:v>Dossier de arranque con identidad del sistema, clase de arranque, orden y completitud admitidos. No existe aquí un capturador de eventos validado.</x:v>
      </x:c>
      <x:c r="D20" s="4" t="str">
        <x:v>T001 §2.3.2; T007 Summary/More information; R025</x:v>
      </x:c>
    </x:row>
    <x:row r="21" ht="47" customHeight="1">
      <x:c r="A21" s="4" t="str">
        <x:v>P03</x:v>
      </x:c>
      <x:c r="B21" s="4" t="str">
        <x:v>Tri 1</x:v>
      </x:c>
      <x:c r="C21" s="4" t="str">
        <x:v>Testigo de reinicio completo terminado en el intervalo.</x:v>
      </x:c>
      <x:c r="D21" s="4" t="str">
        <x:v>T001 §2.3.2; T007 Summary/More information; R025</x:v>
      </x:c>
    </x:row>
    <x:row r="22" ht="47" customHeight="1">
      <x:c r="A22" s="4" t="str">
        <x:v>P03</x:v>
      </x:c>
      <x:c r="B22" s="4" t="str">
        <x:v>Tri 0</x:v>
      </x:c>
      <x:c r="C22" s="4" t="str">
        <x:v>Registro con cobertura acreditada del intervalo sin tal evento; sólo arranque híbrido con cobertura completa también niega esta proposición.</x:v>
      </x:c>
      <x:c r="D22" s="4" t="str">
        <x:v>T001 §2.3.2; T007 Summary/More information; R025</x:v>
      </x:c>
    </x:row>
    <x:row r="23" ht="47" customHeight="1">
      <x:c r="A23" s="4" t="str">
        <x:v>P03</x:v>
      </x:c>
      <x:c r="B23" s="4" t="str">
        <x:v>Incertidumbre propia</x:v>
      </x:c>
      <x:c r="C23" s="4" t="str">
        <x:v>Registro parcial sin testigo positivo, clase de arranque no probada, orden incierto o conflicto.</x:v>
      </x:c>
      <x:c r="D23" s="4" t="str">
        <x:v>T001 §2.3.2; T007 Summary/More information; R025</x:v>
      </x:c>
    </x:row>
    <x:row r="24" ht="47" customHeight="1">
      <x:c r="A24" s="4" t="str">
        <x:v>P03</x:v>
      </x:c>
      <x:c r="B24" s="4" t="str">
        <x:v>Uso en OP-CYB-001</x:v>
      </x:c>
      <x:c r="C24" s="4" t="str">
        <x:v>Aportar satisfacción de la condición de reinicio del sistema, sin reescribir el requisito histórico.</x:v>
      </x:c>
      <x:c r="D24" s="4" t="str">
        <x:v>T001 §2.3.2; T007 Summary/More information; R025</x:v>
      </x:c>
    </x:row>
    <x:row r="25" ht="47" customHeight="1">
      <x:c r="A25" s="4" t="str">
        <x:v>P03</x:v>
      </x:c>
      <x:c r="B25" s="4" t="str">
        <x:v>Partición examinada</x:v>
      </x:c>
      <x:c r="C25" s="4" t="str">
        <x:v>Fecha, identificador y tipo son condiciones de identidad del evento. No se adjudica un parámetro por cada campo; el predicado es existencia del evento completo.</x:v>
      </x:c>
      <x:c r="D25" s="4" t="str">
        <x:v>T001 §2.3.2; T007 Summary/More information; R025</x:v>
      </x:c>
    </x:row>
    <x:row r="26" ht="47" customHeight="1">
      <x:c r="A26" s="4" t="str">
        <x:v>P03</x:v>
      </x:c>
      <x:c r="B26" s="4" t="str">
        <x:v>Límite y deuda</x:v>
      </x:c>
      <x:c r="C26" s="4" t="str">
        <x:v>Fast Startup es contraejemplo Windows 10, no regla universal de toda plataforma. Reinicio solicitado, comienzo del arranque o uptime aislado no bastan.</x:v>
      </x:c>
      <x:c r="D26" s="4" t="str">
        <x:v>T001 §2.3.2; T007 Summary/More information; R025</x:v>
      </x:c>
    </x:row>
    <x:row r="27" ht="47" customHeight="1">
      <x:c r="A27" s="4" t="str">
        <x:v>P04</x:v>
      </x:c>
      <x:c r="B27" s="4" t="str">
        <x:v>Proposición</x:v>
      </x:c>
      <x:c r="C27" s="4" t="str">
        <x:v>La instrucción específica admitida para completar esta instalación exigía reiniciar el software identificado.</x:v>
      </x:c>
      <x:c r="D27" s="4" t="str">
        <x:v>T001 §2.3.2; T009 cuerpo técnico; R025</x:v>
      </x:c>
    </x:row>
    <x:row r="28" ht="47" customHeight="1">
      <x:c r="A28" s="4" t="str">
        <x:v>P04</x:v>
      </x:c>
      <x:c r="B28" s="4" t="str">
        <x:v>Sujeto e identidad</x:v>
      </x:c>
      <x:c r="C28" s="4" t="str">
        <x:v>Un software identificable y su alcance de ejecución en un anfitrión; instalación e instrucción/version. No una lista de aplicaciones.</x:v>
      </x:c>
      <x:c r="D28" s="4" t="str">
        <x:v>T001 §2.3.2; T009 cuerpo técnico; R025</x:v>
      </x:c>
    </x:row>
    <x:row r="29" ht="47" customHeight="1">
      <x:c r="A29" s="4" t="str">
        <x:v>P04</x:v>
      </x:c>
      <x:c r="B29" s="4" t="str">
        <x:v>Horizonte</x:v>
      </x:c>
      <x:c r="C29" s="4" t="str">
        <x:v>Requisito documentado al resultado de instalación, conservado como hecho histórico.</x:v>
      </x:c>
      <x:c r="D29" s="4" t="str">
        <x:v>T001 §2.3.2; T009 cuerpo técnico; R025</x:v>
      </x:c>
    </x:row>
    <x:row r="30" ht="47" customHeight="1">
      <x:c r="A30" s="4" t="str">
        <x:v>P04</x:v>
      </x:c>
      <x:c r="B30" s="4" t="str">
        <x:v>Perfil documental</x:v>
      </x:c>
      <x:c r="C30" s="4" t="str">
        <x:v>REQUISITO-SOFTWARE-INDIVIDUAL-0.1</x:v>
      </x:c>
      <x:c r="D30" s="4" t="str">
        <x:v>T001 §2.3.2; T009 cuerpo técnico; R025</x:v>
      </x:c>
    </x:row>
    <x:row r="31" ht="47" customHeight="1">
      <x:c r="A31" s="4" t="str">
        <x:v>P04</x:v>
      </x:c>
      <x:c r="B31" s="4" t="str">
        <x:v>Observación exigida</x:v>
      </x:c>
      <x:c r="C31" s="4" t="str">
        <x:v>Cláusula o resultado específico del instalador/fabricante con alcance identificable que exige o niega ese reinicio. El párrafo genérico de NIST no suministra ese dato.</x:v>
      </x:c>
      <x:c r="D31" s="4" t="str">
        <x:v>T001 §2.3.2; T009 cuerpo técnico; R025</x:v>
      </x:c>
    </x:row>
    <x:row r="32" ht="47" customHeight="1">
      <x:c r="A32" s="4" t="str">
        <x:v>P04</x:v>
      </x:c>
      <x:c r="B32" s="4" t="str">
        <x:v>Tri 1</x:v>
      </x:c>
      <x:c r="C32" s="4" t="str">
        <x:v>Requisito positivo explícito y aplicable al software identificado.</x:v>
      </x:c>
      <x:c r="D32" s="4" t="str">
        <x:v>T001 §2.3.2; T009 cuerpo técnico; R025</x:v>
      </x:c>
    </x:row>
    <x:row r="33" ht="47" customHeight="1">
      <x:c r="A33" s="4" t="str">
        <x:v>P04</x:v>
      </x:c>
      <x:c r="B33" s="4" t="str">
        <x:v>Tri 0</x:v>
      </x:c>
      <x:c r="C33" s="4" t="str">
        <x:v>Negación explícita de ese requisito, con el mismo alcance.</x:v>
      </x:c>
      <x:c r="D33" s="4" t="str">
        <x:v>T001 §2.3.2; T009 cuerpo técnico; R025</x:v>
      </x:c>
    </x:row>
    <x:row r="34" ht="47" customHeight="1">
      <x:c r="A34" s="4" t="str">
        <x:v>P04</x:v>
      </x:c>
      <x:c r="B34" s="4" t="str">
        <x:v>Incertidumbre propia</x:v>
      </x:c>
      <x:c r="C34" s="4" t="str">
        <x:v>Instrucción ausente, formulación ambigua o conflicto de instrucciones admitidas. Falta de contrato de aplicabilidad es configuración pendiente, no Tri.</x:v>
      </x:c>
      <x:c r="D34" s="4" t="str">
        <x:v>T001 §2.3.2; T009 cuerpo técnico; R025</x:v>
      </x:c>
    </x:row>
    <x:row r="35" ht="47" customHeight="1">
      <x:c r="A35" s="4" t="str">
        <x:v>P04</x:v>
      </x:c>
      <x:c r="B35" s="4" t="str">
        <x:v>Uso en OP-CYB-001</x:v>
      </x:c>
      <x:c r="C35" s="4" t="str">
        <x:v>Conservar una obligación relativa al software, independiente del reinicio del sistema.</x:v>
      </x:c>
      <x:c r="D35" s="4" t="str">
        <x:v>T001 §2.3.2; T009 cuerpo técnico; R025</x:v>
      </x:c>
    </x:row>
    <x:row r="36" ht="47" customHeight="1">
      <x:c r="A36" s="4" t="str">
        <x:v>P04</x:v>
      </x:c>
      <x:c r="B36" s="4" t="str">
        <x:v>Partición examinada</x:v>
      </x:c>
      <x:c r="C36" s="4" t="str">
        <x:v>Requisito y cumplimiento son estados distintos. No se agrupan redespliegue, cambio de configuración y reinicio bajo un único booleano de «otros cambios».</x:v>
      </x:c>
      <x:c r="D36" s="4" t="str">
        <x:v>T001 §2.3.2; T009 cuerpo técnico; R025</x:v>
      </x:c>
    </x:row>
    <x:row r="37" ht="47" customHeight="1">
      <x:c r="A37" s="4" t="str">
        <x:v>P04</x:v>
      </x:c>
      <x:c r="B37" s="4" t="str">
        <x:v>Límite y deuda</x:v>
      </x:c>
      <x:c r="C37" s="4" t="str">
        <x:v>Sólo cubre este predicado de D3. Redespliegue/configuración y múltiples softwares permanecen pendientes; no se contabilizan como cubiertos.</x:v>
      </x:c>
      <x:c r="D37" s="4" t="str">
        <x:v>T001 §2.3.2; T009 cuerpo técnico; R025</x:v>
      </x:c>
    </x:row>
    <x:row r="38" ht="47" customHeight="1">
      <x:c r="A38" s="4" t="str">
        <x:v>P05</x:v>
      </x:c>
      <x:c r="B38" s="4" t="str">
        <x:v>Proposición</x:v>
      </x:c>
      <x:c r="C38" s="4" t="str">
        <x:v>Terminó la ejecución de la generación de proceso identificada después del ancla de instalación y no después del corte.</x:v>
      </x:c>
      <x:c r="D38" s="4" t="str">
        <x:v>T009 cuerpo técnico; T008 loaded-module list; R025 IV tema 4</x:v>
      </x:c>
    </x:row>
    <x:row r="39" ht="47" customHeight="1">
      <x:c r="A39" s="4" t="str">
        <x:v>P05</x:v>
      </x:c>
      <x:c r="B39" s="4" t="str">
        <x:v>Sujeto e identidad</x:v>
      </x:c>
      <x:c r="C39" s="4" t="str">
        <x:v>Un proceso previo: anfitrión, ámbito de proceso, identidad de generación y episodio. Un PID aislado no identifica una generación.</x:v>
      </x:c>
      <x:c r="D39" s="4" t="str">
        <x:v>T009 cuerpo técnico; T008 loaded-module list; R025 IV tema 4</x:v>
      </x:c>
    </x:row>
    <x:row r="40" ht="47" customHeight="1">
      <x:c r="A40" s="4" t="str">
        <x:v>P05</x:v>
      </x:c>
      <x:c r="B40" s="4" t="str">
        <x:v>Horizonte</x:v>
      </x:c>
      <x:c r="C40" s="4" t="str">
        <x:v>Intervalo (ancla de instalación declarada, corte]; el ancla debe fijarse antes del contraste y no moverse para producir 1.</x:v>
      </x:c>
      <x:c r="D40" s="4" t="str">
        <x:v>T009 cuerpo técnico; T008 loaded-module list; R025 IV tema 4</x:v>
      </x:c>
    </x:row>
    <x:row r="41" ht="47" customHeight="1">
      <x:c r="A41" s="4" t="str">
        <x:v>P05</x:v>
      </x:c>
      <x:c r="B41" s="4" t="str">
        <x:v>Perfil documental</x:v>
      </x:c>
      <x:c r="C41" s="4" t="str">
        <x:v>TERMINACION-GENERACION-PROCESO-0.1</x:v>
      </x:c>
      <x:c r="D41" s="4" t="str">
        <x:v>T009 cuerpo técnico; T008 loaded-module list; R025 IV tema 4</x:v>
      </x:c>
    </x:row>
    <x:row r="42" ht="47" customHeight="1">
      <x:c r="A42" s="4" t="str">
        <x:v>P05</x:v>
      </x:c>
      <x:c r="B42" s="4" t="str">
        <x:v>Observación exigida</x:v>
      </x:c>
      <x:c r="C42" s="4" t="str">
        <x:v>Testigo de terminación vinculado a la generación; para ausencia, registro completo de su ciclo de vida en el intervalo.</x:v>
      </x:c>
      <x:c r="D42" s="4" t="str">
        <x:v>T009 cuerpo técnico; T008 loaded-module list; R025 IV tema 4</x:v>
      </x:c>
    </x:row>
    <x:row r="43" ht="47" customHeight="1">
      <x:c r="A43" s="4" t="str">
        <x:v>P05</x:v>
      </x:c>
      <x:c r="B43" s="4" t="str">
        <x:v>Tri 1</x:v>
      </x:c>
      <x:c r="C43" s="4" t="str">
        <x:v>Evento de terminación de aquella generación en el intervalo.</x:v>
      </x:c>
      <x:c r="D43" s="4" t="str">
        <x:v>T009 cuerpo técnico; T008 loaded-module list; R025 IV tema 4</x:v>
      </x:c>
    </x:row>
    <x:row r="44" ht="47" customHeight="1">
      <x:c r="A44" s="4" t="str">
        <x:v>P05</x:v>
      </x:c>
      <x:c r="B44" s="4" t="str">
        <x:v>Tri 0</x:v>
      </x:c>
      <x:c r="C44" s="4" t="str">
        <x:v>Ausencia acreditada de tal terminación en el intervalo.</x:v>
      </x:c>
      <x:c r="D44" s="4" t="str">
        <x:v>T009 cuerpo técnico; T008 loaded-module list; R025 IV tema 4</x:v>
      </x:c>
    </x:row>
    <x:row r="45" ht="47" customHeight="1">
      <x:c r="A45" s="4" t="str">
        <x:v>P05</x:v>
      </x:c>
      <x:c r="B45" s="4" t="str">
        <x:v>Incertidumbre propia</x:v>
      </x:c>
      <x:c r="C45" s="4" t="str">
        <x:v>PID sin generación, registro incompleto, orden incierto o conflicto. Error de captura se registra fuera de Tri.</x:v>
      </x:c>
      <x:c r="D45" s="4" t="str">
        <x:v>T009 cuerpo técnico; T008 loaded-module list; R025 IV tema 4</x:v>
      </x:c>
    </x:row>
    <x:row r="46" ht="47" customHeight="1">
      <x:c r="A46" s="4" t="str">
        <x:v>P05</x:v>
      </x:c>
      <x:c r="B46" s="4" t="str">
        <x:v>Uso en OP-CYB-001</x:v>
      </x:c>
      <x:c r="C46" s="4" t="str">
        <x:v>Conservar que la ejecución previa dejó de mantener sus recursos; no equipararlo con nuevo proceso operativo.</x:v>
      </x:c>
      <x:c r="D46" s="4" t="str">
        <x:v>T009 cuerpo técnico; T008 loaded-module list; R025 IV tema 4</x:v>
      </x:c>
    </x:row>
    <x:row r="47" ht="47" customHeight="1">
      <x:c r="A47" s="4" t="str">
        <x:v>P05</x:v>
      </x:c>
      <x:c r="B47" s="4" t="str">
        <x:v>Partición examinada</x:v>
      </x:c>
      <x:c r="C47" s="4" t="str">
        <x:v>Se rechazó «reinicio del software realizado» como agregado de terminación y nueva ejecución útil. Aquí se adjudica sólo el evento de terminación; arranque y disponibilidad no se esconden.</x:v>
      </x:c>
      <x:c r="D47" s="4" t="str">
        <x:v>T009 cuerpo técnico; T008 loaded-module list; R025 IV tema 4</x:v>
      </x:c>
    </x:row>
    <x:row r="48" ht="47" customHeight="1">
      <x:c r="A48" s="4" t="str">
        <x:v>P05</x:v>
      </x:c>
      <x:c r="B48" s="4" t="str">
        <x:v>Límite y deuda</x:v>
      </x:c>
      <x:c r="C48" s="4" t="str">
        <x:v>No satisface por sí solo P04. Reinicio íntegro, todas las instancias, redeploy y configuración continúan pendientes en D4.</x:v>
      </x:c>
      <x:c r="D48" s="4" t="str">
        <x:v>T009 cuerpo técnico; T008 loaded-module list; R025 IV tema 4</x:v>
      </x:c>
    </x:row>
    <x:row r="49" ht="47" customHeight="1">
      <x:c r="A49" s="4" t="str">
        <x:v>P06</x:v>
      </x:c>
      <x:c r="B49" s="4" t="str">
        <x:v>Proposición</x:v>
      </x:c>
      <x:c r="C49" s="4" t="str">
        <x:v>La imagen del componente cargada en la instancia evaluada al corte coincide con la imagen objetivo previamente fijada.</x:v>
      </x:c>
      <x:c r="D49" s="4" t="str">
        <x:v>T001 §2.3.3; T008; T012–T013; R025 IV temas 4/5/6</x:v>
      </x:c>
    </x:row>
    <x:row r="50" ht="47" customHeight="1">
      <x:c r="A50" s="4" t="str">
        <x:v>P06</x:v>
      </x:c>
      <x:c r="B50" s="4" t="str">
        <x:v>Sujeto e identidad</x:v>
      </x:c>
      <x:c r="C50" s="4" t="str">
        <x:v>Una instancia/generación, un componente cargado, imagen objetivo, método de identidad admitido e instalación relacionada.</x:v>
      </x:c>
      <x:c r="D50" s="4" t="str">
        <x:v>T001 §2.3.3; T008; T012–T013; R025 IV temas 4/5/6</x:v>
      </x:c>
    </x:row>
    <x:row r="51" ht="47" customHeight="1">
      <x:c r="A51" s="4" t="str">
        <x:v>P06</x:v>
      </x:c>
      <x:c r="B51" s="4" t="str">
        <x:v>Horizonte</x:v>
      </x:c>
      <x:c r="C51" s="4" t="str">
        <x:v>Estado observado al corte de aquella instancia. No describe todas las instancias ni conserva vigencia frente a eventos futuros.</x:v>
      </x:c>
      <x:c r="D51" s="4" t="str">
        <x:v>T001 §2.3.3; T008; T012–T013; R025 IV temas 4/5/6</x:v>
      </x:c>
    </x:row>
    <x:row r="52" ht="47" customHeight="1">
      <x:c r="A52" s="4" t="str">
        <x:v>P06</x:v>
      </x:c>
      <x:c r="B52" s="4" t="str">
        <x:v>Perfil documental</x:v>
      </x:c>
      <x:c r="C52" s="4" t="str">
        <x:v>IDENTIDAD-IMAGEN-CARGADA-0.1</x:v>
      </x:c>
      <x:c r="D52" s="4" t="str">
        <x:v>T001 §2.3.3; T008; T012–T013; R025 IV temas 4/5/6</x:v>
      </x:c>
    </x:row>
    <x:row r="53" ht="47" customHeight="1">
      <x:c r="A53" s="4" t="str">
        <x:v>P06</x:v>
      </x:c>
      <x:c r="B53" s="4" t="str">
        <x:v>Observación exigida</x:v>
      </x:c>
      <x:c r="C53" s="4" t="str">
        <x:v>Dos identidades exactas obtenidas con el mismo método admitido: imagen realmente cargada y objetivo fijado. La evidencia debe justificar correspondencia runtime–imagen; no basta leer el fichero por su ruta.</x:v>
      </x:c>
      <x:c r="D53" s="4" t="str">
        <x:v>T001 §2.3.3; T008; T012–T013; R025 IV temas 4/5/6</x:v>
      </x:c>
    </x:row>
    <x:row r="54" ht="47" customHeight="1">
      <x:c r="A54" s="4" t="str">
        <x:v>P06</x:v>
      </x:c>
      <x:c r="B54" s="4" t="str">
        <x:v>Tri 1</x:v>
      </x:c>
      <x:c r="C54" s="4" t="str">
        <x:v>Identidades exactas iguales bajo ese método y alcance.</x:v>
      </x:c>
      <x:c r="D54" s="4" t="str">
        <x:v>T001 §2.3.3; T008; T012–T013; R025 IV temas 4/5/6</x:v>
      </x:c>
    </x:row>
    <x:row r="55" ht="47" customHeight="1">
      <x:c r="A55" s="4" t="str">
        <x:v>P06</x:v>
      </x:c>
      <x:c r="B55" s="4" t="str">
        <x:v>Tri 0</x:v>
      </x:c>
      <x:c r="C55" s="4" t="str">
        <x:v>Identidad runtime acreditada distinta del objetivo.</x:v>
      </x:c>
      <x:c r="D55" s="4" t="str">
        <x:v>T001 §2.3.3; T008; T012–T013; R025 IV temas 4/5/6</x:v>
      </x:c>
    </x:row>
    <x:row r="56" ht="47" customHeight="1">
      <x:c r="A56" s="4" t="str">
        <x:v>P06</x:v>
      </x:c>
      <x:c r="B56" s="4" t="str">
        <x:v>Incertidumbre propia</x:v>
      </x:c>
      <x:c r="C56" s="4" t="str">
        <x:v>Sólo fichero en disco, ruta, nombre, dirección/puntero, tamaño o versión no inequívoca; captura insuficiente o contradictoria.</x:v>
      </x:c>
      <x:c r="D56" s="4" t="str">
        <x:v>T001 §2.3.3; T008; T012–T013; R025 IV temas 4/5/6</x:v>
      </x:c>
    </x:row>
    <x:row r="57" ht="47" customHeight="1">
      <x:c r="A57" s="4" t="str">
        <x:v>P06</x:v>
      </x:c>
      <x:c r="B57" s="4" t="str">
        <x:v>Uso en OP-CYB-001</x:v>
      </x:c>
      <x:c r="C57" s="4" t="str">
        <x:v>Separar distribución en disco de qué código está activo en la instancia examinada.</x:v>
      </x:c>
      <x:c r="D57" s="4" t="str">
        <x:v>T001 §2.3.3; T008; T012–T013; R025 IV temas 4/5/6</x:v>
      </x:c>
    </x:row>
    <x:row r="58" ht="47" customHeight="1">
      <x:c r="A58" s="4" t="str">
        <x:v>P06</x:v>
      </x:c>
      <x:c r="B58" s="4" t="str">
        <x:v>Partición examinada</x:v>
      </x:c>
      <x:c r="C58" s="4" t="str">
        <x:v>El digest objetivo es contexto, no un átomo. Comparar identidad de imagen es una sola proposición; no se mezclan firma, autenticidad o efectividad del parche.</x:v>
      </x:c>
      <x:c r="D58" s="4" t="str">
        <x:v>T001 §2.3.3; T008; T012–T013; R025 IV temas 4/5/6</x:v>
      </x:c>
    </x:row>
    <x:row r="59" ht="60" customHeight="1">
      <x:c r="A59" s="4" t="str">
        <x:v>P06</x:v>
      </x:c>
      <x:c r="B59" s="4" t="str">
        <x:v>Límite y deuda</x:v>
      </x:c>
      <x:c r="C59" s="4" t="str">
        <x:v>MODULEINFO no entrega huella del código. No se define hash ingenuo de memoria (ASLR, relocaciones o modificaciones). El método productivo de identidad/captura sigue pendiente; aquí se ensaya el contrato sobre identidades documentales sintéticas.</x:v>
      </x:c>
      <x:c r="D59" s="4" t="str">
        <x:v>T001 §2.3.3; T008; T012–T013; R025 IV temas 4/5/6</x:v>
      </x:c>
    </x:row>
    <x:row r="60" ht="47" customHeight="1">
      <x:c r="A60" s="4" t="str">
        <x:v>P07</x:v>
      </x:c>
      <x:c r="B60" s="4" t="str">
        <x:v>Proposición</x:v>
      </x:c>
      <x:c r="C60" s="4" t="str">
        <x:v>La comprobación individual identificada satisfizo el único criterio de aceptación previamente fijado para ella.</x:v>
      </x:c>
      <x:c r="D60" s="4" t="str">
        <x:v>T001 §2.3.3; R025; R035</x:v>
      </x:c>
    </x:row>
    <x:row r="61" ht="47" customHeight="1">
      <x:c r="A61" s="4" t="str">
        <x:v>P07</x:v>
      </x:c>
      <x:c r="B61" s="4" t="str">
        <x:v>Sujeto e identidad</x:v>
      </x:c>
      <x:c r="C61" s="4" t="str">
        <x:v>Una ejecución de comprobación, activo/componente, criterio unitario/version, método y evidencia. No una campaña ni un agregado de hallazgos.</x:v>
      </x:c>
      <x:c r="D61" s="4" t="str">
        <x:v>T001 §2.3.3; R025; R035</x:v>
      </x:c>
    </x:row>
    <x:row r="62" ht="47" customHeight="1">
      <x:c r="A62" s="4" t="str">
        <x:v>P07</x:v>
      </x:c>
      <x:c r="B62" s="4" t="str">
        <x:v>Horizonte</x:v>
      </x:c>
      <x:c r="C62" s="4" t="str">
        <x:v>Resultado de aquella ejecución; una comprobación nueva recibe otra identidad y no modifica retrospectivamente este resultado.</x:v>
      </x:c>
      <x:c r="D62" s="4" t="str">
        <x:v>T001 §2.3.3; R025; R035</x:v>
      </x:c>
    </x:row>
    <x:row r="63" ht="47" customHeight="1">
      <x:c r="A63" s="4" t="str">
        <x:v>P07</x:v>
      </x:c>
      <x:c r="B63" s="4" t="str">
        <x:v>Perfil documental</x:v>
      </x:c>
      <x:c r="C63" s="4" t="str">
        <x:v>COMPROBACION-CRITERIO-UNITARIO-0.1</x:v>
      </x:c>
      <x:c r="D63" s="4" t="str">
        <x:v>T001 §2.3.3; R025; R035</x:v>
      </x:c>
    </x:row>
    <x:row r="64" ht="47" customHeight="1">
      <x:c r="A64" s="4" t="str">
        <x:v>P07</x:v>
      </x:c>
      <x:c r="B64" s="4" t="str">
        <x:v>Observación exigida</x:v>
      </x:c>
      <x:c r="C64" s="4" t="str">
        <x:v>Informe con observación y criterio previos, resultado reproducible y alcance identificado. El informe debe enlazar evidencia, no contener sólo un sello «apto».</x:v>
      </x:c>
      <x:c r="D64" s="4" t="str">
        <x:v>T001 §2.3.3; R025; R035</x:v>
      </x:c>
    </x:row>
    <x:row r="65" ht="47" customHeight="1">
      <x:c r="A65" s="4" t="str">
        <x:v>P07</x:v>
      </x:c>
      <x:c r="B65" s="4" t="str">
        <x:v>Tri 1</x:v>
      </x:c>
      <x:c r="C65" s="4" t="str">
        <x:v>La observación satisface el criterio unitario admitido.</x:v>
      </x:c>
      <x:c r="D65" s="4" t="str">
        <x:v>T001 §2.3.3; R025; R035</x:v>
      </x:c>
    </x:row>
    <x:row r="66" ht="47" customHeight="1">
      <x:c r="A66" s="4" t="str">
        <x:v>P07</x:v>
      </x:c>
      <x:c r="B66" s="4" t="str">
        <x:v>Tri 0</x:v>
      </x:c>
      <x:c r="C66" s="4" t="str">
        <x:v>La observación no lo satisface, con prueba válida.</x:v>
      </x:c>
      <x:c r="D66" s="4" t="str">
        <x:v>T001 §2.3.3; R025; R035</x:v>
      </x:c>
    </x:row>
    <x:row r="67" ht="47" customHeight="1">
      <x:c r="A67" s="4" t="str">
        <x:v>P07</x:v>
      </x:c>
      <x:c r="B67" s="4" t="str">
        <x:v>Incertidumbre propia</x:v>
      </x:c>
      <x:c r="C67" s="4" t="str">
        <x:v>Observación ausente, evidencia insuficiente o conflicto. Criterio compuesto o no fijado impide admisión al perfil, no produce un falso negativo.</x:v>
      </x:c>
      <x:c r="D67" s="4" t="str">
        <x:v>T001 §2.3.3; R025; R035</x:v>
      </x:c>
    </x:row>
    <x:row r="68" ht="47" customHeight="1">
      <x:c r="A68" s="4" t="str">
        <x:v>P07</x:v>
      </x:c>
      <x:c r="B68" s="4" t="str">
        <x:v>Uso en OP-CYB-001</x:v>
      </x:c>
      <x:c r="C68" s="4" t="str">
        <x:v>Conservar el resultado de una comprobación sin convertirlo en cierre global o ausencia universal de vulnerabilidades.</x:v>
      </x:c>
      <x:c r="D68" s="4" t="str">
        <x:v>T001 §2.3.3; R025; R035</x:v>
      </x:c>
    </x:row>
    <x:row r="69" ht="47" customHeight="1">
      <x:c r="A69" s="4" t="str">
        <x:v>P07</x:v>
      </x:c>
      <x:c r="B69" s="4" t="str">
        <x:v>Partición examinada</x:v>
      </x:c>
      <x:c r="C69" s="4" t="str">
        <x:v>Si el criterio reúne resultados con incertidumbre/consecuencia separables es compuesto y queda fuera. Este parámetro sólo admite un predicado evaluativo unitario.</x:v>
      </x:c>
      <x:c r="D69" s="4" t="str">
        <x:v>T001 §2.3.3; R025; R035</x:v>
      </x:c>
    </x:row>
    <x:row r="70" ht="47" customHeight="1">
      <x:c r="A70" s="4" t="str">
        <x:v>P07</x:v>
      </x:c>
      <x:c r="B70" s="4" t="str">
        <x:v>Límite y deuda</x:v>
      </x:c>
      <x:c r="C70" s="4" t="str">
        <x:v>La unidad no ha fijado un oráculo de explotación real ni ejecutado pruebas sobre activos. Valida el contrato documental del resultado, no la sensibilidad operacional del futuro criterio.</x:v>
      </x:c>
      <x:c r="D70" s="4" t="str">
        <x:v>T001 §2.3.3; R025; R035</x:v>
      </x:c>
    </x:row>
    <x:row r="71" ht="47" customHeight="1">
      <x:c r="A71" s="4" t="str">
        <x:v>P08</x:v>
      </x:c>
      <x:c r="B71" s="4" t="str">
        <x:v>Proposición</x:v>
      </x:c>
      <x:c r="C71" s="4" t="str">
        <x:v>Existe después de la instalación y hasta el corte una operación de retirada de esa actualización que comunica éxito.</x:v>
      </x:c>
      <x:c r="D71" s="4" t="str">
        <x:v>T001 §§2.3.2/2.3.4; T010–T011; T004</x:v>
      </x:c>
    </x:row>
    <x:row r="72" ht="47" customHeight="1">
      <x:c r="A72" s="4" t="str">
        <x:v>P08</x:v>
      </x:c>
      <x:c r="B72" s="4" t="str">
        <x:v>Sujeto e identidad</x:v>
      </x:c>
      <x:c r="C72" s="4" t="str">
        <x:v>Activo, actualización/revisión, episodio inicial y operación posterior de retirada identificada.</x:v>
      </x:c>
      <x:c r="D72" s="4" t="str">
        <x:v>T001 §§2.3.2/2.3.4; T010–T011; T004</x:v>
      </x:c>
    </x:row>
    <x:row r="73" ht="47" customHeight="1">
      <x:c r="A73" s="4" t="str">
        <x:v>P08</x:v>
      </x:c>
      <x:c r="B73" s="4" t="str">
        <x:v>Horizonte</x:v>
      </x:c>
      <x:c r="C73" s="4" t="str">
        <x:v>Existencia histórica en (fin de instalación, corte]. Reinstalar después no borra el suceso.</x:v>
      </x:c>
      <x:c r="D73" s="4" t="str">
        <x:v>T001 §§2.3.2/2.3.4; T010–T011; T004</x:v>
      </x:c>
    </x:row>
    <x:row r="74" ht="47" customHeight="1">
      <x:c r="A74" s="4" t="str">
        <x:v>P08</x:v>
      </x:c>
      <x:c r="B74" s="4" t="str">
        <x:v>Perfil documental</x:v>
      </x:c>
      <x:c r="C74" s="4" t="str">
        <x:v>HISTORIA-RETIRADA-ACTUALIZACION-0.1</x:v>
      </x:c>
      <x:c r="D74" s="4" t="str">
        <x:v>T001 §§2.3.2/2.3.4; T010–T011; T004</x:v>
      </x:c>
    </x:row>
    <x:row r="75" ht="47" customHeight="1">
      <x:c r="A75" s="4" t="str">
        <x:v>P08</x:v>
      </x:c>
      <x:c r="B75" s="4" t="str">
        <x:v>Observación exigida</x:v>
      </x:c>
      <x:c r="C75" s="4" t="str">
        <x:v>Historia admitida: identidad, Operation, ResultCode y orden. QueryHistory por sí solo no demuestra que su historia sea íntegra.</x:v>
      </x:c>
      <x:c r="D75" s="4" t="str">
        <x:v>T001 §§2.3.2/2.3.4; T010–T011; T004</x:v>
      </x:c>
    </x:row>
    <x:row r="76" ht="47" customHeight="1">
      <x:c r="A76" s="4" t="str">
        <x:v>P08</x:v>
      </x:c>
      <x:c r="B76" s="4" t="str">
        <x:v>Tri 1</x:v>
      </x:c>
      <x:c r="C76" s="4" t="str">
        <x:v>Operación uoUninstallation con orcSucceeded, correctamente vinculada y posterior.</x:v>
      </x:c>
      <x:c r="D76" s="4" t="str">
        <x:v>T001 §§2.3.2/2.3.4; T010–T011; T004</x:v>
      </x:c>
    </x:row>
    <x:row r="77" ht="47" customHeight="1">
      <x:c r="A77" s="4" t="str">
        <x:v>P08</x:v>
      </x:c>
      <x:c r="B77" s="4" t="str">
        <x:v>Tri 0</x:v>
      </x:c>
      <x:c r="C77" s="4" t="str">
        <x:v>Ninguna operación así en historia cuya cobertura del intervalo está acreditada.</x:v>
      </x:c>
      <x:c r="D77" s="4" t="str">
        <x:v>T001 §§2.3.2/2.3.4; T010–T011; T004</x:v>
      </x:c>
    </x:row>
    <x:row r="78" ht="47" customHeight="1">
      <x:c r="A78" s="4" t="str">
        <x:v>P08</x:v>
      </x:c>
      <x:c r="B78" s="4" t="str">
        <x:v>Incertidumbre propia</x:v>
      </x:c>
      <x:c r="C78" s="4" t="str">
        <x:v>Cobertura parcial sin positivo, éxito con errores sin conclusión suficiente sobre retirada, orden incierto o conflicto.</x:v>
      </x:c>
      <x:c r="D78" s="4" t="str">
        <x:v>T001 §§2.3.2/2.3.4; T010–T011; T004</x:v>
      </x:c>
    </x:row>
    <x:row r="79" ht="47" customHeight="1">
      <x:c r="A79" s="4" t="str">
        <x:v>P08</x:v>
      </x:c>
      <x:c r="B79" s="4" t="str">
        <x:v>Uso en OP-CYB-001</x:v>
      </x:c>
      <x:c r="C79" s="4" t="str">
        <x:v>Activar reexamen del cierre frente a una retirada comunicada, conservando diferencia entre resultado comunicado y estado actual.</x:v>
      </x:c>
      <x:c r="D79" s="4" t="str">
        <x:v>T001 §§2.3.2/2.3.4; T010–T011; T004</x:v>
      </x:c>
    </x:row>
    <x:row r="80" ht="47" customHeight="1">
      <x:c r="A80" s="4" t="str">
        <x:v>P08</x:v>
      </x:c>
      <x:c r="B80" s="4" t="str">
        <x:v>Partición examinada</x:v>
      </x:c>
      <x:c r="C80" s="4" t="str">
        <x:v>No se crea un átomo para cada resultado de retirada. La semántica del suceso permanece separada de la integridad de la historia y del estado actual.</x:v>
      </x:c>
      <x:c r="D80" s="4" t="str">
        <x:v>T001 §§2.3.2/2.3.4; T010–T011; T004</x:v>
      </x:c>
    </x:row>
    <x:row r="81" ht="47" customHeight="1">
      <x:c r="A81" s="4" t="str">
        <x:v>P08</x:v>
      </x:c>
      <x:c r="B81" s="4" t="str">
        <x:v>Límite y deuda</x:v>
      </x:c>
      <x:c r="C81" s="4" t="str">
        <x:v>Cubre retirada comunicada, no toda reversión posible de D1. La ausencia del paquete en inventario no prueba esta causa.</x:v>
      </x:c>
      <x:c r="D81" s="4" t="str">
        <x:v>T001 §§2.3.2/2.3.4; T010–T011; T004</x:v>
      </x:c>
    </x:row>
    <x:row r="82" ht="47" customHeight="1">
      <x:c r="A82" s="4" t="str">
        <x:v>P09</x:v>
      </x:c>
      <x:c r="B82" s="4" t="str">
        <x:v>Proposición</x:v>
      </x:c>
      <x:c r="C82" s="4" t="str">
        <x:v>Ocurrió al menos un cambio de identidad binaria del componente desde la comprobación de referencia hasta el corte.</x:v>
      </x:c>
      <x:c r="D82" s="4" t="str">
        <x:v>T001 §§2.2/2.3.4; T008; R025; S018</x:v>
      </x:c>
    </x:row>
    <x:row r="83" ht="47" customHeight="1">
      <x:c r="A83" s="4" t="str">
        <x:v>P09</x:v>
      </x:c>
      <x:c r="B83" s="4" t="str">
        <x:v>Sujeto e identidad</x:v>
      </x:c>
      <x:c r="C83" s="4" t="str">
        <x:v>Activo y componente lógico, referencia verificada, cadena de eventos y criterio de identidad binaria fijados.</x:v>
      </x:c>
      <x:c r="D83" s="4" t="str">
        <x:v>T001 §§2.2/2.3.4; T008; R025; S018</x:v>
      </x:c>
    </x:row>
    <x:row r="84" ht="47" customHeight="1">
      <x:c r="A84" s="4" t="str">
        <x:v>P09</x:v>
      </x:c>
      <x:c r="B84" s="4" t="str">
        <x:v>Horizonte</x:v>
      </x:c>
      <x:c r="C84" s="4" t="str">
        <x:v>Intervalo (comprobación de referencia, corte]. Se conserva el evento aunque después se vuelva a la imagen anterior.</x:v>
      </x:c>
      <x:c r="D84" s="4" t="str">
        <x:v>T001 §§2.2/2.3.4; T008; R025; S018</x:v>
      </x:c>
    </x:row>
    <x:row r="85" ht="47" customHeight="1">
      <x:c r="A85" s="4" t="str">
        <x:v>P09</x:v>
      </x:c>
      <x:c r="B85" s="4" t="str">
        <x:v>Perfil documental</x:v>
      </x:c>
      <x:c r="C85" s="4" t="str">
        <x:v>HISTORIA-CAMBIO-COMPONENTE-0.1</x:v>
      </x:c>
      <x:c r="D85" s="4" t="str">
        <x:v>T001 §§2.2/2.3.4; T008; R025; S018</x:v>
      </x:c>
    </x:row>
    <x:row r="86" ht="47" customHeight="1">
      <x:c r="A86" s="4" t="str">
        <x:v>P09</x:v>
      </x:c>
      <x:c r="B86" s="4" t="str">
        <x:v>Observación exigida</x:v>
      </x:c>
      <x:c r="C86" s="4" t="str">
        <x:v>Testigo de transición entre identidades distintas bajo el mismo método, con orden y enlace al componente; ausencia exige cobertura suficiente.</x:v>
      </x:c>
      <x:c r="D86" s="4" t="str">
        <x:v>T001 §§2.2/2.3.4; T008; R025; S018</x:v>
      </x:c>
    </x:row>
    <x:row r="87" ht="47" customHeight="1">
      <x:c r="A87" s="4" t="str">
        <x:v>P09</x:v>
      </x:c>
      <x:c r="B87" s="4" t="str">
        <x:v>Tri 1</x:v>
      </x:c>
      <x:c r="C87" s="4" t="str">
        <x:v>Transición acreditada; también cambio seguido de retorno a identidad inicial.</x:v>
      </x:c>
      <x:c r="D87" s="4" t="str">
        <x:v>T001 §§2.2/2.3.4; T008; R025; S018</x:v>
      </x:c>
    </x:row>
    <x:row r="88" ht="47" customHeight="1">
      <x:c r="A88" s="4" t="str">
        <x:v>P09</x:v>
      </x:c>
      <x:c r="B88" s="4" t="str">
        <x:v>Tri 0</x:v>
      </x:c>
      <x:c r="C88" s="4" t="str">
        <x:v>Ninguna transición en historia acreditadamente completa.</x:v>
      </x:c>
      <x:c r="D88" s="4" t="str">
        <x:v>T001 §§2.2/2.3.4; T008; R025; S018</x:v>
      </x:c>
    </x:row>
    <x:row r="89" ht="47" customHeight="1">
      <x:c r="A89" s="4" t="str">
        <x:v>P09</x:v>
      </x:c>
      <x:c r="B89" s="4" t="str">
        <x:v>Incertidumbre propia</x:v>
      </x:c>
      <x:c r="C89" s="4" t="str">
        <x:v>Sólo comparación de estados extremos, hueco del registro, identidad binaria insuficiente u orden incierto.</x:v>
      </x:c>
      <x:c r="D89" s="4" t="str">
        <x:v>T001 §§2.2/2.3.4; T008; R025; S018</x:v>
      </x:c>
    </x:row>
    <x:row r="90" ht="47" customHeight="1">
      <x:c r="A90" s="4" t="str">
        <x:v>P09</x:v>
      </x:c>
      <x:c r="B90" s="4" t="str">
        <x:v>Uso en OP-CYB-001</x:v>
      </x:c>
      <x:c r="C90" s="4" t="str">
        <x:v>Conservar el antecedente que obliga a revisar la transportabilidad de una comprobación anterior.</x:v>
      </x:c>
      <x:c r="D90" s="4" t="str">
        <x:v>T001 §§2.2/2.3.4; T008; R025; S018</x:v>
      </x:c>
    </x:row>
    <x:row r="91" ht="47" customHeight="1">
      <x:c r="A91" s="4" t="str">
        <x:v>P09</x:v>
      </x:c>
      <x:c r="B91" s="4" t="str">
        <x:v>Partición examinada</x:v>
      </x:c>
      <x:c r="C91" s="4" t="str">
        <x:v>Se retiró una primera formulación como desigualdad actual frente a referencia: podía duplicar el complemento de P06. La historia de transición aporta función separable.</x:v>
      </x:c>
      <x:c r="D91" s="4" t="str">
        <x:v>T001 §§2.2/2.3.4; T008; R025; S018</x:v>
      </x:c>
    </x:row>
    <x:row r="92" ht="47" customHeight="1">
      <x:c r="A92" s="4" t="str">
        <x:v>P09</x:v>
      </x:c>
      <x:c r="B92" s="4" t="str">
        <x:v>Límite y deuda</x:v>
      </x:c>
      <x:c r="C92" s="4" t="str">
        <x:v>No abarca todo cambio de configuración de D2. Un cambio de catálogo externo conserva su estatuto propio y no modifica Tri automáticamente.</x:v>
      </x:c>
      <x:c r="D92" s="4" t="str">
        <x:v>T001 §§2.2/2.3.4; T008; R025; S018</x:v>
      </x:c>
    </x:row>
    <x:row r="93" ht="47" customHeight="1">
      <x:c r="A93" s="4" t="str">
        <x:v>P10</x:v>
      </x:c>
      <x:c r="B93" s="4" t="str">
        <x:v>Proposición</x:v>
      </x:c>
      <x:c r="C93" s="4" t="str">
        <x:v>Se comunicó la terminación satisfactoria de una restauración cuyo punto de origen fue capturado antes de la instalación evaluada.</x:v>
      </x:c>
      <x:c r="D93" s="4" t="str">
        <x:v>T001 §§2.3.2/2.3.4; R033 IV tema 7; S018</x:v>
      </x:c>
    </x:row>
    <x:row r="94" ht="47" customHeight="1">
      <x:c r="A94" s="4" t="str">
        <x:v>P10</x:v>
      </x:c>
      <x:c r="B94" s="4" t="str">
        <x:v>Sujeto e identidad</x:v>
      </x:c>
      <x:c r="C94" s="4" t="str">
        <x:v>Activo, trabajo de restauración, punto de recuperación, ámbito restaurado e instalación; identidades enlazadas.</x:v>
      </x:c>
      <x:c r="D94" s="4" t="str">
        <x:v>T001 §§2.3.2/2.3.4; R033 IV tema 7; S018</x:v>
      </x:c>
    </x:row>
    <x:row r="95" ht="47" customHeight="1">
      <x:c r="A95" s="4" t="str">
        <x:v>P10</x:v>
      </x:c>
      <x:c r="B95" s="4" t="str">
        <x:v>Horizonte</x:v>
      </x:c>
      <x:c r="C95" s="4" t="str">
        <x:v>Restauración posterior al fin de instalación y no posterior al corte; punto de recuperación anterior al inicio de instalación.</x:v>
      </x:c>
      <x:c r="D95" s="4" t="str">
        <x:v>T001 §§2.3.2/2.3.4; R033 IV tema 7; S018</x:v>
      </x:c>
    </x:row>
    <x:row r="96" ht="47" customHeight="1">
      <x:c r="A96" s="4" t="str">
        <x:v>P10</x:v>
      </x:c>
      <x:c r="B96" s="4" t="str">
        <x:v>Perfil documental</x:v>
      </x:c>
      <x:c r="C96" s="4" t="str">
        <x:v>HISTORIA-RESTAURACION-PREVIA-0.1</x:v>
      </x:c>
      <x:c r="D96" s="4" t="str">
        <x:v>T001 §§2.3.2/2.3.4; R033 IV tema 7; S018</x:v>
      </x:c>
    </x:row>
    <x:row r="97" ht="47" customHeight="1">
      <x:c r="A97" s="4" t="str">
        <x:v>P10</x:v>
      </x:c>
      <x:c r="B97" s="4" t="str">
        <x:v>Observación exigida</x:v>
      </x:c>
      <x:c r="C97" s="4" t="str">
        <x:v>Registro del trabajo y manifiesto del punto recuperado, con éxito, ámbito y orden acreditados. El nombre «backup antiguo» no prueba el orden.</x:v>
      </x:c>
      <x:c r="D97" s="4" t="str">
        <x:v>T001 §§2.3.2/2.3.4; R033 IV tema 7; S018</x:v>
      </x:c>
    </x:row>
    <x:row r="98" ht="47" customHeight="1">
      <x:c r="A98" s="4" t="str">
        <x:v>P10</x:v>
      </x:c>
      <x:c r="B98" s="4" t="str">
        <x:v>Tri 1</x:v>
      </x:c>
      <x:c r="C98" s="4" t="str">
        <x:v>Trabajo satisfactorio referido a punto anterior y completado en el intervalo.</x:v>
      </x:c>
      <x:c r="D98" s="4" t="str">
        <x:v>T001 §§2.3.2/2.3.4; R033 IV tema 7; S018</x:v>
      </x:c>
    </x:row>
    <x:row r="99" ht="47" customHeight="1">
      <x:c r="A99" s="4" t="str">
        <x:v>P10</x:v>
      </x:c>
      <x:c r="B99" s="4" t="str">
        <x:v>Tri 0</x:v>
      </x:c>
      <x:c r="C99" s="4" t="str">
        <x:v>Ningún trabajo que cumpla la proposición en registro de cobertura suficiente.</x:v>
      </x:c>
      <x:c r="D99" s="4" t="str">
        <x:v>T001 §§2.3.2/2.3.4; R033 IV tema 7; S018</x:v>
      </x:c>
    </x:row>
    <x:row r="100" ht="47" customHeight="1">
      <x:c r="A100" s="4" t="str">
        <x:v>P10</x:v>
      </x:c>
      <x:c r="B100" s="4" t="str">
        <x:v>Incertidumbre propia</x:v>
      </x:c>
      <x:c r="C100" s="4" t="str">
        <x:v>Fecha/origen del punto no acreditado, cobertura parcial, orden incierto o conflicto.</x:v>
      </x:c>
      <x:c r="D100" s="4" t="str">
        <x:v>T001 §§2.3.2/2.3.4; R033 IV tema 7; S018</x:v>
      </x:c>
    </x:row>
    <x:row r="101" ht="47" customHeight="1">
      <x:c r="A101" s="4" t="str">
        <x:v>P10</x:v>
      </x:c>
      <x:c r="B101" s="4" t="str">
        <x:v>Uso en OP-CYB-001</x:v>
      </x:c>
      <x:c r="C101" s="4" t="str">
        <x:v>Exigir revisión del alcance de evidencia que pueda haber sido sustituido por recuperación de estado previo.</x:v>
      </x:c>
      <x:c r="D101" s="4" t="str">
        <x:v>T001 §§2.3.2/2.3.4; R033 IV tema 7; S018</x:v>
      </x:c>
    </x:row>
    <x:row r="102" ht="47" customHeight="1">
      <x:c r="A102" s="4" t="str">
        <x:v>P10</x:v>
      </x:c>
      <x:c r="B102" s="4" t="str">
        <x:v>Partición examinada</x:v>
      </x:c>
      <x:c r="C102" s="4" t="str">
        <x:v>Origen y destino fijan qué suceso se pregunta; no se agrupan su éxito comunicado, integridad efectiva y aptitud de la recuperación. Sólo el primero se adjudica.</x:v>
      </x:c>
      <x:c r="D102" s="4" t="str">
        <x:v>T001 §§2.3.2/2.3.4; R033 IV tema 7; S018</x:v>
      </x:c>
    </x:row>
    <x:row r="103" ht="47" customHeight="1">
      <x:c r="A103" s="4" t="str">
        <x:v>P10</x:v>
      </x:c>
      <x:c r="B103" s="4" t="str">
        <x:v>Límite y deuda</x:v>
      </x:c>
      <x:c r="C103" s="4" t="str">
        <x:v>No acredita integridad del backup, disponibilidad del servicio o ausencia de compromiso. Esas consecuencias necesitan otras preguntas.</x:v>
      </x:c>
      <x:c r="D103" s="4" t="str">
        <x:v>T001 §§2.3.2/2.3.4; R033 IV tema 7; S018</x:v>
      </x:c>
    </x:row>
  </x:sheetData>
  <x:mergeCells>
    <x:mergeCell ref="A1:D1"/>
    <x:mergeCell ref="A2:D2"/>
  </x:mergeCells>
  <x:pageMargins left="0.7" right="0.7" top="0.75" bottom="0.75" header="0.3" footer="0.3"/>
  <x:tableParts count="1">
    <x:tablePart xmlns:r="http://schemas.openxmlformats.org/officeDocument/2006/relationships" r:id="R9e4a201cf14c40dd"/>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94" hidden="0" customWidth="1"/>
    <x:col min="4" max="4" width="93" hidden="0" customWidth="1"/>
    <x:col min="5" max="5" width="81" hidden="0" customWidth="1"/>
    <x:col min="6" max="6" width="106" hidden="0" customWidth="1"/>
    <x:col min="7" max="7" width="50" hidden="0" customWidth="1"/>
  </x:cols>
  <x:sheetData>
    <x:row r="1" ht="35" customHeight="1">
      <x:c r="A1" s="6" t="str">
        <x:v>CONSECUENCIAS · conocimiento omitido y consejo</x:v>
      </x:c>
      <x:c r="B1" s="6"/>
      <x:c r="C1" s="6"/>
      <x:c r="D1" s="6"/>
      <x:c r="E1" s="6"/>
      <x:c r="F1" s="6"/>
      <x:c r="G1" s="6"/>
    </x:row>
    <x:row r="2" ht="52" customHeight="1">
      <x:c r="A2" s="8" t="str">
        <x:v>Cadenas documentales y perjuicios potenciales condicionados. No son daños reales ni rutas críticas SV constituidas.</x:v>
      </x:c>
      <x:c r="B2" s="8"/>
      <x:c r="C2" s="8"/>
      <x:c r="D2" s="8"/>
      <x:c r="E2" s="8"/>
      <x:c r="F2" s="8"/>
      <x:c r="G2" s="8"/>
    </x:row>
    <x:row r="3">
      <x:c r="A3" s="4"/>
      <x:c r="B3" s="4"/>
      <x:c r="C3" s="4"/>
      <x:c r="D3" s="4"/>
      <x:c r="E3" s="4"/>
      <x:c r="F3" s="4"/>
      <x:c r="G3" s="4"/>
    </x:row>
    <x:row r="4" ht="42" customHeight="1">
      <x:c r="A4" s="10" t="str">
        <x:v>Consecuencia</x:v>
      </x:c>
      <x:c r="B4" s="10" t="str">
        <x:v>Parámetro</x:v>
      </x:c>
      <x:c r="C4" s="10" t="str">
        <x:v>Conocimiento que debe enlazarse</x:v>
      </x:c>
      <x:c r="D4" s="10" t="str">
        <x:v>Error o exceso</x:v>
      </x:c>
      <x:c r="E4" s="10" t="str">
        <x:v>Función alterada</x:v>
      </x:c>
      <x:c r="F4" s="10" t="str">
        <x:v>Condición y límite</x:v>
      </x:c>
      <x:c r="G4" s="10" t="str">
        <x:v>Fuente</x:v>
      </x:c>
    </x:row>
    <x:row r="5" ht="47" customHeight="1">
      <x:c r="A5" s="4" t="str">
        <x:v>CON-CYB-02-OM</x:v>
      </x:c>
      <x:c r="B5" s="4" t="str">
        <x:v>P02</x:v>
      </x:c>
      <x:c r="C5" s="4" t="str">
        <x:v>La operación individual de instalación identificada comunicó terminación satisfactoria sin el calificador de errores del emisor.</x:v>
      </x:c>
      <x:c r="D5" s="4" t="str">
        <x:v>Omitir estado final o normalizar éxito con errores como éxito pleno hace parecer completada una fase no acreditada.</x:v>
      </x:c>
      <x:c r="E5" s="4" t="str">
        <x:v>Separar el resultado profesional comunicado de completitud, efecto y fallo del observador.</x:v>
      </x:c>
      <x:c r="F5" s="4" t="str">
        <x:v>Persistencia potencial sólo si la corrección dependía de lo que falló; no se deduce ausencia total de instalación ni explotación.</x:v>
      </x:c>
      <x:c r="G5" s="4" t="str">
        <x:v>T004 Constants; T005; T006; R025</x:v>
      </x:c>
    </x:row>
    <x:row r="6" ht="47" customHeight="1">
      <x:c r="A6" s="4" t="str">
        <x:v>CON-CYB-03-OM</x:v>
      </x:c>
      <x:c r="B6" s="4" t="str">
        <x:v>P03</x:v>
      </x:c>
      <x:c r="C6" s="4" t="str">
        <x:v>Se completó al menos un reinicio íntegro del sistema anfitrión después del resultado de instalación y no después del corte.</x:v>
      </x:c>
      <x:c r="D6" s="4" t="str">
        <x:v>Equiparar apagado/encendido híbrido con reinicio completo puede dar por satisfecha una condición pendiente.</x:v>
      </x:c>
      <x:c r="E6" s="4" t="str">
        <x:v>Aportar satisfacción de la condición de reinicio del sistema, sin reescribir el requisito histórico.</x:v>
      </x:c>
      <x:c r="F6" s="4" t="str">
        <x:v>Sólo afecta al cierre si esa instalación necesitaba dicho reinicio; ni el reinicio completo garantiza la corrección.</x:v>
      </x:c>
      <x:c r="G6" s="4" t="str">
        <x:v>T001 §2.3.2; T007 Summary/More information; R025</x:v>
      </x:c>
    </x:row>
    <x:row r="7" ht="47" customHeight="1">
      <x:c r="A7" s="4" t="str">
        <x:v>CON-CYB-04-OM</x:v>
      </x:c>
      <x:c r="B7" s="4" t="str">
        <x:v>P04</x:v>
      </x:c>
      <x:c r="C7" s="4" t="str">
        <x:v>La instrucción específica admitida para completar esta instalación exigía reiniciar el software identificado.</x:v>
      </x:c>
      <x:c r="D7" s="4" t="str">
        <x:v>Leer sólo P01=0 puede ocultar que un software requiere reinicio para liberar/cambiar recursos de ejecución.</x:v>
      </x:c>
      <x:c r="E7" s="4" t="str">
        <x:v>Conservar una obligación relativa al software, independiente del reinicio del sistema.</x:v>
      </x:c>
      <x:c r="F7" s="4" t="str">
        <x:v>Una corrección puede seguir incompleta si depende de ese cambio; la fuente concreta debe establecer la dependencia. No todo software exige reinicio.</x:v>
      </x:c>
      <x:c r="G7" s="4" t="str">
        <x:v>T001 §2.3.2; T009 cuerpo técnico; R025</x:v>
      </x:c>
    </x:row>
    <x:row r="8" ht="47" customHeight="1">
      <x:c r="A8" s="4" t="str">
        <x:v>CON-CYB-05-OM</x:v>
      </x:c>
      <x:c r="B8" s="4" t="str">
        <x:v>P05</x:v>
      </x:c>
      <x:c r="C8" s="4" t="str">
        <x:v>Terminó la ejecución de la generación de proceso identificada después del ancla de instalación y no después del corte.</x:v>
      </x:c>
      <x:c r="D8" s="4" t="str">
        <x:v>Tomar la creación de otra instancia como cierre de la anterior puede dejar ejecución antigua concurrente ignorada.</x:v>
      </x:c>
      <x:c r="E8" s="4" t="str">
        <x:v>Conservar que la ejecución previa dejó de mantener sus recursos; no equipararlo con nuevo proceso operativo.</x:v>
      </x:c>
      <x:c r="F8" s="4" t="str">
        <x:v>Relevancia cuando la condición de completitud exige liberar aquella ejecución; no se afirma que todos los recursos compartidos hayan quedado libres.</x:v>
      </x:c>
      <x:c r="G8" s="4" t="str">
        <x:v>T009 cuerpo técnico; T008 loaded-module list; R025 IV tema 4</x:v>
      </x:c>
    </x:row>
    <x:row r="9" ht="47" customHeight="1">
      <x:c r="A9" s="4" t="str">
        <x:v>CON-CYB-06-OM</x:v>
      </x:c>
      <x:c r="B9" s="4" t="str">
        <x:v>P06</x:v>
      </x:c>
      <x:c r="C9" s="4" t="str">
        <x:v>La imagen del componente cargada en la instancia evaluada al corte coincide con la imagen objetivo previamente fijada.</x:v>
      </x:c>
      <x:c r="D9" s="4" t="str">
        <x:v>Atribuir al proceso la imagen encontrada en disco o por nombre puede ocultar otra DLL resuelta/cargada.</x:v>
      </x:c>
      <x:c r="E9" s="4" t="str">
        <x:v>Separar distribución en disco de qué código está activo en la instancia examinada.</x:v>
      </x:c>
      <x:c r="F9" s="4" t="str">
        <x:v>Persistencia potencial sólo si la imagen activa conserva el defecto relevante. Una imagen distinta puede ser otra corrección válida; no se decide aquí.</x:v>
      </x:c>
      <x:c r="G9" s="4" t="str">
        <x:v>T001 §2.3.3; T008; T012–T013; R025 IV temas 4/5/6</x:v>
      </x:c>
    </x:row>
    <x:row r="10" ht="47" customHeight="1">
      <x:c r="A10" s="4" t="str">
        <x:v>CON-CYB-07-OM</x:v>
      </x:c>
      <x:c r="B10" s="4" t="str">
        <x:v>P07</x:v>
      </x:c>
      <x:c r="C10" s="4" t="str">
        <x:v>La comprobación individual identificada satisfizo el único criterio de aceptación previamente fijado para ella.</x:v>
      </x:c>
      <x:c r="D10" s="4" t="str">
        <x:v>Cerrar desde la presencia del paquete o imagen prescindiendo del contraste puede atribuir un efecto no probado.</x:v>
      </x:c>
      <x:c r="E10" s="4" t="str">
        <x:v>Conservar el resultado de una comprobación sin convertirlo en cierre global o ausencia universal de vulnerabilidades.</x:v>
      </x:c>
      <x:c r="F10" s="4" t="str">
        <x:v>El criterio debe ser pertinente y sensible al defecto que pretende observar. Positivo no demuestra por sí solo aptitud de todo OP-CYB-001.</x:v>
      </x:c>
      <x:c r="G10" s="4" t="str">
        <x:v>T001 §2.3.3; R025; R035</x:v>
      </x:c>
    </x:row>
    <x:row r="11" ht="47" customHeight="1">
      <x:c r="A11" s="4" t="str">
        <x:v>CON-CYB-08-OM</x:v>
      </x:c>
      <x:c r="B11" s="4" t="str">
        <x:v>P08</x:v>
      </x:c>
      <x:c r="C11" s="4" t="str">
        <x:v>Existe después de la instalación y hasta el corte una operación de retirada de esa actualización que comunica éxito.</x:v>
      </x:c>
      <x:c r="D11" s="4" t="str">
        <x:v>Reutilizar el éxito de instalación sin mirar retiradas posteriores puede mantener evidencia superada.</x:v>
      </x:c>
      <x:c r="E11" s="4" t="str">
        <x:v>Activar reexamen del cierre frente a una retirada comunicada, conservando diferencia entre resultado comunicado y estado actual.</x:v>
      </x:c>
      <x:c r="F11" s="4" t="str">
        <x:v>Puede reintroducirse el defecto si se retiró lo que lo corregía y no existe corrección alternativa; la retirada comunicada no prueba ese daño.</x:v>
      </x:c>
      <x:c r="G11" s="4" t="str">
        <x:v>T001 §§2.3.2/2.3.4; T010–T011; T004</x:v>
      </x:c>
    </x:row>
    <x:row r="12" ht="47" customHeight="1">
      <x:c r="A12" s="4" t="str">
        <x:v>CON-CYB-09-OM</x:v>
      </x:c>
      <x:c r="B12" s="4" t="str">
        <x:v>P09</x:v>
      </x:c>
      <x:c r="C12" s="4" t="str">
        <x:v>Ocurrió al menos un cambio de identidad binaria del componente desde la comprobación de referencia hasta el corte.</x:v>
      </x:c>
      <x:c r="D12" s="4" t="str">
        <x:v>Comparar sólo versiones finales puede ocultar cambios y retornos que afecten a la evidencia intermedia.</x:v>
      </x:c>
      <x:c r="E12" s="4" t="str">
        <x:v>Conservar el antecedente que obliga a revisar la transportabilidad de una comprobación anterior.</x:v>
      </x:c>
      <x:c r="F12" s="4" t="str">
        <x:v>El cambio puede invalidar la inferencia desde la prueba anterior; no demuestra por sí mismo nueva vulnerabilidad ni fallo del componente.</x:v>
      </x:c>
      <x:c r="G12" s="4" t="str">
        <x:v>T001 §§2.2/2.3.4; T008; R025; S018</x:v>
      </x:c>
    </x:row>
    <x:row r="13" ht="47" customHeight="1">
      <x:c r="A13" s="4" t="str">
        <x:v>CON-CYB-10-OM</x:v>
      </x:c>
      <x:c r="B13" s="4" t="str">
        <x:v>P10</x:v>
      </x:c>
      <x:c r="C13" s="4" t="str">
        <x:v>Se comunicó la terminación satisfactoria de una restauración cuyo punto de origen fue capturado antes de la instalación evaluada.</x:v>
      </x:c>
      <x:c r="D13" s="4" t="str">
        <x:v>Suponer continuidad desde la instalación ignorando una restauración puede mantener un cierre sobre un estado que ya no corresponde.</x:v>
      </x:c>
      <x:c r="E13" s="4" t="str">
        <x:v>Exigir revisión del alcance de evidencia que pueda haber sido sustituido por recuperación de estado previo.</x:v>
      </x:c>
      <x:c r="F13" s="4" t="str">
        <x:v>El defecto puede reaparecer si el ámbito restaurado repuso estado vulnerable. Punto anterior no significa necesariamente vulnerable ni restauración total.</x:v>
      </x:c>
      <x:c r="G13" s="4" t="str">
        <x:v>T001 §§2.3.2/2.3.4; R033 IV tema 7; S018</x:v>
      </x:c>
    </x:row>
    <x:row r="14" ht="47" customHeight="1">
      <x:c r="A14" s="4" t="str">
        <x:v>CON-CYB-02-EX</x:v>
      </x:c>
      <x:c r="B14" s="4" t="str">
        <x:v>P02</x:v>
      </x:c>
      <x:c r="C14" s="4" t="str">
        <x:v>La operación individual de instalación identificada comunicó terminación satisfactoria sin el calificador de errores del emisor.</x:v>
      </x:c>
      <x:c r="D14" s="4" t="str">
        <x:v>Tratar el fallo de instalación como caída del sistema SV borra un hecho útil para el experto.</x:v>
      </x:c>
      <x:c r="E14" s="4" t="str">
        <x:v>No convertir observación parcial en permiso, daño probado o cierre global.</x:v>
      </x:c>
      <x:c r="F14" s="4" t="str">
        <x:v>No acredita que el parche haya tomado efecto. El perfil P01 sigue exigiendo orcSucceeded y no se amplía.</x:v>
      </x:c>
      <x:c r="G14" s="4" t="str">
        <x:v>T004 Constants; T005; T006; R025</x:v>
      </x:c>
    </x:row>
    <x:row r="15" ht="47" customHeight="1">
      <x:c r="A15" s="4" t="str">
        <x:v>CON-CYB-03-EX</x:v>
      </x:c>
      <x:c r="B15" s="4" t="str">
        <x:v>P03</x:v>
      </x:c>
      <x:c r="C15" s="4" t="str">
        <x:v>Se completó al menos un reinicio íntegro del sistema anfitrión después del resultado de instalación y no después del corte.</x:v>
      </x:c>
      <x:c r="D15" s="4" t="str">
        <x:v>Omitir un reinicio ya realizado puede inducir repetición e interrupción evitables, según servicio y ventana.</x:v>
      </x:c>
      <x:c r="E15" s="4" t="str">
        <x:v>No convertir observación parcial en permiso, daño probado o cierre global.</x:v>
      </x:c>
      <x:c r="F15" s="4" t="str">
        <x:v>Fast Startup es contraejemplo Windows 10, no regla universal de toda plataforma. Reinicio solicitado, comienzo del arranque o uptime aislado no bastan.</x:v>
      </x:c>
      <x:c r="G15" s="4" t="str">
        <x:v>T001 §2.3.2; T007 Summary/More information; R025</x:v>
      </x:c>
    </x:row>
    <x:row r="16" ht="47" customHeight="1">
      <x:c r="A16" s="4" t="str">
        <x:v>CON-CYB-04-EX</x:v>
      </x:c>
      <x:c r="B16" s="4" t="str">
        <x:v>P04</x:v>
      </x:c>
      <x:c r="C16" s="4" t="str">
        <x:v>La instrucción específica admitida para completar esta instalación exigía reiniciar el software identificado.</x:v>
      </x:c>
      <x:c r="D16" s="4" t="str">
        <x:v>Convertir cualquier archivo en uso en mandato de reinicio inventa obligación e impacto.</x:v>
      </x:c>
      <x:c r="E16" s="4" t="str">
        <x:v>No convertir observación parcial en permiso, daño probado o cierre global.</x:v>
      </x:c>
      <x:c r="F16" s="4" t="str">
        <x:v>Sólo cubre este predicado de D3. Redespliegue/configuración y múltiples softwares permanecen pendientes; no se contabilizan como cubiertos.</x:v>
      </x:c>
      <x:c r="G16" s="4" t="str">
        <x:v>T001 §2.3.2; T009 cuerpo técnico; R025</x:v>
      </x:c>
    </x:row>
    <x:row r="17" ht="47" customHeight="1">
      <x:c r="A17" s="4" t="str">
        <x:v>CON-CYB-05-EX</x:v>
      </x:c>
      <x:c r="B17" s="4" t="str">
        <x:v>P05</x:v>
      </x:c>
      <x:c r="C17" s="4" t="str">
        <x:v>Terminó la ejecución de la generación de proceso identificada después del ancla de instalación y no después del corte.</x:v>
      </x:c>
      <x:c r="D17" s="4" t="str">
        <x:v>Repetir una terminación ya acreditada o actuar sobre un PID reutilizado puede afectar a otra ejecución.</x:v>
      </x:c>
      <x:c r="E17" s="4" t="str">
        <x:v>No convertir observación parcial en permiso, daño probado o cierre global.</x:v>
      </x:c>
      <x:c r="F17" s="4" t="str">
        <x:v>No satisface por sí solo P04. Reinicio íntegro, todas las instancias, redeploy y configuración continúan pendientes en D4.</x:v>
      </x:c>
      <x:c r="G17" s="4" t="str">
        <x:v>T009 cuerpo técnico; T008 loaded-module list; R025 IV tema 4</x:v>
      </x:c>
    </x:row>
    <x:row r="18" ht="60" customHeight="1">
      <x:c r="A18" s="4" t="str">
        <x:v>CON-CYB-06-EX</x:v>
      </x:c>
      <x:c r="B18" s="4" t="str">
        <x:v>P06</x:v>
      </x:c>
      <x:c r="C18" s="4" t="str">
        <x:v>La imagen del componente cargada en la instancia evaluada al corte coincide con la imagen objetivo previamente fijada.</x:v>
      </x:c>
      <x:c r="D18" s="4" t="str">
        <x:v>Tratar toda diferencia como vulnerabilidad probada puede provocar cambio o indisponibilidad innecesarios.</x:v>
      </x:c>
      <x:c r="E18" s="4" t="str">
        <x:v>No convertir observación parcial en permiso, daño probado o cierre global.</x:v>
      </x:c>
      <x:c r="F18" s="4" t="str">
        <x:v>MODULEINFO no entrega huella del código. No se define hash ingenuo de memoria (ASLR, relocaciones o modificaciones). El método productivo de identidad/captura sigue pendiente; aquí se ensaya el contrato sobre identidades documentales sintéticas.</x:v>
      </x:c>
      <x:c r="G18" s="4" t="str">
        <x:v>T001 §2.3.3; T008; T012–T013; R025 IV temas 4/5/6</x:v>
      </x:c>
    </x:row>
    <x:row r="19" ht="47" customHeight="1">
      <x:c r="A19" s="4" t="str">
        <x:v>CON-CYB-07-EX</x:v>
      </x:c>
      <x:c r="B19" s="4" t="str">
        <x:v>P07</x:v>
      </x:c>
      <x:c r="C19" s="4" t="str">
        <x:v>La comprobación individual identificada satisfizo el único criterio de aceptación previamente fijado para ella.</x:v>
      </x:c>
      <x:c r="D19" s="4" t="str">
        <x:v>Confundir prueba no ejecutable con resultado negativo inventa un fallo de corrección; ignorar alcance produce confianza excesiva.</x:v>
      </x:c>
      <x:c r="E19" s="4" t="str">
        <x:v>No convertir observación parcial en permiso, daño probado o cierre global.</x:v>
      </x:c>
      <x:c r="F19" s="4" t="str">
        <x:v>La unidad no ha fijado un oráculo de explotación real ni ejecutado pruebas sobre activos. Valida el contrato documental del resultado, no la sensibilidad operacional del futuro criterio.</x:v>
      </x:c>
      <x:c r="G19" s="4" t="str">
        <x:v>T001 §2.3.3; R025; R035</x:v>
      </x:c>
    </x:row>
    <x:row r="20" ht="47" customHeight="1">
      <x:c r="A20" s="4" t="str">
        <x:v>CON-CYB-08-EX</x:v>
      </x:c>
      <x:c r="B20" s="4" t="str">
        <x:v>P08</x:v>
      </x:c>
      <x:c r="C20" s="4" t="str">
        <x:v>Existe después de la instalación y hasta el corte una operación de retirada de esa actualización que comunica éxito.</x:v>
      </x:c>
      <x:c r="D20" s="4" t="str">
        <x:v>Tratar una retirada fallida o antigua como retirada posterior exitosa inventa pérdida de corrección.</x:v>
      </x:c>
      <x:c r="E20" s="4" t="str">
        <x:v>No convertir observación parcial en permiso, daño probado o cierre global.</x:v>
      </x:c>
      <x:c r="F20" s="4" t="str">
        <x:v>Cubre retirada comunicada, no toda reversión posible de D1. La ausencia del paquete en inventario no prueba esta causa.</x:v>
      </x:c>
      <x:c r="G20" s="4" t="str">
        <x:v>T001 §§2.3.2/2.3.4; T010–T011; T004</x:v>
      </x:c>
    </x:row>
    <x:row r="21" ht="47" customHeight="1">
      <x:c r="A21" s="4" t="str">
        <x:v>CON-CYB-09-EX</x:v>
      </x:c>
      <x:c r="B21" s="4" t="str">
        <x:v>P09</x:v>
      </x:c>
      <x:c r="C21" s="4" t="str">
        <x:v>Ocurrió al menos un cambio de identidad binaria del componente desde la comprobación de referencia hasta el corte.</x:v>
      </x:c>
      <x:c r="D21" s="4" t="str">
        <x:v>Cambio de etiqueta de catálogo sin cambio binario no se convierte en evento de este parámetro.</x:v>
      </x:c>
      <x:c r="E21" s="4" t="str">
        <x:v>No convertir observación parcial en permiso, daño probado o cierre global.</x:v>
      </x:c>
      <x:c r="F21" s="4" t="str">
        <x:v>No abarca todo cambio de configuración de D2. Un cambio de catálogo externo conserva su estatuto propio y no modifica Tri automáticamente.</x:v>
      </x:c>
      <x:c r="G21" s="4" t="str">
        <x:v>T001 §§2.2/2.3.4; T008; R025; S018</x:v>
      </x:c>
    </x:row>
    <x:row r="22" ht="47" customHeight="1">
      <x:c r="A22" s="4" t="str">
        <x:v>CON-CYB-10-EX</x:v>
      </x:c>
      <x:c r="B22" s="4" t="str">
        <x:v>P10</x:v>
      </x:c>
      <x:c r="C22" s="4" t="str">
        <x:v>Se comunicó la terminación satisfactoria de una restauración cuyo punto de origen fue capturado antes de la instalación evaluada.</x:v>
      </x:c>
      <x:c r="D22" s="4" t="str">
        <x:v>Tratar cualquier restauración como pérdida probada del parche obliga a una corrección que puede no ser necesaria.</x:v>
      </x:c>
      <x:c r="E22" s="4" t="str">
        <x:v>No convertir observación parcial en permiso, daño probado o cierre global.</x:v>
      </x:c>
      <x:c r="F22" s="4" t="str">
        <x:v>No acredita integridad del backup, disponibilidad del servicio o ausencia de compromiso. Esas consecuencias necesitan otras preguntas.</x:v>
      </x:c>
      <x:c r="G22" s="4" t="str">
        <x:v>T001 §§2.3.2/2.3.4; R033 IV tema 7; S018</x:v>
      </x:c>
    </x:row>
  </x:sheetData>
  <x:mergeCells>
    <x:mergeCell ref="A1:D1"/>
    <x:mergeCell ref="A2:F2"/>
  </x:mergeCells>
  <x:pageMargins left="0.7" right="0.7" top="0.75" bottom="0.75" header="0.3" footer="0.3"/>
  <x:tableParts count="1">
    <x:tablePart xmlns:r="http://schemas.openxmlformats.org/officeDocument/2006/relationships" r:id="Rabca4718fa1e4263"/>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3" hidden="0" customWidth="1"/>
    <x:col min="4" max="4" width="40" hidden="0" customWidth="1"/>
  </x:cols>
  <x:sheetData>
    <x:row r="1" ht="35" customHeight="1">
      <x:c r="A1" s="6" t="str">
        <x:v>NA0 · nueve adjudicaciones</x:v>
      </x:c>
      <x:c r="B1" s="6"/>
      <x:c r="C1" s="6"/>
      <x:c r="D1" s="6"/>
    </x:row>
    <x:row r="2" ht="52" customHeight="1">
      <x:c r="A2" s="8" t="str">
        <x:v>Diez criterios por candidato. No se confunde incertidumbre observacional con defecto técnico; las ablaciones comparan proyecciones declaradas.</x:v>
      </x:c>
      <x:c r="B2" s="8"/>
      <x:c r="C2" s="8"/>
      <x:c r="D2" s="8"/>
    </x:row>
    <x:row r="3">
      <x:c r="A3" s="4"/>
      <x:c r="B3" s="4"/>
      <x:c r="C3" s="4"/>
      <x:c r="D3" s="4"/>
    </x:row>
    <x:row r="4" ht="42" customHeight="1">
      <x:c r="A4" s="10" t="str">
        <x:v>Parámetro</x:v>
      </x:c>
      <x:c r="B4" s="10" t="str">
        <x:v>Criterio</x:v>
      </x:c>
      <x:c r="C4" s="10" t="str">
        <x:v>Prueba / razón delimitada</x:v>
      </x:c>
      <x:c r="D4" s="10" t="str">
        <x:v>Resultado</x:v>
      </x:c>
    </x:row>
    <x:row r="5" ht="47" customHeight="1">
      <x:c r="A5" s="4" t="str">
        <x:v>P02</x:v>
      </x:c>
      <x:c r="B5" s="4" t="str">
        <x:v>Identidad</x:v>
      </x:c>
      <x:c r="C5" s="4" t="str">
        <x:v>Activo, actualización/revisión e intento individual de instalación; correspondencia índice–colección original.</x:v>
      </x:c>
      <x:c r="D5" s="4" t="str">
        <x:v>PASA_EN_EL_PERFIL_DECLARADO</x:v>
      </x:c>
    </x:row>
    <x:row r="6" ht="47" customHeight="1">
      <x:c r="A6" s="4" t="str">
        <x:v>P02</x:v>
      </x:c>
      <x:c r="B6" s="4" t="str">
        <x:v>Estado único</x:v>
      </x:c>
      <x:c r="C6" s="4" t="str">
        <x:v>La operación individual de instalación identificada comunicó terminación satisfactoria sin el calificador de errores del emisor.</x:v>
      </x:c>
      <x:c r="D6" s="4" t="str">
        <x:v>PASA_EN_EL_PERFIL_DECLARADO</x:v>
      </x:c>
    </x:row>
    <x:row r="7" ht="47" customHeight="1">
      <x:c r="A7" s="4" t="str">
        <x:v>P02</x:v>
      </x:c>
      <x:c r="B7" s="4" t="str">
        <x:v>U propia</x:v>
      </x:c>
      <x:c r="C7" s="4" t="str">
        <x:v>Resultado ausente o conflicto de resultados terminales admitidos. NotStarted/InProgress quedan fuera del perfil terminal.</x:v>
      </x:c>
      <x:c r="D7" s="4" t="str">
        <x:v>PASA_EN_EL_PERFIL_DECLARADO</x:v>
      </x:c>
    </x:row>
    <x:row r="8" ht="47" customHeight="1">
      <x:c r="A8" s="4" t="str">
        <x:v>P02</x:v>
      </x:c>
      <x:c r="B8" s="4" t="str">
        <x:v>Consecuencia separable</x:v>
      </x:c>
      <x:c r="C8" s="4" t="str">
        <x:v>Omitir estado final o normalizar éxito con errores como éxito pleno hace parecer completada una fase no acreditada.</x:v>
      </x:c>
      <x:c r="D8" s="4" t="str">
        <x:v>PASA_EN_EL_PERFIL_DECLARADO</x:v>
      </x:c>
    </x:row>
    <x:row r="9" ht="47" customHeight="1">
      <x:c r="A9" s="4" t="str">
        <x:v>P02</x:v>
      </x:c>
      <x:c r="B9" s="4" t="str">
        <x:v>Función separable</x:v>
      </x:c>
      <x:c r="C9" s="4" t="str">
        <x:v>Separar el resultado profesional comunicado de completitud, efecto y fallo del observador.</x:v>
      </x:c>
      <x:c r="D9" s="4" t="str">
        <x:v>PASA_EN_EL_PERFIL_DECLARADO</x:v>
      </x:c>
    </x:row>
    <x:row r="10" ht="47" customHeight="1">
      <x:c r="A10" s="4" t="str">
        <x:v>P02</x:v>
      </x:c>
      <x:c r="B10" s="4" t="str">
        <x:v>Variación independiente</x:v>
      </x:c>
      <x:c r="C10" s="4" t="str">
        <x:v>Puede variar el resultado de un intento con igual necesidad de cierre y mismo estado activo aportado por un intento previo. No se mantiene artificialmente admitido P01 cuando falta orcSucceeded.</x:v>
      </x:c>
      <x:c r="D10" s="4" t="str">
        <x:v>PASA_EN_EL_PERFIL_DECLARADO</x:v>
      </x:c>
    </x:row>
    <x:row r="11" ht="47" customHeight="1">
      <x:c r="A11" s="4" t="str">
        <x:v>P02</x:v>
      </x:c>
      <x:c r="B11" s="4" t="str">
        <x:v>Partición material</x:v>
      </x:c>
      <x:c r="C11" s="4" t="str">
        <x:v>No crear tres átomos uno-por-enum. El observable completo conserva errores; el uso pide exactamente éxito comunicado sin ese calificador.</x:v>
      </x:c>
      <x:c r="D11" s="4" t="str">
        <x:v>PASA_EN_EL_PERFIL_DECLARADO</x:v>
      </x:c>
    </x:row>
    <x:row r="12" ht="47" customHeight="1">
      <x:c r="A12" s="4" t="str">
        <x:v>P02</x:v>
      </x:c>
      <x:c r="B12" s="4" t="str">
        <x:v>Procedencia</x:v>
      </x:c>
      <x:c r="C12" s="4" t="str">
        <x:v>T004 Constants; T005; T006; R025</x:v>
      </x:c>
      <x:c r="D12" s="4" t="str">
        <x:v>PASA_EN_EL_PERFIL_DECLARADO</x:v>
      </x:c>
    </x:row>
    <x:row r="13" ht="47" customHeight="1">
      <x:c r="A13" s="4" t="str">
        <x:v>P03</x:v>
      </x:c>
      <x:c r="B13" s="4" t="str">
        <x:v>Identidad</x:v>
      </x:c>
      <x:c r="C13" s="4" t="str">
        <x:v>Mismo anfitrión/instalación; evento de arranque y corte identificados, sin confundir huésped VM con anfitrión físico.</x:v>
      </x:c>
      <x:c r="D13" s="4" t="str">
        <x:v>PASA_EN_EL_PERFIL_DECLARADO</x:v>
      </x:c>
    </x:row>
    <x:row r="14" ht="47" customHeight="1">
      <x:c r="A14" s="4" t="str">
        <x:v>P03</x:v>
      </x:c>
      <x:c r="B14" s="4" t="str">
        <x:v>Estado único</x:v>
      </x:c>
      <x:c r="C14" s="4" t="str">
        <x:v>Se completó al menos un reinicio íntegro del sistema anfitrión después del resultado de instalación y no después del corte.</x:v>
      </x:c>
      <x:c r="D14" s="4" t="str">
        <x:v>PASA_EN_EL_PERFIL_DECLARADO</x:v>
      </x:c>
    </x:row>
    <x:row r="15" ht="47" customHeight="1">
      <x:c r="A15" s="4" t="str">
        <x:v>P03</x:v>
      </x:c>
      <x:c r="B15" s="4" t="str">
        <x:v>U propia</x:v>
      </x:c>
      <x:c r="C15" s="4" t="str">
        <x:v>Registro parcial sin testigo positivo, clase de arranque no probada, orden incierto o conflicto.</x:v>
      </x:c>
      <x:c r="D15" s="4" t="str">
        <x:v>PASA_EN_EL_PERFIL_DECLARADO</x:v>
      </x:c>
    </x:row>
    <x:row r="16" ht="47" customHeight="1">
      <x:c r="A16" s="4" t="str">
        <x:v>P03</x:v>
      </x:c>
      <x:c r="B16" s="4" t="str">
        <x:v>Consecuencia separable</x:v>
      </x:c>
      <x:c r="C16" s="4" t="str">
        <x:v>Equiparar apagado/encendido híbrido con reinicio completo puede dar por satisfecha una condición pendiente.</x:v>
      </x:c>
      <x:c r="D16" s="4" t="str">
        <x:v>PASA_EN_EL_PERFIL_DECLARADO</x:v>
      </x:c>
    </x:row>
    <x:row r="17" ht="47" customHeight="1">
      <x:c r="A17" s="4" t="str">
        <x:v>P03</x:v>
      </x:c>
      <x:c r="B17" s="4" t="str">
        <x:v>Función separable</x:v>
      </x:c>
      <x:c r="C17" s="4" t="str">
        <x:v>Aportar satisfacción de la condición de reinicio del sistema, sin reescribir el requisito histórico.</x:v>
      </x:c>
      <x:c r="D17" s="4" t="str">
        <x:v>PASA_EN_EL_PERFIL_DECLARADO</x:v>
      </x:c>
    </x:row>
    <x:row r="18" ht="47" customHeight="1">
      <x:c r="A18" s="4" t="str">
        <x:v>P03</x:v>
      </x:c>
      <x:c r="B18" s="4" t="str">
        <x:v>Variación independiente</x:v>
      </x:c>
      <x:c r="C18" s="4" t="str">
        <x:v>Mismo P01=1: un mundo posee un reinicio posterior y otro no. El requisito histórico sigue siendo 1 en ambos.</x:v>
      </x:c>
      <x:c r="D18" s="4" t="str">
        <x:v>PASA_EN_EL_PERFIL_DECLARADO</x:v>
      </x:c>
    </x:row>
    <x:row r="19" ht="47" customHeight="1">
      <x:c r="A19" s="4" t="str">
        <x:v>P03</x:v>
      </x:c>
      <x:c r="B19" s="4" t="str">
        <x:v>Partición material</x:v>
      </x:c>
      <x:c r="C19" s="4" t="str">
        <x:v>Fecha, identificador y tipo son condiciones de identidad del evento. No se adjudica un parámetro por cada campo; el predicado es existencia del evento completo.</x:v>
      </x:c>
      <x:c r="D19" s="4" t="str">
        <x:v>PASA_EN_EL_PERFIL_DECLARADO</x:v>
      </x:c>
    </x:row>
    <x:row r="20" ht="47" customHeight="1">
      <x:c r="A20" s="4" t="str">
        <x:v>P03</x:v>
      </x:c>
      <x:c r="B20" s="4" t="str">
        <x:v>Procedencia</x:v>
      </x:c>
      <x:c r="C20" s="4" t="str">
        <x:v>T001 §2.3.2; T007 Summary/More information; R025</x:v>
      </x:c>
      <x:c r="D20" s="4" t="str">
        <x:v>PASA_EN_EL_PERFIL_DECLARADO</x:v>
      </x:c>
    </x:row>
    <x:row r="21" ht="47" customHeight="1">
      <x:c r="A21" s="4" t="str">
        <x:v>P04</x:v>
      </x:c>
      <x:c r="B21" s="4" t="str">
        <x:v>Identidad</x:v>
      </x:c>
      <x:c r="C21" s="4" t="str">
        <x:v>Un software identificable y su alcance de ejecución en un anfitrión; instalación e instrucción/version. No una lista de aplicaciones.</x:v>
      </x:c>
      <x:c r="D21" s="4" t="str">
        <x:v>PASA_EN_EL_PERFIL_DECLARADO</x:v>
      </x:c>
    </x:row>
    <x:row r="22" ht="47" customHeight="1">
      <x:c r="A22" s="4" t="str">
        <x:v>P04</x:v>
      </x:c>
      <x:c r="B22" s="4" t="str">
        <x:v>Estado único</x:v>
      </x:c>
      <x:c r="C22" s="4" t="str">
        <x:v>La instrucción específica admitida para completar esta instalación exigía reiniciar el software identificado.</x:v>
      </x:c>
      <x:c r="D22" s="4" t="str">
        <x:v>PASA_EN_EL_PERFIL_DECLARADO</x:v>
      </x:c>
    </x:row>
    <x:row r="23" ht="47" customHeight="1">
      <x:c r="A23" s="4" t="str">
        <x:v>P04</x:v>
      </x:c>
      <x:c r="B23" s="4" t="str">
        <x:v>U propia</x:v>
      </x:c>
      <x:c r="C23" s="4" t="str">
        <x:v>Instrucción ausente, formulación ambigua o conflicto de instrucciones admitidas. Falta de contrato de aplicabilidad es configuración pendiente, no Tri.</x:v>
      </x:c>
      <x:c r="D23" s="4" t="str">
        <x:v>PASA_EN_EL_PERFIL_DECLARADO</x:v>
      </x:c>
    </x:row>
    <x:row r="24" ht="47" customHeight="1">
      <x:c r="A24" s="4" t="str">
        <x:v>P04</x:v>
      </x:c>
      <x:c r="B24" s="4" t="str">
        <x:v>Consecuencia separable</x:v>
      </x:c>
      <x:c r="C24" s="4" t="str">
        <x:v>Leer sólo P01=0 puede ocultar que un software requiere reinicio para liberar/cambiar recursos de ejecución.</x:v>
      </x:c>
      <x:c r="D24" s="4" t="str">
        <x:v>PASA_EN_EL_PERFIL_DECLARADO</x:v>
      </x:c>
    </x:row>
    <x:row r="25" ht="47" customHeight="1">
      <x:c r="A25" s="4" t="str">
        <x:v>P04</x:v>
      </x:c>
      <x:c r="B25" s="4" t="str">
        <x:v>Función separable</x:v>
      </x:c>
      <x:c r="C25" s="4" t="str">
        <x:v>Conservar una obligación relativa al software, independiente del reinicio del sistema.</x:v>
      </x:c>
      <x:c r="D25" s="4" t="str">
        <x:v>PASA_EN_EL_PERFIL_DECLARADO</x:v>
      </x:c>
    </x:row>
    <x:row r="26" ht="47" customHeight="1">
      <x:c r="A26" s="4" t="str">
        <x:v>P04</x:v>
      </x:c>
      <x:c r="B26" s="4" t="str">
        <x:v>Variación independiente</x:v>
      </x:c>
      <x:c r="C26" s="4" t="str">
        <x:v>Un software reiniciable puede requerir reinicio sin exigir reiniciar el OS; dos paquetes con P01=0 pueden diferir en este requisito.</x:v>
      </x:c>
      <x:c r="D26" s="4" t="str">
        <x:v>PASA_EN_EL_PERFIL_DECLARADO</x:v>
      </x:c>
    </x:row>
    <x:row r="27" ht="47" customHeight="1">
      <x:c r="A27" s="4" t="str">
        <x:v>P04</x:v>
      </x:c>
      <x:c r="B27" s="4" t="str">
        <x:v>Partición material</x:v>
      </x:c>
      <x:c r="C27" s="4" t="str">
        <x:v>Requisito y cumplimiento son estados distintos. No se agrupan redespliegue, cambio de configuración y reinicio bajo un único booleano de «otros cambios».</x:v>
      </x:c>
      <x:c r="D27" s="4" t="str">
        <x:v>PASA_EN_EL_PERFIL_DECLARADO</x:v>
      </x:c>
    </x:row>
    <x:row r="28" ht="47" customHeight="1">
      <x:c r="A28" s="4" t="str">
        <x:v>P04</x:v>
      </x:c>
      <x:c r="B28" s="4" t="str">
        <x:v>Procedencia</x:v>
      </x:c>
      <x:c r="C28" s="4" t="str">
        <x:v>T001 §2.3.2; T009 cuerpo técnico; R025</x:v>
      </x:c>
      <x:c r="D28" s="4" t="str">
        <x:v>PASA_EN_EL_PERFIL_DECLARADO</x:v>
      </x:c>
    </x:row>
    <x:row r="29" ht="47" customHeight="1">
      <x:c r="A29" s="4" t="str">
        <x:v>P05</x:v>
      </x:c>
      <x:c r="B29" s="4" t="str">
        <x:v>Identidad</x:v>
      </x:c>
      <x:c r="C29" s="4" t="str">
        <x:v>Un proceso previo: anfitrión, ámbito de proceso, identidad de generación y episodio. Un PID aislado no identifica una generación.</x:v>
      </x:c>
      <x:c r="D29" s="4" t="str">
        <x:v>PASA_EN_EL_PERFIL_DECLARADO</x:v>
      </x:c>
    </x:row>
    <x:row r="30" ht="47" customHeight="1">
      <x:c r="A30" s="4" t="str">
        <x:v>P05</x:v>
      </x:c>
      <x:c r="B30" s="4" t="str">
        <x:v>Estado único</x:v>
      </x:c>
      <x:c r="C30" s="4" t="str">
        <x:v>Terminó la ejecución de la generación de proceso identificada después del ancla de instalación y no después del corte.</x:v>
      </x:c>
      <x:c r="D30" s="4" t="str">
        <x:v>PASA_EN_EL_PERFIL_DECLARADO</x:v>
      </x:c>
    </x:row>
    <x:row r="31" ht="47" customHeight="1">
      <x:c r="A31" s="4" t="str">
        <x:v>P05</x:v>
      </x:c>
      <x:c r="B31" s="4" t="str">
        <x:v>U propia</x:v>
      </x:c>
      <x:c r="C31" s="4" t="str">
        <x:v>PID sin generación, registro incompleto, orden incierto o conflicto. Error de captura se registra fuera de Tri.</x:v>
      </x:c>
      <x:c r="D31" s="4" t="str">
        <x:v>PASA_EN_EL_PERFIL_DECLARADO</x:v>
      </x:c>
    </x:row>
    <x:row r="32" ht="47" customHeight="1">
      <x:c r="A32" s="4" t="str">
        <x:v>P05</x:v>
      </x:c>
      <x:c r="B32" s="4" t="str">
        <x:v>Consecuencia separable</x:v>
      </x:c>
      <x:c r="C32" s="4" t="str">
        <x:v>Tomar la creación de otra instancia como cierre de la anterior puede dejar ejecución antigua concurrente ignorada.</x:v>
      </x:c>
      <x:c r="D32" s="4" t="str">
        <x:v>PASA_EN_EL_PERFIL_DECLARADO</x:v>
      </x:c>
    </x:row>
    <x:row r="33" ht="47" customHeight="1">
      <x:c r="A33" s="4" t="str">
        <x:v>P05</x:v>
      </x:c>
      <x:c r="B33" s="4" t="str">
        <x:v>Función separable</x:v>
      </x:c>
      <x:c r="C33" s="4" t="str">
        <x:v>Conservar que la ejecución previa dejó de mantener sus recursos; no equipararlo con nuevo proceso operativo.</x:v>
      </x:c>
      <x:c r="D33" s="4" t="str">
        <x:v>PASA_EN_EL_PERFIL_DECLARADO</x:v>
      </x:c>
    </x:row>
    <x:row r="34" ht="47" customHeight="1">
      <x:c r="A34" s="4" t="str">
        <x:v>P05</x:v>
      </x:c>
      <x:c r="B34" s="4" t="str">
        <x:v>Variación independiente</x:v>
      </x:c>
      <x:c r="C34" s="4" t="str">
        <x:v>Puede crearse una instancia nueva con la anterior aún viva, o terminar la anterior sin que arranque otra. P05 y P06 no se sustituyen.</x:v>
      </x:c>
      <x:c r="D34" s="4" t="str">
        <x:v>PASA_EN_EL_PERFIL_DECLARADO</x:v>
      </x:c>
    </x:row>
    <x:row r="35" ht="47" customHeight="1">
      <x:c r="A35" s="4" t="str">
        <x:v>P05</x:v>
      </x:c>
      <x:c r="B35" s="4" t="str">
        <x:v>Partición material</x:v>
      </x:c>
      <x:c r="C35" s="4" t="str">
        <x:v>Se rechazó «reinicio del software realizado» como agregado de terminación y nueva ejecución útil. Aquí se adjudica sólo el evento de terminación; arranque y disponibilidad no se esconden.</x:v>
      </x:c>
      <x:c r="D35" s="4" t="str">
        <x:v>PASA_EN_EL_PERFIL_DECLARADO</x:v>
      </x:c>
    </x:row>
    <x:row r="36" ht="47" customHeight="1">
      <x:c r="A36" s="4" t="str">
        <x:v>P05</x:v>
      </x:c>
      <x:c r="B36" s="4" t="str">
        <x:v>Procedencia</x:v>
      </x:c>
      <x:c r="C36" s="4" t="str">
        <x:v>T009 cuerpo técnico; T008 loaded-module list; R025 IV tema 4</x:v>
      </x:c>
      <x:c r="D36" s="4" t="str">
        <x:v>PASA_EN_EL_PERFIL_DECLARADO</x:v>
      </x:c>
    </x:row>
    <x:row r="37" ht="47" customHeight="1">
      <x:c r="A37" s="4" t="str">
        <x:v>P06</x:v>
      </x:c>
      <x:c r="B37" s="4" t="str">
        <x:v>Identidad</x:v>
      </x:c>
      <x:c r="C37" s="4" t="str">
        <x:v>Una instancia/generación, un componente cargado, imagen objetivo, método de identidad admitido e instalación relacionada.</x:v>
      </x:c>
      <x:c r="D37" s="4" t="str">
        <x:v>PASA_EN_EL_PERFIL_DECLARADO</x:v>
      </x:c>
    </x:row>
    <x:row r="38" ht="47" customHeight="1">
      <x:c r="A38" s="4" t="str">
        <x:v>P06</x:v>
      </x:c>
      <x:c r="B38" s="4" t="str">
        <x:v>Estado único</x:v>
      </x:c>
      <x:c r="C38" s="4" t="str">
        <x:v>La imagen del componente cargada en la instancia evaluada al corte coincide con la imagen objetivo previamente fijada.</x:v>
      </x:c>
      <x:c r="D38" s="4" t="str">
        <x:v>PASA_EN_EL_PERFIL_DECLARADO</x:v>
      </x:c>
    </x:row>
    <x:row r="39" ht="47" customHeight="1">
      <x:c r="A39" s="4" t="str">
        <x:v>P06</x:v>
      </x:c>
      <x:c r="B39" s="4" t="str">
        <x:v>U propia</x:v>
      </x:c>
      <x:c r="C39" s="4" t="str">
        <x:v>Sólo fichero en disco, ruta, nombre, dirección/puntero, tamaño o versión no inequívoca; captura insuficiente o contradictoria.</x:v>
      </x:c>
      <x:c r="D39" s="4" t="str">
        <x:v>PASA_EN_EL_PERFIL_DECLARADO</x:v>
      </x:c>
    </x:row>
    <x:row r="40" ht="47" customHeight="1">
      <x:c r="A40" s="4" t="str">
        <x:v>P06</x:v>
      </x:c>
      <x:c r="B40" s="4" t="str">
        <x:v>Consecuencia separable</x:v>
      </x:c>
      <x:c r="C40" s="4" t="str">
        <x:v>Atribuir al proceso la imagen encontrada en disco o por nombre puede ocultar otra DLL resuelta/cargada.</x:v>
      </x:c>
      <x:c r="D40" s="4" t="str">
        <x:v>PASA_EN_EL_PERFIL_DECLARADO</x:v>
      </x:c>
    </x:row>
    <x:row r="41" ht="47" customHeight="1">
      <x:c r="A41" s="4" t="str">
        <x:v>P06</x:v>
      </x:c>
      <x:c r="B41" s="4" t="str">
        <x:v>Función separable</x:v>
      </x:c>
      <x:c r="C41" s="4" t="str">
        <x:v>Separar distribución en disco de qué código está activo en la instancia examinada.</x:v>
      </x:c>
      <x:c r="D41" s="4" t="str">
        <x:v>PASA_EN_EL_PERFIL_DECLARADO</x:v>
      </x:c>
    </x:row>
    <x:row r="42" ht="47" customHeight="1">
      <x:c r="A42" s="4" t="str">
        <x:v>P06</x:v>
      </x:c>
      <x:c r="B42" s="4" t="str">
        <x:v>Variación independiente</x:v>
      </x:c>
      <x:c r="C42" s="4" t="str">
        <x:v>Igual instalación comunicada y terminación de proceso previo: distintas resoluciones del cargador pueden activar imágenes diferentes.</x:v>
      </x:c>
      <x:c r="D42" s="4" t="str">
        <x:v>PASA_EN_EL_PERFIL_DECLARADO</x:v>
      </x:c>
    </x:row>
    <x:row r="43" ht="47" customHeight="1">
      <x:c r="A43" s="4" t="str">
        <x:v>P06</x:v>
      </x:c>
      <x:c r="B43" s="4" t="str">
        <x:v>Partición material</x:v>
      </x:c>
      <x:c r="C43" s="4" t="str">
        <x:v>El digest objetivo es contexto, no un átomo. Comparar identidad de imagen es una sola proposición; no se mezclan firma, autenticidad o efectividad del parche.</x:v>
      </x:c>
      <x:c r="D43" s="4" t="str">
        <x:v>PASA_EN_EL_PERFIL_DECLARADO</x:v>
      </x:c>
    </x:row>
    <x:row r="44" ht="47" customHeight="1">
      <x:c r="A44" s="4" t="str">
        <x:v>P06</x:v>
      </x:c>
      <x:c r="B44" s="4" t="str">
        <x:v>Procedencia</x:v>
      </x:c>
      <x:c r="C44" s="4" t="str">
        <x:v>T001 §2.3.3; T008; T012–T013; R025 IV temas 4/5/6</x:v>
      </x:c>
      <x:c r="D44" s="4" t="str">
        <x:v>PASA_EN_EL_PERFIL_DECLARADO</x:v>
      </x:c>
    </x:row>
    <x:row r="45" ht="47" customHeight="1">
      <x:c r="A45" s="4" t="str">
        <x:v>P07</x:v>
      </x:c>
      <x:c r="B45" s="4" t="str">
        <x:v>Identidad</x:v>
      </x:c>
      <x:c r="C45" s="4" t="str">
        <x:v>Una ejecución de comprobación, activo/componente, criterio unitario/version, método y evidencia. No una campaña ni un agregado de hallazgos.</x:v>
      </x:c>
      <x:c r="D45" s="4" t="str">
        <x:v>PASA_EN_EL_PERFIL_DECLARADO</x:v>
      </x:c>
    </x:row>
    <x:row r="46" ht="47" customHeight="1">
      <x:c r="A46" s="4" t="str">
        <x:v>P07</x:v>
      </x:c>
      <x:c r="B46" s="4" t="str">
        <x:v>Estado único</x:v>
      </x:c>
      <x:c r="C46" s="4" t="str">
        <x:v>La comprobación individual identificada satisfizo el único criterio de aceptación previamente fijado para ella.</x:v>
      </x:c>
      <x:c r="D46" s="4" t="str">
        <x:v>PASA_EN_EL_PERFIL_DECLARADO</x:v>
      </x:c>
    </x:row>
    <x:row r="47" ht="47" customHeight="1">
      <x:c r="A47" s="4" t="str">
        <x:v>P07</x:v>
      </x:c>
      <x:c r="B47" s="4" t="str">
        <x:v>U propia</x:v>
      </x:c>
      <x:c r="C47" s="4" t="str">
        <x:v>Observación ausente, evidencia insuficiente o conflicto. Criterio compuesto o no fijado impide admisión al perfil, no produce un falso negativo.</x:v>
      </x:c>
      <x:c r="D47" s="4" t="str">
        <x:v>PASA_EN_EL_PERFIL_DECLARADO</x:v>
      </x:c>
    </x:row>
    <x:row r="48" ht="47" customHeight="1">
      <x:c r="A48" s="4" t="str">
        <x:v>P07</x:v>
      </x:c>
      <x:c r="B48" s="4" t="str">
        <x:v>Consecuencia separable</x:v>
      </x:c>
      <x:c r="C48" s="4" t="str">
        <x:v>Cerrar desde la presencia del paquete o imagen prescindiendo del contraste puede atribuir un efecto no probado.</x:v>
      </x:c>
      <x:c r="D48" s="4" t="str">
        <x:v>PASA_EN_EL_PERFIL_DECLARADO</x:v>
      </x:c>
    </x:row>
    <x:row r="49" ht="47" customHeight="1">
      <x:c r="A49" s="4" t="str">
        <x:v>P07</x:v>
      </x:c>
      <x:c r="B49" s="4" t="str">
        <x:v>Función separable</x:v>
      </x:c>
      <x:c r="C49" s="4" t="str">
        <x:v>Conservar el resultado de una comprobación sin convertirlo en cierre global o ausencia universal de vulnerabilidades.</x:v>
      </x:c>
      <x:c r="D49" s="4" t="str">
        <x:v>PASA_EN_EL_PERFIL_DECLARADO</x:v>
      </x:c>
    </x:row>
    <x:row r="50" ht="47" customHeight="1">
      <x:c r="A50" s="4" t="str">
        <x:v>P07</x:v>
      </x:c>
      <x:c r="B50" s="4" t="str">
        <x:v>Variación independiente</x:v>
      </x:c>
      <x:c r="C50" s="4" t="str">
        <x:v>Una imagen objetivo puede estar activa y la comprobación fallar por configuración; la misma imagen puede superar el criterio con configuración correcta.</x:v>
      </x:c>
      <x:c r="D50" s="4" t="str">
        <x:v>PASA_EN_EL_PERFIL_DECLARADO</x:v>
      </x:c>
    </x:row>
    <x:row r="51" ht="47" customHeight="1">
      <x:c r="A51" s="4" t="str">
        <x:v>P07</x:v>
      </x:c>
      <x:c r="B51" s="4" t="str">
        <x:v>Partición material</x:v>
      </x:c>
      <x:c r="C51" s="4" t="str">
        <x:v>Si el criterio reúne resultados con incertidumbre/consecuencia separables es compuesto y queda fuera. Este parámetro sólo admite un predicado evaluativo unitario.</x:v>
      </x:c>
      <x:c r="D51" s="4" t="str">
        <x:v>PASA_EN_EL_PERFIL_DECLARADO</x:v>
      </x:c>
    </x:row>
    <x:row r="52" ht="47" customHeight="1">
      <x:c r="A52" s="4" t="str">
        <x:v>P07</x:v>
      </x:c>
      <x:c r="B52" s="4" t="str">
        <x:v>Procedencia</x:v>
      </x:c>
      <x:c r="C52" s="4" t="str">
        <x:v>T001 §2.3.3; R025; R035</x:v>
      </x:c>
      <x:c r="D52" s="4" t="str">
        <x:v>PASA_EN_EL_PERFIL_DECLARADO</x:v>
      </x:c>
    </x:row>
    <x:row r="53" ht="47" customHeight="1">
      <x:c r="A53" s="4" t="str">
        <x:v>P08</x:v>
      </x:c>
      <x:c r="B53" s="4" t="str">
        <x:v>Identidad</x:v>
      </x:c>
      <x:c r="C53" s="4" t="str">
        <x:v>Activo, actualización/revisión, episodio inicial y operación posterior de retirada identificada.</x:v>
      </x:c>
      <x:c r="D53" s="4" t="str">
        <x:v>PASA_EN_EL_PERFIL_DECLARADO</x:v>
      </x:c>
    </x:row>
    <x:row r="54" ht="47" customHeight="1">
      <x:c r="A54" s="4" t="str">
        <x:v>P08</x:v>
      </x:c>
      <x:c r="B54" s="4" t="str">
        <x:v>Estado único</x:v>
      </x:c>
      <x:c r="C54" s="4" t="str">
        <x:v>Existe después de la instalación y hasta el corte una operación de retirada de esa actualización que comunica éxito.</x:v>
      </x:c>
      <x:c r="D54" s="4" t="str">
        <x:v>PASA_EN_EL_PERFIL_DECLARADO</x:v>
      </x:c>
    </x:row>
    <x:row r="55" ht="47" customHeight="1">
      <x:c r="A55" s="4" t="str">
        <x:v>P08</x:v>
      </x:c>
      <x:c r="B55" s="4" t="str">
        <x:v>U propia</x:v>
      </x:c>
      <x:c r="C55" s="4" t="str">
        <x:v>Cobertura parcial sin positivo, éxito con errores sin conclusión suficiente sobre retirada, orden incierto o conflicto.</x:v>
      </x:c>
      <x:c r="D55" s="4" t="str">
        <x:v>PASA_EN_EL_PERFIL_DECLARADO</x:v>
      </x:c>
    </x:row>
    <x:row r="56" ht="47" customHeight="1">
      <x:c r="A56" s="4" t="str">
        <x:v>P08</x:v>
      </x:c>
      <x:c r="B56" s="4" t="str">
        <x:v>Consecuencia separable</x:v>
      </x:c>
      <x:c r="C56" s="4" t="str">
        <x:v>Reutilizar el éxito de instalación sin mirar retiradas posteriores puede mantener evidencia superada.</x:v>
      </x:c>
      <x:c r="D56" s="4" t="str">
        <x:v>PASA_EN_EL_PERFIL_DECLARADO</x:v>
      </x:c>
    </x:row>
    <x:row r="57" ht="47" customHeight="1">
      <x:c r="A57" s="4" t="str">
        <x:v>P08</x:v>
      </x:c>
      <x:c r="B57" s="4" t="str">
        <x:v>Función separable</x:v>
      </x:c>
      <x:c r="C57" s="4" t="str">
        <x:v>Activar reexamen del cierre frente a una retirada comunicada, conservando diferencia entre resultado comunicado y estado actual.</x:v>
      </x:c>
      <x:c r="D57" s="4" t="str">
        <x:v>PASA_EN_EL_PERFIL_DECLARADO</x:v>
      </x:c>
    </x:row>
    <x:row r="58" ht="47" customHeight="1">
      <x:c r="A58" s="4" t="str">
        <x:v>P08</x:v>
      </x:c>
      <x:c r="B58" s="4" t="str">
        <x:v>Variación independiente</x:v>
      </x:c>
      <x:c r="C58" s="4" t="str">
        <x:v>Puede haber retirada y reinstalación con idéntica imagen activa final; o no haber retirada con esa misma imagen.</x:v>
      </x:c>
      <x:c r="D58" s="4" t="str">
        <x:v>PASA_EN_EL_PERFIL_DECLARADO</x:v>
      </x:c>
    </x:row>
    <x:row r="59" ht="47" customHeight="1">
      <x:c r="A59" s="4" t="str">
        <x:v>P08</x:v>
      </x:c>
      <x:c r="B59" s="4" t="str">
        <x:v>Partición material</x:v>
      </x:c>
      <x:c r="C59" s="4" t="str">
        <x:v>No se crea un átomo para cada resultado de retirada. La semántica del suceso permanece separada de la integridad de la historia y del estado actual.</x:v>
      </x:c>
      <x:c r="D59" s="4" t="str">
        <x:v>PASA_EN_EL_PERFIL_DECLARADO</x:v>
      </x:c>
    </x:row>
    <x:row r="60" ht="47" customHeight="1">
      <x:c r="A60" s="4" t="str">
        <x:v>P08</x:v>
      </x:c>
      <x:c r="B60" s="4" t="str">
        <x:v>Procedencia</x:v>
      </x:c>
      <x:c r="C60" s="4" t="str">
        <x:v>T001 §§2.3.2/2.3.4; T010–T011; T004</x:v>
      </x:c>
      <x:c r="D60" s="4" t="str">
        <x:v>PASA_EN_EL_PERFIL_DECLARADO</x:v>
      </x:c>
    </x:row>
    <x:row r="61" ht="47" customHeight="1">
      <x:c r="A61" s="4" t="str">
        <x:v>P09</x:v>
      </x:c>
      <x:c r="B61" s="4" t="str">
        <x:v>Identidad</x:v>
      </x:c>
      <x:c r="C61" s="4" t="str">
        <x:v>Activo y componente lógico, referencia verificada, cadena de eventos y criterio de identidad binaria fijados.</x:v>
      </x:c>
      <x:c r="D61" s="4" t="str">
        <x:v>PASA_EN_EL_PERFIL_DECLARADO</x:v>
      </x:c>
    </x:row>
    <x:row r="62" ht="47" customHeight="1">
      <x:c r="A62" s="4" t="str">
        <x:v>P09</x:v>
      </x:c>
      <x:c r="B62" s="4" t="str">
        <x:v>Estado único</x:v>
      </x:c>
      <x:c r="C62" s="4" t="str">
        <x:v>Ocurrió al menos un cambio de identidad binaria del componente desde la comprobación de referencia hasta el corte.</x:v>
      </x:c>
      <x:c r="D62" s="4" t="str">
        <x:v>PASA_EN_EL_PERFIL_DECLARADO</x:v>
      </x:c>
    </x:row>
    <x:row r="63" ht="47" customHeight="1">
      <x:c r="A63" s="4" t="str">
        <x:v>P09</x:v>
      </x:c>
      <x:c r="B63" s="4" t="str">
        <x:v>U propia</x:v>
      </x:c>
      <x:c r="C63" s="4" t="str">
        <x:v>Sólo comparación de estados extremos, hueco del registro, identidad binaria insuficiente u orden incierto.</x:v>
      </x:c>
      <x:c r="D63" s="4" t="str">
        <x:v>PASA_EN_EL_PERFIL_DECLARADO</x:v>
      </x:c>
    </x:row>
    <x:row r="64" ht="47" customHeight="1">
      <x:c r="A64" s="4" t="str">
        <x:v>P09</x:v>
      </x:c>
      <x:c r="B64" s="4" t="str">
        <x:v>Consecuencia separable</x:v>
      </x:c>
      <x:c r="C64" s="4" t="str">
        <x:v>Comparar sólo versiones finales puede ocultar cambios y retornos que afecten a la evidencia intermedia.</x:v>
      </x:c>
      <x:c r="D64" s="4" t="str">
        <x:v>PASA_EN_EL_PERFIL_DECLARADO</x:v>
      </x:c>
    </x:row>
    <x:row r="65" ht="47" customHeight="1">
      <x:c r="A65" s="4" t="str">
        <x:v>P09</x:v>
      </x:c>
      <x:c r="B65" s="4" t="str">
        <x:v>Función separable</x:v>
      </x:c>
      <x:c r="C65" s="4" t="str">
        <x:v>Conservar el antecedente que obliga a revisar la transportabilidad de una comprobación anterior.</x:v>
      </x:c>
      <x:c r="D65" s="4" t="str">
        <x:v>PASA_EN_EL_PERFIL_DECLARADO</x:v>
      </x:c>
    </x:row>
    <x:row r="66" ht="47" customHeight="1">
      <x:c r="A66" s="4" t="str">
        <x:v>P09</x:v>
      </x:c>
      <x:c r="B66" s="4" t="str">
        <x:v>Variación independiente</x:v>
      </x:c>
      <x:c r="C66" s="4" t="str">
        <x:v>Estado final objetivo igual en ambos mundos: en uno hubo sustitución y retorno, en otro no. P06 no determina P09.</x:v>
      </x:c>
      <x:c r="D66" s="4" t="str">
        <x:v>PASA_EN_EL_PERFIL_DECLARADO</x:v>
      </x:c>
    </x:row>
    <x:row r="67" ht="47" customHeight="1">
      <x:c r="A67" s="4" t="str">
        <x:v>P09</x:v>
      </x:c>
      <x:c r="B67" s="4" t="str">
        <x:v>Partición material</x:v>
      </x:c>
      <x:c r="C67" s="4" t="str">
        <x:v>Se retiró una primera formulación como desigualdad actual frente a referencia: podía duplicar el complemento de P06. La historia de transición aporta función separable.</x:v>
      </x:c>
      <x:c r="D67" s="4" t="str">
        <x:v>PASA_EN_EL_PERFIL_DECLARADO</x:v>
      </x:c>
    </x:row>
    <x:row r="68" ht="47" customHeight="1">
      <x:c r="A68" s="4" t="str">
        <x:v>P09</x:v>
      </x:c>
      <x:c r="B68" s="4" t="str">
        <x:v>Procedencia</x:v>
      </x:c>
      <x:c r="C68" s="4" t="str">
        <x:v>T001 §§2.2/2.3.4; T008; R025; S018</x:v>
      </x:c>
      <x:c r="D68" s="4" t="str">
        <x:v>PASA_EN_EL_PERFIL_DECLARADO</x:v>
      </x:c>
    </x:row>
    <x:row r="69" ht="47" customHeight="1">
      <x:c r="A69" s="4" t="str">
        <x:v>P10</x:v>
      </x:c>
      <x:c r="B69" s="4" t="str">
        <x:v>Identidad</x:v>
      </x:c>
      <x:c r="C69" s="4" t="str">
        <x:v>Activo, trabajo de restauración, punto de recuperación, ámbito restaurado e instalación; identidades enlazadas.</x:v>
      </x:c>
      <x:c r="D69" s="4" t="str">
        <x:v>PASA_EN_EL_PERFIL_DECLARADO</x:v>
      </x:c>
    </x:row>
    <x:row r="70" ht="47" customHeight="1">
      <x:c r="A70" s="4" t="str">
        <x:v>P10</x:v>
      </x:c>
      <x:c r="B70" s="4" t="str">
        <x:v>Estado único</x:v>
      </x:c>
      <x:c r="C70" s="4" t="str">
        <x:v>Se comunicó la terminación satisfactoria de una restauración cuyo punto de origen fue capturado antes de la instalación evaluada.</x:v>
      </x:c>
      <x:c r="D70" s="4" t="str">
        <x:v>PASA_EN_EL_PERFIL_DECLARADO</x:v>
      </x:c>
    </x:row>
    <x:row r="71" ht="47" customHeight="1">
      <x:c r="A71" s="4" t="str">
        <x:v>P10</x:v>
      </x:c>
      <x:c r="B71" s="4" t="str">
        <x:v>U propia</x:v>
      </x:c>
      <x:c r="C71" s="4" t="str">
        <x:v>Fecha/origen del punto no acreditado, cobertura parcial, orden incierto o conflicto.</x:v>
      </x:c>
      <x:c r="D71" s="4" t="str">
        <x:v>PASA_EN_EL_PERFIL_DECLARADO</x:v>
      </x:c>
    </x:row>
    <x:row r="72" ht="47" customHeight="1">
      <x:c r="A72" s="4" t="str">
        <x:v>P10</x:v>
      </x:c>
      <x:c r="B72" s="4" t="str">
        <x:v>Consecuencia separable</x:v>
      </x:c>
      <x:c r="C72" s="4" t="str">
        <x:v>Suponer continuidad desde la instalación ignorando una restauración puede mantener un cierre sobre un estado que ya no corresponde.</x:v>
      </x:c>
      <x:c r="D72" s="4" t="str">
        <x:v>PASA_EN_EL_PERFIL_DECLARADO</x:v>
      </x:c>
    </x:row>
    <x:row r="73" ht="47" customHeight="1">
      <x:c r="A73" s="4" t="str">
        <x:v>P10</x:v>
      </x:c>
      <x:c r="B73" s="4" t="str">
        <x:v>Función separable</x:v>
      </x:c>
      <x:c r="C73" s="4" t="str">
        <x:v>Exigir revisión del alcance de evidencia que pueda haber sido sustituido por recuperación de estado previo.</x:v>
      </x:c>
      <x:c r="D73" s="4" t="str">
        <x:v>PASA_EN_EL_PERFIL_DECLARADO</x:v>
      </x:c>
    </x:row>
    <x:row r="74" ht="47" customHeight="1">
      <x:c r="A74" s="4" t="str">
        <x:v>P10</x:v>
      </x:c>
      <x:c r="B74" s="4" t="str">
        <x:v>Variación independiente</x:v>
      </x:c>
      <x:c r="C74" s="4" t="str">
        <x:v>Una restauración de configuración puede conservar el mismo binario; una sustitución binaria puede ocurrir sin restauración. P09 y P10 no se deducen uno del otro.</x:v>
      </x:c>
      <x:c r="D74" s="4" t="str">
        <x:v>PASA_EN_EL_PERFIL_DECLARADO</x:v>
      </x:c>
    </x:row>
    <x:row r="75" ht="47" customHeight="1">
      <x:c r="A75" s="4" t="str">
        <x:v>P10</x:v>
      </x:c>
      <x:c r="B75" s="4" t="str">
        <x:v>Partición material</x:v>
      </x:c>
      <x:c r="C75" s="4" t="str">
        <x:v>Origen y destino fijan qué suceso se pregunta; no se agrupan su éxito comunicado, integridad efectiva y aptitud de la recuperación. Sólo el primero se adjudica.</x:v>
      </x:c>
      <x:c r="D75" s="4" t="str">
        <x:v>PASA_EN_EL_PERFIL_DECLARADO</x:v>
      </x:c>
    </x:row>
    <x:row r="76" ht="47" customHeight="1">
      <x:c r="A76" s="4" t="str">
        <x:v>P10</x:v>
      </x:c>
      <x:c r="B76" s="4" t="str">
        <x:v>Procedencia</x:v>
      </x:c>
      <x:c r="C76" s="4" t="str">
        <x:v>T001 §§2.3.2/2.3.4; R033 IV tema 7; S018</x:v>
      </x:c>
      <x:c r="D76" s="4" t="str">
        <x:v>PASA_EN_EL_PERFIL_DECLARADO</x:v>
      </x:c>
    </x:row>
    <x:row r="77" ht="47" customHeight="1">
      <x:c r="A77" s="4" t="str">
        <x:v>P02</x:v>
      </x:c>
      <x:c r="B77" s="4" t="str">
        <x:v>Ablación</x:v>
      </x:c>
      <x:c r="C77" s="4" t="str">
        <x:v>AB-L10-02: retirar estado y cualquier pista lateral; cambia la obligación documental del experto.</x:v>
      </x:c>
      <x:c r="D77" s="4" t="str">
        <x:v>EJECUTADA_DOCUMENTAL</x:v>
      </x:c>
    </x:row>
    <x:row r="78" ht="47" customHeight="1">
      <x:c r="A78" s="4" t="str">
        <x:v>P02</x:v>
      </x:c>
      <x:c r="B78" s="4" t="str">
        <x:v>Reproducción</x:v>
      </x:c>
      <x:c r="C78" s="4" t="str">
        <x:v>Testigos de 50, fórmulas y registro; no una segunda implementación semántica independiente ni prueba de campo.</x:v>
      </x:c>
      <x:c r="D78" s="4" t="str">
        <x:v>EJECUTADA_DOCUMENTAL</x:v>
      </x:c>
    </x:row>
    <x:row r="79" ht="47" customHeight="1">
      <x:c r="A79" s="4" t="str">
        <x:v>P03</x:v>
      </x:c>
      <x:c r="B79" s="4" t="str">
        <x:v>Ablación</x:v>
      </x:c>
      <x:c r="C79" s="4" t="str">
        <x:v>AB-L10-03: retirar estado y cualquier pista lateral; cambia la obligación documental del experto.</x:v>
      </x:c>
      <x:c r="D79" s="4" t="str">
        <x:v>EJECUTADA_DOCUMENTAL</x:v>
      </x:c>
    </x:row>
    <x:row r="80" ht="47" customHeight="1">
      <x:c r="A80" s="4" t="str">
        <x:v>P03</x:v>
      </x:c>
      <x:c r="B80" s="4" t="str">
        <x:v>Reproducción</x:v>
      </x:c>
      <x:c r="C80" s="4" t="str">
        <x:v>Testigos de 50, fórmulas y registro; no una segunda implementación semántica independiente ni prueba de campo.</x:v>
      </x:c>
      <x:c r="D80" s="4" t="str">
        <x:v>EJECUTADA_DOCUMENTAL</x:v>
      </x:c>
    </x:row>
    <x:row r="81" ht="47" customHeight="1">
      <x:c r="A81" s="4" t="str">
        <x:v>P04</x:v>
      </x:c>
      <x:c r="B81" s="4" t="str">
        <x:v>Ablación</x:v>
      </x:c>
      <x:c r="C81" s="4" t="str">
        <x:v>AB-L10-04: retirar estado y cualquier pista lateral; cambia la obligación documental del experto.</x:v>
      </x:c>
      <x:c r="D81" s="4" t="str">
        <x:v>EJECUTADA_DOCUMENTAL</x:v>
      </x:c>
    </x:row>
    <x:row r="82" ht="47" customHeight="1">
      <x:c r="A82" s="4" t="str">
        <x:v>P04</x:v>
      </x:c>
      <x:c r="B82" s="4" t="str">
        <x:v>Reproducción</x:v>
      </x:c>
      <x:c r="C82" s="4" t="str">
        <x:v>Testigos de 50, fórmulas y registro; no una segunda implementación semántica independiente ni prueba de campo.</x:v>
      </x:c>
      <x:c r="D82" s="4" t="str">
        <x:v>EJECUTADA_DOCUMENTAL</x:v>
      </x:c>
    </x:row>
    <x:row r="83" ht="47" customHeight="1">
      <x:c r="A83" s="4" t="str">
        <x:v>P05</x:v>
      </x:c>
      <x:c r="B83" s="4" t="str">
        <x:v>Ablación</x:v>
      </x:c>
      <x:c r="C83" s="4" t="str">
        <x:v>AB-L10-05: retirar estado y cualquier pista lateral; cambia la obligación documental del experto.</x:v>
      </x:c>
      <x:c r="D83" s="4" t="str">
        <x:v>EJECUTADA_DOCUMENTAL</x:v>
      </x:c>
    </x:row>
    <x:row r="84" ht="47" customHeight="1">
      <x:c r="A84" s="4" t="str">
        <x:v>P05</x:v>
      </x:c>
      <x:c r="B84" s="4" t="str">
        <x:v>Reproducción</x:v>
      </x:c>
      <x:c r="C84" s="4" t="str">
        <x:v>Testigos de 50, fórmulas y registro; no una segunda implementación semántica independiente ni prueba de campo.</x:v>
      </x:c>
      <x:c r="D84" s="4" t="str">
        <x:v>EJECUTADA_DOCUMENTAL</x:v>
      </x:c>
    </x:row>
    <x:row r="85" ht="47" customHeight="1">
      <x:c r="A85" s="4" t="str">
        <x:v>P06</x:v>
      </x:c>
      <x:c r="B85" s="4" t="str">
        <x:v>Ablación</x:v>
      </x:c>
      <x:c r="C85" s="4" t="str">
        <x:v>AB-L10-06: retirar estado y cualquier pista lateral; cambia la obligación documental del experto.</x:v>
      </x:c>
      <x:c r="D85" s="4" t="str">
        <x:v>EJECUTADA_DOCUMENTAL</x:v>
      </x:c>
    </x:row>
    <x:row r="86" ht="47" customHeight="1">
      <x:c r="A86" s="4" t="str">
        <x:v>P06</x:v>
      </x:c>
      <x:c r="B86" s="4" t="str">
        <x:v>Reproducción</x:v>
      </x:c>
      <x:c r="C86" s="4" t="str">
        <x:v>Testigos de 50, fórmulas y registro; no una segunda implementación semántica independiente ni prueba de campo.</x:v>
      </x:c>
      <x:c r="D86" s="4" t="str">
        <x:v>EJECUTADA_DOCUMENTAL</x:v>
      </x:c>
    </x:row>
    <x:row r="87" ht="47" customHeight="1">
      <x:c r="A87" s="4" t="str">
        <x:v>P07</x:v>
      </x:c>
      <x:c r="B87" s="4" t="str">
        <x:v>Ablación</x:v>
      </x:c>
      <x:c r="C87" s="4" t="str">
        <x:v>AB-L10-07: retirar estado y cualquier pista lateral; cambia la obligación documental del experto.</x:v>
      </x:c>
      <x:c r="D87" s="4" t="str">
        <x:v>EJECUTADA_DOCUMENTAL</x:v>
      </x:c>
    </x:row>
    <x:row r="88" ht="47" customHeight="1">
      <x:c r="A88" s="4" t="str">
        <x:v>P07</x:v>
      </x:c>
      <x:c r="B88" s="4" t="str">
        <x:v>Reproducción</x:v>
      </x:c>
      <x:c r="C88" s="4" t="str">
        <x:v>Testigos de 50, fórmulas y registro; no una segunda implementación semántica independiente ni prueba de campo.</x:v>
      </x:c>
      <x:c r="D88" s="4" t="str">
        <x:v>EJECUTADA_DOCUMENTAL</x:v>
      </x:c>
    </x:row>
    <x:row r="89" ht="47" customHeight="1">
      <x:c r="A89" s="4" t="str">
        <x:v>P08</x:v>
      </x:c>
      <x:c r="B89" s="4" t="str">
        <x:v>Ablación</x:v>
      </x:c>
      <x:c r="C89" s="4" t="str">
        <x:v>AB-L10-08: retirar estado y cualquier pista lateral; cambia la obligación documental del experto.</x:v>
      </x:c>
      <x:c r="D89" s="4" t="str">
        <x:v>EJECUTADA_DOCUMENTAL</x:v>
      </x:c>
    </x:row>
    <x:row r="90" ht="47" customHeight="1">
      <x:c r="A90" s="4" t="str">
        <x:v>P08</x:v>
      </x:c>
      <x:c r="B90" s="4" t="str">
        <x:v>Reproducción</x:v>
      </x:c>
      <x:c r="C90" s="4" t="str">
        <x:v>Testigos de 50, fórmulas y registro; no una segunda implementación semántica independiente ni prueba de campo.</x:v>
      </x:c>
      <x:c r="D90" s="4" t="str">
        <x:v>EJECUTADA_DOCUMENTAL</x:v>
      </x:c>
    </x:row>
    <x:row r="91" ht="47" customHeight="1">
      <x:c r="A91" s="4" t="str">
        <x:v>P09</x:v>
      </x:c>
      <x:c r="B91" s="4" t="str">
        <x:v>Ablación</x:v>
      </x:c>
      <x:c r="C91" s="4" t="str">
        <x:v>AB-L10-09: retirar estado y cualquier pista lateral; cambia la obligación documental del experto.</x:v>
      </x:c>
      <x:c r="D91" s="4" t="str">
        <x:v>EJECUTADA_DOCUMENTAL</x:v>
      </x:c>
    </x:row>
    <x:row r="92" ht="47" customHeight="1">
      <x:c r="A92" s="4" t="str">
        <x:v>P09</x:v>
      </x:c>
      <x:c r="B92" s="4" t="str">
        <x:v>Reproducción</x:v>
      </x:c>
      <x:c r="C92" s="4" t="str">
        <x:v>Testigos de 50, fórmulas y registro; no una segunda implementación semántica independiente ni prueba de campo.</x:v>
      </x:c>
      <x:c r="D92" s="4" t="str">
        <x:v>EJECUTADA_DOCUMENTAL</x:v>
      </x:c>
    </x:row>
    <x:row r="93" ht="47" customHeight="1">
      <x:c r="A93" s="4" t="str">
        <x:v>P10</x:v>
      </x:c>
      <x:c r="B93" s="4" t="str">
        <x:v>Ablación</x:v>
      </x:c>
      <x:c r="C93" s="4" t="str">
        <x:v>AB-L10-10: retirar estado y cualquier pista lateral; cambia la obligación documental del experto.</x:v>
      </x:c>
      <x:c r="D93" s="4" t="str">
        <x:v>EJECUTADA_DOCUMENTAL</x:v>
      </x:c>
    </x:row>
    <x:row r="94" ht="47" customHeight="1">
      <x:c r="A94" s="4" t="str">
        <x:v>P10</x:v>
      </x:c>
      <x:c r="B94" s="4" t="str">
        <x:v>Reproducción</x:v>
      </x:c>
      <x:c r="C94" s="4" t="str">
        <x:v>Testigos de 50, fórmulas y registro; no una segunda implementación semántica independiente ni prueba de campo.</x:v>
      </x:c>
      <x:c r="D94" s="4" t="str">
        <x:v>EJECUTADA_DOCUMENTAL</x:v>
      </x:c>
    </x:row>
  </x:sheetData>
  <x:mergeCells>
    <x:mergeCell ref="A1:D1"/>
    <x:mergeCell ref="A2:D2"/>
  </x:mergeCells>
  <x:pageMargins left="0.7" right="0.7" top="0.75" bottom="0.75" header="0.3" footer="0.3"/>
  <x:tableParts count="1">
    <x:tablePart xmlns:r="http://schemas.openxmlformats.org/officeDocument/2006/relationships" r:id="R78c6203f879c4c64"/>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8" hidden="0" customWidth="1"/>
    <x:col min="2" max="2" width="50" hidden="0" customWidth="1"/>
    <x:col min="3" max="3" width="48" hidden="0" customWidth="1"/>
    <x:col min="4" max="4" width="19" hidden="0" customWidth="1"/>
    <x:col min="5" max="5" width="18" hidden="0" customWidth="1"/>
    <x:col min="6" max="6" width="31" hidden="0" customWidth="1"/>
    <x:col min="7" max="7" width="22" hidden="0" customWidth="1"/>
    <x:col min="8" max="8" width="68" hidden="0" customWidth="1"/>
    <x:col min="9" max="9" width="68" hidden="0" customWidth="1"/>
    <x:col min="10" max="10" width="20" hidden="0" customWidth="1"/>
    <x:col min="11" max="11" width="33" hidden="0" customWidth="1"/>
    <x:col min="12" max="12" width="30" hidden="0" customWidth="1"/>
    <x:col min="13" max="13" width="15" hidden="0" customWidth="1"/>
    <x:col min="14" max="14" width="38" hidden="0" customWidth="1"/>
    <x:col min="15" max="15" width="30" hidden="0" customWidth="1"/>
    <x:col min="16" max="16" width="15" hidden="0" customWidth="1"/>
    <x:col min="17" max="17" width="38" hidden="0" customWidth="1"/>
    <x:col min="18" max="18" width="17" hidden="0" customWidth="1"/>
    <x:col min="19" max="19" width="105" hidden="0" customWidth="1"/>
    <x:col min="20" max="20" width="52" hidden="0" customWidth="1"/>
    <x:col min="21" max="21" width="33" hidden="0" customWidth="1"/>
    <x:col min="22" max="22" width="34" hidden="0" customWidth="1"/>
    <x:col min="23" max="23" width="26" hidden="0" customWidth="1"/>
    <x:col min="24" max="24" width="68" hidden="0" customWidth="1"/>
    <x:col min="25" max="25" width="68" hidden="0" customWidth="1"/>
    <x:col min="26" max="26" width="68" hidden="0" customWidth="1"/>
    <x:col min="27" max="27" width="41" hidden="0" customWidth="1"/>
    <x:col min="28" max="28" width="41" hidden="0" customWidth="1"/>
  </x:cols>
  <x:sheetData>
    <x:row r="1" ht="35" customHeight="1">
      <x:c r="A1" s="6" t="str">
        <x:v>TESTIGOS DOCUMENTALES · esperados previos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52" customHeight="1">
      <x:c r="A2" s="8" t="str">
        <x:v>Casos sintéticos del contrato. No ejecutan capturadores, reinicios, procesos, restauraciones ni criterios sobre activos reales.</x:v>
      </x:c>
      <x:c r="B2" s="8"/>
      <x:c r="C2" s="8"/>
      <x:c r="D2" s="8"/>
      <x:c r="E2" s="8"/>
      <x:c r="F2" s="8"/>
      <x:c r="G2" s="8"/>
      <x:c r="H2" s="8"/>
      <x:c r="I2" s="8"/>
      <x:c r="J2" s="8"/>
      <x:c r="K2" s="8"/>
      <x:c r="L2" s="8"/>
      <x:c r="M2" s="8"/>
      <x:c r="N2" s="8"/>
      <x:c r="O2" s="8"/>
      <x:c r="P2" s="8"/>
      <x:c r="Q2" s="8"/>
      <x:c r="R2" s="8"/>
      <x:c r="S2" s="8"/>
      <x:c r="T2" s="8"/>
      <x:c r="U2" s="8"/>
      <x:c r="V2" s="8"/>
      <x:c r="W2" s="8"/>
      <x:c r="X2" s="8"/>
      <x:c r="Y2" s="8"/>
      <x:c r="Z2" s="8"/>
      <x:c r="AA2" s="8"/>
      <x:c r="AB2" s="8"/>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ht="42" customHeight="1">
      <x:c r="A4" s="10" t="str">
        <x:v>Caso</x:v>
      </x:c>
      <x:c r="B4" s="10" t="str">
        <x:v>Parámetro</x:v>
      </x:c>
      <x:c r="C4" s="10" t="str">
        <x:v>Perfil</x:v>
      </x:c>
      <x:c r="D4" s="10" t="str">
        <x:v>Identidad</x:v>
      </x:c>
      <x:c r="E4" s="10" t="str">
        <x:v>Captura</x:v>
      </x:c>
      <x:c r="F4" s="10" t="str">
        <x:v>Soporte observado</x:v>
      </x:c>
      <x:c r="G4" s="10" t="str">
        <x:v>Presencia</x:v>
      </x:c>
      <x:c r="H4" s="10" t="str">
        <x:v>Lexema / identidad 1</x:v>
      </x:c>
      <x:c r="I4" s="10" t="str">
        <x:v>Lexema / identidad 2</x:v>
      </x:c>
      <x:c r="J4" s="10" t="str">
        <x:v>Cobertura</x:v>
      </x:c>
      <x:c r="K4" s="10" t="str">
        <x:v>Contexto</x:v>
      </x:c>
      <x:c r="L4" s="10" t="str">
        <x:v>Clase esperada</x:v>
      </x:c>
      <x:c r="M4" s="10" t="str">
        <x:v>Tri esperado</x:v>
      </x:c>
      <x:c r="N4" s="10" t="str">
        <x:v>Diagnóstico esperado</x:v>
      </x:c>
      <x:c r="O4" s="10" t="str">
        <x:v>Clase calculada</x:v>
      </x:c>
      <x:c r="P4" s="10" t="str">
        <x:v>Tri calculado</x:v>
      </x:c>
      <x:c r="Q4" s="10" t="str">
        <x:v>Diagnóstico calculado</x:v>
      </x:c>
      <x:c r="R4" s="10" t="str">
        <x:v>Contraste</x:v>
      </x:c>
      <x:c r="S4" s="10" t="str">
        <x:v>Razón profesional</x:v>
      </x:c>
      <x:c r="T4" s="10" t="str">
        <x:v>Perfil esperado por contrato</x:v>
      </x:c>
      <x:c r="U4" s="10" t="str">
        <x:v>Soporte exigido</x:v>
      </x:c>
      <x:c r="V4" s="10" t="str">
        <x:v>Contexto exigido</x:v>
      </x:c>
      <x:c r="W4" s="10" t="str">
        <x:v>Modo contractual</x:v>
      </x:c>
      <x:c r="X4" s="10" t="str">
        <x:v>Positivo contractual</x:v>
      </x:c>
      <x:c r="Y4" s="10" t="str">
        <x:v>Auxiliar contractual</x:v>
      </x:c>
      <x:c r="Z4" s="10" t="str">
        <x:v>Negativo contractual</x:v>
      </x:c>
      <x:c r="AA4" s="10" t="str">
        <x:v>Diagnóstico positivo</x:v>
      </x:c>
      <x:c r="AB4" s="10" t="str">
        <x:v>Diagnóstico negativo</x:v>
      </x:c>
    </x:row>
    <x:row r="5" ht="47" customHeight="1">
      <x:c r="A5" s="4" t="str">
        <x:v>L10-02-01</x:v>
      </x:c>
      <x:c r="B5" s="4" t="str">
        <x:v>PAR-CYB-INSTALACION-EXITO-COMUNICADO-001</x:v>
      </x:c>
      <x:c r="C5" s="4" t="str">
        <x:v>WUA-RESULTADO-INDIVIDUAL-0.1</x:v>
      </x:c>
      <x:c r="D5" s="4" t="str">
        <x:v>COINCIDE</x:v>
      </x:c>
      <x:c r="E5" s="4" t="str">
        <x:v>LEGIBLE</x:v>
      </x:c>
      <x:c r="F5" s="4" t="str">
        <x:v>RESULTADO_WUA_INDIVIDUAL</x:v>
      </x:c>
      <x:c r="G5" s="4" t="str">
        <x:v>UNICA</x:v>
      </x:c>
      <x:c r="H5" s="4" t="str">
        <x:v>orcSucceeded</x:v>
      </x:c>
      <x:c r="I5" s="4" t="str"/>
      <x:c r="J5" s="4" t="str">
        <x:v>COMPLETA</x:v>
      </x:c>
      <x:c r="K5" s="4" t="str">
        <x:v>INSTALAR_INDIVIDUAL</x:v>
      </x:c>
      <x:c r="L5" s="4" t="str">
        <x:v>VALIDA</x:v>
      </x:c>
      <x:c r="M5" s="4" t="str">
        <x:v>1</x:v>
      </x:c>
      <x:c r="N5" s="4" t="str">
        <x:v>EXITO_COMUNICADO</x:v>
      </x:c>
      <x:c r="O5" s="12" t="str">
        <x:f>IF(Q5="SIN_EJECUCION_DOMINIO","FALLO_CAPTURA",IF(OR(Q5="CAPTURA_MAL_FORMADA",Q5="IDENTIDAD",Q5="OBSERVACION_MAL_FORMADA",Q5="LEXEMA_O_FORMA"),"NO_ADMISION",IF(OR(Q5="PERFIL_NO_CONSTITUIDO",Q5="RESULTADO_NO_TERMINAL"),"FUERA_PERFIL",IF(Q5="CONTEXTO_NO_CONSTITUIDO","CONFIGURACION_PENDIENTE","VALIDA"))))</x:f>
        <x:v>VALIDA</x:v>
      </x:c>
      <x:c r="P5" s="12" t="str">
        <x:f>IF(O5&lt;&gt;"VALIDA","",IF(Q5=AA5,"1",IF(Q5=AB5,"0","U")))</x:f>
        <x:v>1</x:v>
      </x:c>
      <x:c r="Q5" s="12" t="str">
        <x:f>IF(E5="FALLO","SIN_EJECUCION_DOMINIO",IF(E5&lt;&gt;"LEGIBLE","CAPTURA_MAL_FORMADA",IF(D5&lt;&gt;"COINCIDE","IDENTIDAD",IF(OR(T5="",C5&lt;&gt;T5),"PERFIL_NO_CONSTITUIDO",IF(K5&lt;&gt;V5,IF(V5="ORDEN_ACREDITADO","ORDEN_NO_ACREDITADO","CONTEXTO_NO_CONSTITUIDO"),IF(AND(G5="AUSENTE",H5="",I5=""),"DATO_AUSENTE",IF(AND(G5="CONFLICTO",H5="",I5=""),"CONFLICTO_OBSERVACIONAL",IF(G5&lt;&gt;"UNICA","OBSERVACION_MAL_FORMADA",IF(F5&lt;&gt;U5,"OBSERVACION_INSUFICIENTE",IF(W5="RESULTADO",IF(H5=X5,AA5,IF(OR(H5="orcSucceededWithErrors",H5="orcFailed",H5="orcAborted"),AB5,IF(OR(H5="orcNotStarted",H5="orcInProgress"),"RESULTADO_NO_TERMINAL","LEXEMA_O_FORMA"))),IF(W5="EVENTO_BOOT",IF(H5=X5,AA5,IF(OR(H5="NINGUNO",H5="SOLO_HIBRIDO"),IF(J5="COMPLETA",AB5,"COBERTURA_INSUFICIENTE"),"LEXEMA_O_FORMA")),IF(W5="REQUISITO_SOFT",IF(H5=X5,AA5,IF(H5=Z5,AB5,"LEXEMA_O_FORMA")),IF(W5="EVENTO_PROC",IF(H5=X5,AA5,IF(H5=Z5,IF(J5="COMPLETA",AB5,"COBERTURA_INSUFICIENTE"),"LEXEMA_O_FORMA")),IF(W5="IMAGEN",IF(AND(AND(ISTEXT(H5),LEN(("x"&amp;H5))=65,EXACT(("x"&amp;H5),LOWER(("x"&amp;H5))),ISERROR(SEARCH(" ",("x"&amp;H5))),ISERROR(SEARCH(CHAR(9),("x"&amp;H5))),ISERROR(SEARCH(CHAR(10),("x"&amp;H5))),ISERROR(SEARCH(CHAR(13),("x"&amp;H5))),IFERROR(HEX2DEC(MID(("x"&amp;H5),2,8))&gt;=0,FALSE),IFERROR(HEX2DEC(MID(("x"&amp;H5),10,8))&gt;=0,FALSE),IFERROR(HEX2DEC(MID(("x"&amp;H5),18,8))&gt;=0,FALSE),IFERROR(HEX2DEC(MID(("x"&amp;H5),26,8))&gt;=0,FALSE),IFERROR(HEX2DEC(MID(("x"&amp;H5),34,8))&gt;=0,FALSE),IFERROR(HEX2DEC(MID(("x"&amp;H5),42,8))&gt;=0,FALSE),IFERROR(HEX2DEC(MID(("x"&amp;H5),50,8))&gt;=0,FALSE),IFERROR(HEX2DEC(MID(("x"&amp;H5),58,8))&gt;=0,FALSE)),AND(ISTEXT(I5),LEN(("x"&amp;I5))=65,EXACT(("x"&amp;I5),LOWER(("x"&amp;I5))),ISERROR(SEARCH(" ",("x"&amp;I5))),ISERROR(SEARCH(CHAR(9),("x"&amp;I5))),ISERROR(SEARCH(CHAR(10),("x"&amp;I5))),ISERROR(SEARCH(CHAR(13),("x"&amp;I5))),IFERROR(HEX2DEC(MID(("x"&amp;I5),2,8))&gt;=0,FALSE),IFERROR(HEX2DEC(MID(("x"&amp;I5),10,8))&gt;=0,FALSE),IFERROR(HEX2DEC(MID(("x"&amp;I5),18,8))&gt;=0,FALSE),IFERROR(HEX2DEC(MID(("x"&amp;I5),26,8))&gt;=0,FALSE),IFERROR(HEX2DEC(MID(("x"&amp;I5),34,8))&gt;=0,FALSE),IFERROR(HEX2DEC(MID(("x"&amp;I5),42,8))&gt;=0,FALSE),IFERROR(HEX2DEC(MID(("x"&amp;I5),50,8))&gt;=0,FALSE),IFERROR(HEX2DEC(MID(("x"&amp;I5),58,8))&gt;=0,FALSE))),IF(EXACT("x"&amp;H5,"x"&amp;I5),AA5,AB5),"LEXEMA_O_FORMA"),IF(W5="PRUEBA",IF(H5=X5,AA5,IF(H5=Z5,AB5,"LEXEMA_O_FORMA")),IF(W5="RETIRADA",IF(AND(H5="NINGUNO",I5=""),IF(J5="COMPLETA",AB5,"COBERTURA_INSUFICIENTE"),IF(AND(OR(H5="uoInstallation",H5="uoUninstallation"),OR(I5="orcSucceeded",I5="orcSucceededWithErrors",I5="orcFailed",I5="orcAborted",I5="orcInProgress",I5="orcNotStarted")),IF(AND(H5=X5,I5=Y5),AA5,IF(AND(H5=X5,OR(I5="orcSucceededWithErrors",I5="orcInProgress",I5="orcNotStarted")),"RESULTADO_RETIRADA_INCIERTO",IF(J5="COMPLETA",AB5,"COBERTURA_INSUFICIENTE"))),"LEXEMA_O_FORMA")),IF(W5="CAMBIO",IF(OR(H5="CAMBIO",H5="CAMBIO_Y_RETORNO"),AA5,IF(OR(H5="NINGUNO",H5="SOLO_RENOMBRE"),IF(J5="COMPLETA",AB5,"COBERTURA_INSUFICIENTE"),"LEXEMA_O_FORMA")),IF(W5="RESTAURACION",IF(H5=X5,AA5,IF(OR(H5="NINGUNO",H5="RESTAURACION_POSTERIOR",H5="RESTAURACION_FALLIDA"),IF(J5="COMPLETA",AB5,"COBERTURA_INSUFICIENTE"),"LEXEMA_O_FORMA")),"PERFIL_NO_CONSTITUIDO"))))))))))))))))))</x:f>
        <x:v>EXITO_COMUNICADO</x:v>
      </x:c>
      <x:c r="R5" s="12" t="str">
        <x:f>IF(AND(L5=O5,M5=P5,N5=Q5),"PASA","NO_PASA")</x:f>
        <x:v>PASA</x:v>
      </x:c>
      <x:c r="S5" s="4" t="str">
        <x:v>Testigo positivo de la proposición; no licencia ninguna conclusión más amplia.</x:v>
      </x:c>
      <x:c r="T5" s="12" t="str">
        <x:f>IFERROR(INDEX('55_Codificacion_ensayo'!$B$5:$B$13,MATCH(B5,'55_Codificacion_ensayo'!$A$5:$A$13,0)),"")</x:f>
        <x:v>WUA-RESULTADO-INDIVIDUAL-0.1</x:v>
      </x:c>
      <x:c r="U5" s="12" t="str">
        <x:f>IFERROR(INDEX('55_Codificacion_ensayo'!$C$5:$C$13,MATCH(B5,'55_Codificacion_ensayo'!$A$5:$A$13,0)),"")</x:f>
        <x:v>RESULTADO_WUA_INDIVIDUAL</x:v>
      </x:c>
      <x:c r="V5" s="12" t="str">
        <x:f>IFERROR(INDEX('55_Codificacion_ensayo'!$D$5:$D$13,MATCH(B5,'55_Codificacion_ensayo'!$A$5:$A$13,0)),"")</x:f>
        <x:v>INSTALAR_INDIVIDUAL</x:v>
      </x:c>
      <x:c r="W5" s="12" t="str">
        <x:f>IFERROR(INDEX('55_Codificacion_ensayo'!$E$5:$E$13,MATCH(B5,'55_Codificacion_ensayo'!$A$5:$A$13,0)),"")</x:f>
        <x:v>RESULTADO</x:v>
      </x:c>
      <x:c r="X5" s="12" t="str">
        <x:f>IFERROR(INDEX('55_Codificacion_ensayo'!$F$5:$F$13,MATCH(B5,'55_Codificacion_ensayo'!$A$5:$A$13,0)),"")</x:f>
        <x:v>orcSucceeded</x:v>
      </x:c>
      <x:c r="Y5" s="12" t="str">
        <x:f>IFERROR(INDEX('55_Codificacion_ensayo'!$G$5:$G$13,MATCH(B5,'55_Codificacion_ensayo'!$A$5:$A$13,0)),"")</x:f>
      </x:c>
      <x:c r="Z5" s="12" t="str">
        <x:f>IFERROR(INDEX('55_Codificacion_ensayo'!$H$5:$H$13,MATCH(B5,'55_Codificacion_ensayo'!$A$5:$A$13,0)),"")</x:f>
        <x:v>orcFailed</x:v>
      </x:c>
      <x:c r="AA5" s="12" t="str">
        <x:f>IFERROR(INDEX('55_Codificacion_ensayo'!$I$5:$I$13,MATCH(B5,'55_Codificacion_ensayo'!$A$5:$A$13,0)),"")</x:f>
        <x:v>EXITO_COMUNICADO</x:v>
      </x:c>
      <x:c r="AB5" s="12" t="str">
        <x:f>IFERROR(INDEX('55_Codificacion_ensayo'!$J$5:$J$13,MATCH(B5,'55_Codificacion_ensayo'!$A$5:$A$13,0)),"")</x:f>
        <x:v>NO_EXITO_PLENO</x:v>
      </x:c>
    </x:row>
    <x:row r="6" ht="47" customHeight="1">
      <x:c r="A6" s="4" t="str">
        <x:v>L10-02-02</x:v>
      </x:c>
      <x:c r="B6" s="4" t="str">
        <x:v>PAR-CYB-INSTALACION-EXITO-COMUNICADO-001</x:v>
      </x:c>
      <x:c r="C6" s="4" t="str">
        <x:v>WUA-RESULTADO-INDIVIDUAL-0.1</x:v>
      </x:c>
      <x:c r="D6" s="4" t="str">
        <x:v>COINCIDE</x:v>
      </x:c>
      <x:c r="E6" s="4" t="str">
        <x:v>LEGIBLE</x:v>
      </x:c>
      <x:c r="F6" s="4" t="str">
        <x:v>RESULTADO_WUA_INDIVIDUAL</x:v>
      </x:c>
      <x:c r="G6" s="4" t="str">
        <x:v>UNICA</x:v>
      </x:c>
      <x:c r="H6" s="4" t="str">
        <x:v>orcFailed</x:v>
      </x:c>
      <x:c r="I6" s="4" t="str"/>
      <x:c r="J6" s="4" t="str">
        <x:v>COMPLETA</x:v>
      </x:c>
      <x:c r="K6" s="4" t="str">
        <x:v>INSTALAR_INDIVIDUAL</x:v>
      </x:c>
      <x:c r="L6" s="4" t="str">
        <x:v>VALIDA</x:v>
      </x:c>
      <x:c r="M6" s="4" t="str">
        <x:v>0</x:v>
      </x:c>
      <x:c r="N6" s="4" t="str">
        <x:v>NO_EXITO_PLENO</x:v>
      </x:c>
      <x:c r="O6" s="12" t="str">
        <x:f>IF(Q6="SIN_EJECUCION_DOMINIO","FALLO_CAPTURA",IF(OR(Q6="CAPTURA_MAL_FORMADA",Q6="IDENTIDAD",Q6="OBSERVACION_MAL_FORMADA",Q6="LEXEMA_O_FORMA"),"NO_ADMISION",IF(OR(Q6="PERFIL_NO_CONSTITUIDO",Q6="RESULTADO_NO_TERMINAL"),"FUERA_PERFIL",IF(Q6="CONTEXTO_NO_CONSTITUIDO","CONFIGURACION_PENDIENTE","VALIDA"))))</x:f>
        <x:v>VALIDA</x:v>
      </x:c>
      <x:c r="P6" s="12" t="str">
        <x:f>IF(O6&lt;&gt;"VALIDA","",IF(Q6=AA6,"1",IF(Q6=AB6,"0","U")))</x:f>
        <x:v>0</x:v>
      </x:c>
      <x:c r="Q6" s="12" t="str">
        <x:f>IF(E6="FALLO","SIN_EJECUCION_DOMINIO",IF(E6&lt;&gt;"LEGIBLE","CAPTURA_MAL_FORMADA",IF(D6&lt;&gt;"COINCIDE","IDENTIDAD",IF(OR(T6="",C6&lt;&gt;T6),"PERFIL_NO_CONSTITUIDO",IF(K6&lt;&gt;V6,IF(V6="ORDEN_ACREDITADO","ORDEN_NO_ACREDITADO","CONTEXTO_NO_CONSTITUIDO"),IF(AND(G6="AUSENTE",H6="",I6=""),"DATO_AUSENTE",IF(AND(G6="CONFLICTO",H6="",I6=""),"CONFLICTO_OBSERVACIONAL",IF(G6&lt;&gt;"UNICA","OBSERVACION_MAL_FORMADA",IF(F6&lt;&gt;U6,"OBSERVACION_INSUFICIENTE",IF(W6="RESULTADO",IF(H6=X6,AA6,IF(OR(H6="orcSucceededWithErrors",H6="orcFailed",H6="orcAborted"),AB6,IF(OR(H6="orcNotStarted",H6="orcInProgress"),"RESULTADO_NO_TERMINAL","LEXEMA_O_FORMA"))),IF(W6="EVENTO_BOOT",IF(H6=X6,AA6,IF(OR(H6="NINGUNO",H6="SOLO_HIBRIDO"),IF(J6="COMPLETA",AB6,"COBERTURA_INSUFICIENTE"),"LEXEMA_O_FORMA")),IF(W6="REQUISITO_SOFT",IF(H6=X6,AA6,IF(H6=Z6,AB6,"LEXEMA_O_FORMA")),IF(W6="EVENTO_PROC",IF(H6=X6,AA6,IF(H6=Z6,IF(J6="COMPLETA",AB6,"COBERTURA_INSUFICIENTE"),"LEXEMA_O_FORMA")),IF(W6="IMAGEN",IF(AND(AND(ISTEXT(H6),LEN(("x"&amp;H6))=65,EXACT(("x"&amp;H6),LOWER(("x"&amp;H6))),ISERROR(SEARCH(" ",("x"&amp;H6))),ISERROR(SEARCH(CHAR(9),("x"&amp;H6))),ISERROR(SEARCH(CHAR(10),("x"&amp;H6))),ISERROR(SEARCH(CHAR(13),("x"&amp;H6))),IFERROR(HEX2DEC(MID(("x"&amp;H6),2,8))&gt;=0,FALSE),IFERROR(HEX2DEC(MID(("x"&amp;H6),10,8))&gt;=0,FALSE),IFERROR(HEX2DEC(MID(("x"&amp;H6),18,8))&gt;=0,FALSE),IFERROR(HEX2DEC(MID(("x"&amp;H6),26,8))&gt;=0,FALSE),IFERROR(HEX2DEC(MID(("x"&amp;H6),34,8))&gt;=0,FALSE),IFERROR(HEX2DEC(MID(("x"&amp;H6),42,8))&gt;=0,FALSE),IFERROR(HEX2DEC(MID(("x"&amp;H6),50,8))&gt;=0,FALSE),IFERROR(HEX2DEC(MID(("x"&amp;H6),58,8))&gt;=0,FALSE)),AND(ISTEXT(I6),LEN(("x"&amp;I6))=65,EXACT(("x"&amp;I6),LOWER(("x"&amp;I6))),ISERROR(SEARCH(" ",("x"&amp;I6))),ISERROR(SEARCH(CHAR(9),("x"&amp;I6))),ISERROR(SEARCH(CHAR(10),("x"&amp;I6))),ISERROR(SEARCH(CHAR(13),("x"&amp;I6))),IFERROR(HEX2DEC(MID(("x"&amp;I6),2,8))&gt;=0,FALSE),IFERROR(HEX2DEC(MID(("x"&amp;I6),10,8))&gt;=0,FALSE),IFERROR(HEX2DEC(MID(("x"&amp;I6),18,8))&gt;=0,FALSE),IFERROR(HEX2DEC(MID(("x"&amp;I6),26,8))&gt;=0,FALSE),IFERROR(HEX2DEC(MID(("x"&amp;I6),34,8))&gt;=0,FALSE),IFERROR(HEX2DEC(MID(("x"&amp;I6),42,8))&gt;=0,FALSE),IFERROR(HEX2DEC(MID(("x"&amp;I6),50,8))&gt;=0,FALSE),IFERROR(HEX2DEC(MID(("x"&amp;I6),58,8))&gt;=0,FALSE))),IF(EXACT("x"&amp;H6,"x"&amp;I6),AA6,AB6),"LEXEMA_O_FORMA"),IF(W6="PRUEBA",IF(H6=X6,AA6,IF(H6=Z6,AB6,"LEXEMA_O_FORMA")),IF(W6="RETIRADA",IF(AND(H6="NINGUNO",I6=""),IF(J6="COMPLETA",AB6,"COBERTURA_INSUFICIENTE"),IF(AND(OR(H6="uoInstallation",H6="uoUninstallation"),OR(I6="orcSucceeded",I6="orcSucceededWithErrors",I6="orcFailed",I6="orcAborted",I6="orcInProgress",I6="orcNotStarted")),IF(AND(H6=X6,I6=Y6),AA6,IF(AND(H6=X6,OR(I6="orcSucceededWithErrors",I6="orcInProgress",I6="orcNotStarted")),"RESULTADO_RETIRADA_INCIERTO",IF(J6="COMPLETA",AB6,"COBERTURA_INSUFICIENTE"))),"LEXEMA_O_FORMA")),IF(W6="CAMBIO",IF(OR(H6="CAMBIO",H6="CAMBIO_Y_RETORNO"),AA6,IF(OR(H6="NINGUNO",H6="SOLO_RENOMBRE"),IF(J6="COMPLETA",AB6,"COBERTURA_INSUFICIENTE"),"LEXEMA_O_FORMA")),IF(W6="RESTAURACION",IF(H6=X6,AA6,IF(OR(H6="NINGUNO",H6="RESTAURACION_POSTERIOR",H6="RESTAURACION_FALLIDA"),IF(J6="COMPLETA",AB6,"COBERTURA_INSUFICIENTE"),"LEXEMA_O_FORMA")),"PERFIL_NO_CONSTITUIDO"))))))))))))))))))</x:f>
        <x:v>NO_EXITO_PLENO</x:v>
      </x:c>
      <x:c r="R6" s="12" t="str">
        <x:f>IF(AND(L6=O6,M6=P6,N6=Q6),"PASA","NO_PASA")</x:f>
        <x:v>PASA</x:v>
      </x:c>
      <x:c r="S6" s="4" t="str">
        <x:v>Negativo explícito; en eventos exige cobertura del intervalo.</x:v>
      </x:c>
      <x:c r="T6" s="12" t="str">
        <x:f>IFERROR(INDEX('55_Codificacion_ensayo'!$B$5:$B$13,MATCH(B6,'55_Codificacion_ensayo'!$A$5:$A$13,0)),"")</x:f>
        <x:v>WUA-RESULTADO-INDIVIDUAL-0.1</x:v>
      </x:c>
      <x:c r="U6" s="12" t="str">
        <x:f>IFERROR(INDEX('55_Codificacion_ensayo'!$C$5:$C$13,MATCH(B6,'55_Codificacion_ensayo'!$A$5:$A$13,0)),"")</x:f>
        <x:v>RESULTADO_WUA_INDIVIDUAL</x:v>
      </x:c>
      <x:c r="V6" s="12" t="str">
        <x:f>IFERROR(INDEX('55_Codificacion_ensayo'!$D$5:$D$13,MATCH(B6,'55_Codificacion_ensayo'!$A$5:$A$13,0)),"")</x:f>
        <x:v>INSTALAR_INDIVIDUAL</x:v>
      </x:c>
      <x:c r="W6" s="12" t="str">
        <x:f>IFERROR(INDEX('55_Codificacion_ensayo'!$E$5:$E$13,MATCH(B6,'55_Codificacion_ensayo'!$A$5:$A$13,0)),"")</x:f>
        <x:v>RESULTADO</x:v>
      </x:c>
      <x:c r="X6" s="12" t="str">
        <x:f>IFERROR(INDEX('55_Codificacion_ensayo'!$F$5:$F$13,MATCH(B6,'55_Codificacion_ensayo'!$A$5:$A$13,0)),"")</x:f>
        <x:v>orcSucceeded</x:v>
      </x:c>
      <x:c r="Y6" s="12" t="str">
        <x:f>IFERROR(INDEX('55_Codificacion_ensayo'!$G$5:$G$13,MATCH(B6,'55_Codificacion_ensayo'!$A$5:$A$13,0)),"")</x:f>
      </x:c>
      <x:c r="Z6" s="12" t="str">
        <x:f>IFERROR(INDEX('55_Codificacion_ensayo'!$H$5:$H$13,MATCH(B6,'55_Codificacion_ensayo'!$A$5:$A$13,0)),"")</x:f>
        <x:v>orcFailed</x:v>
      </x:c>
      <x:c r="AA6" s="12" t="str">
        <x:f>IFERROR(INDEX('55_Codificacion_ensayo'!$I$5:$I$13,MATCH(B6,'55_Codificacion_ensayo'!$A$5:$A$13,0)),"")</x:f>
        <x:v>EXITO_COMUNICADO</x:v>
      </x:c>
      <x:c r="AB6" s="12" t="str">
        <x:f>IFERROR(INDEX('55_Codificacion_ensayo'!$J$5:$J$13,MATCH(B6,'55_Codificacion_ensayo'!$A$5:$A$13,0)),"")</x:f>
        <x:v>NO_EXITO_PLENO</x:v>
      </x:c>
    </x:row>
    <x:row r="7" ht="47" customHeight="1">
      <x:c r="A7" s="4" t="str">
        <x:v>L10-02-03</x:v>
      </x:c>
      <x:c r="B7" s="4" t="str">
        <x:v>PAR-CYB-INSTALACION-EXITO-COMUNICADO-001</x:v>
      </x:c>
      <x:c r="C7" s="4" t="str">
        <x:v>WUA-RESULTADO-INDIVIDUAL-0.1</x:v>
      </x:c>
      <x:c r="D7" s="4" t="str">
        <x:v>COINCIDE</x:v>
      </x:c>
      <x:c r="E7" s="4" t="str">
        <x:v>LEGIBLE</x:v>
      </x:c>
      <x:c r="F7" s="4" t="str">
        <x:v>RESULTADO_WUA_INDIVIDUAL</x:v>
      </x:c>
      <x:c r="G7" s="4" t="str">
        <x:v>AUSENTE</x:v>
      </x:c>
      <x:c r="H7" s="4" t="str"/>
      <x:c r="I7" s="4" t="str"/>
      <x:c r="J7" s="4" t="str">
        <x:v>COMPLETA</x:v>
      </x:c>
      <x:c r="K7" s="4" t="str">
        <x:v>INSTALAR_INDIVIDUAL</x:v>
      </x:c>
      <x:c r="L7" s="4" t="str">
        <x:v>VALIDA</x:v>
      </x:c>
      <x:c r="M7" s="4" t="str">
        <x:v>U</x:v>
      </x:c>
      <x:c r="N7" s="4" t="str">
        <x:v>DATO_AUSENTE</x:v>
      </x:c>
      <x:c r="O7" s="12" t="str">
        <x:f>IF(Q7="SIN_EJECUCION_DOMINIO","FALLO_CAPTURA",IF(OR(Q7="CAPTURA_MAL_FORMADA",Q7="IDENTIDAD",Q7="OBSERVACION_MAL_FORMADA",Q7="LEXEMA_O_FORMA"),"NO_ADMISION",IF(OR(Q7="PERFIL_NO_CONSTITUIDO",Q7="RESULTADO_NO_TERMINAL"),"FUERA_PERFIL",IF(Q7="CONTEXTO_NO_CONSTITUIDO","CONFIGURACION_PENDIENTE","VALIDA"))))</x:f>
        <x:v>VALIDA</x:v>
      </x:c>
      <x:c r="P7" s="12" t="str">
        <x:f>IF(O7&lt;&gt;"VALIDA","",IF(Q7=AA7,"1",IF(Q7=AB7,"0","U")))</x:f>
        <x:v>U</x:v>
      </x:c>
      <x:c r="Q7" s="12" t="str">
        <x:f>IF(E7="FALLO","SIN_EJECUCION_DOMINIO",IF(E7&lt;&gt;"LEGIBLE","CAPTURA_MAL_FORMADA",IF(D7&lt;&gt;"COINCIDE","IDENTIDAD",IF(OR(T7="",C7&lt;&gt;T7),"PERFIL_NO_CONSTITUIDO",IF(K7&lt;&gt;V7,IF(V7="ORDEN_ACREDITADO","ORDEN_NO_ACREDITADO","CONTEXTO_NO_CONSTITUIDO"),IF(AND(G7="AUSENTE",H7="",I7=""),"DATO_AUSENTE",IF(AND(G7="CONFLICTO",H7="",I7=""),"CONFLICTO_OBSERVACIONAL",IF(G7&lt;&gt;"UNICA","OBSERVACION_MAL_FORMADA",IF(F7&lt;&gt;U7,"OBSERVACION_INSUFICIENTE",IF(W7="RESULTADO",IF(H7=X7,AA7,IF(OR(H7="orcSucceededWithErrors",H7="orcFailed",H7="orcAborted"),AB7,IF(OR(H7="orcNotStarted",H7="orcInProgress"),"RESULTADO_NO_TERMINAL","LEXEMA_O_FORMA"))),IF(W7="EVENTO_BOOT",IF(H7=X7,AA7,IF(OR(H7="NINGUNO",H7="SOLO_HIBRIDO"),IF(J7="COMPLETA",AB7,"COBERTURA_INSUFICIENTE"),"LEXEMA_O_FORMA")),IF(W7="REQUISITO_SOFT",IF(H7=X7,AA7,IF(H7=Z7,AB7,"LEXEMA_O_FORMA")),IF(W7="EVENTO_PROC",IF(H7=X7,AA7,IF(H7=Z7,IF(J7="COMPLETA",AB7,"COBERTURA_INSUFICIENTE"),"LEXEMA_O_FORMA")),IF(W7="IMAGEN",IF(AND(AND(ISTEXT(H7),LEN(("x"&amp;H7))=65,EXACT(("x"&amp;H7),LOWER(("x"&amp;H7))),ISERROR(SEARCH(" ",("x"&amp;H7))),ISERROR(SEARCH(CHAR(9),("x"&amp;H7))),ISERROR(SEARCH(CHAR(10),("x"&amp;H7))),ISERROR(SEARCH(CHAR(13),("x"&amp;H7))),IFERROR(HEX2DEC(MID(("x"&amp;H7),2,8))&gt;=0,FALSE),IFERROR(HEX2DEC(MID(("x"&amp;H7),10,8))&gt;=0,FALSE),IFERROR(HEX2DEC(MID(("x"&amp;H7),18,8))&gt;=0,FALSE),IFERROR(HEX2DEC(MID(("x"&amp;H7),26,8))&gt;=0,FALSE),IFERROR(HEX2DEC(MID(("x"&amp;H7),34,8))&gt;=0,FALSE),IFERROR(HEX2DEC(MID(("x"&amp;H7),42,8))&gt;=0,FALSE),IFERROR(HEX2DEC(MID(("x"&amp;H7),50,8))&gt;=0,FALSE),IFERROR(HEX2DEC(MID(("x"&amp;H7),58,8))&gt;=0,FALSE)),AND(ISTEXT(I7),LEN(("x"&amp;I7))=65,EXACT(("x"&amp;I7),LOWER(("x"&amp;I7))),ISERROR(SEARCH(" ",("x"&amp;I7))),ISERROR(SEARCH(CHAR(9),("x"&amp;I7))),ISERROR(SEARCH(CHAR(10),("x"&amp;I7))),ISERROR(SEARCH(CHAR(13),("x"&amp;I7))),IFERROR(HEX2DEC(MID(("x"&amp;I7),2,8))&gt;=0,FALSE),IFERROR(HEX2DEC(MID(("x"&amp;I7),10,8))&gt;=0,FALSE),IFERROR(HEX2DEC(MID(("x"&amp;I7),18,8))&gt;=0,FALSE),IFERROR(HEX2DEC(MID(("x"&amp;I7),26,8))&gt;=0,FALSE),IFERROR(HEX2DEC(MID(("x"&amp;I7),34,8))&gt;=0,FALSE),IFERROR(HEX2DEC(MID(("x"&amp;I7),42,8))&gt;=0,FALSE),IFERROR(HEX2DEC(MID(("x"&amp;I7),50,8))&gt;=0,FALSE),IFERROR(HEX2DEC(MID(("x"&amp;I7),58,8))&gt;=0,FALSE))),IF(EXACT("x"&amp;H7,"x"&amp;I7),AA7,AB7),"LEXEMA_O_FORMA"),IF(W7="PRUEBA",IF(H7=X7,AA7,IF(H7=Z7,AB7,"LEXEMA_O_FORMA")),IF(W7="RETIRADA",IF(AND(H7="NINGUNO",I7=""),IF(J7="COMPLETA",AB7,"COBERTURA_INSUFICIENTE"),IF(AND(OR(H7="uoInstallation",H7="uoUninstallation"),OR(I7="orcSucceeded",I7="orcSucceededWithErrors",I7="orcFailed",I7="orcAborted",I7="orcInProgress",I7="orcNotStarted")),IF(AND(H7=X7,I7=Y7),AA7,IF(AND(H7=X7,OR(I7="orcSucceededWithErrors",I7="orcInProgress",I7="orcNotStarted")),"RESULTADO_RETIRADA_INCIERTO",IF(J7="COMPLETA",AB7,"COBERTURA_INSUFICIENTE"))),"LEXEMA_O_FORMA")),IF(W7="CAMBIO",IF(OR(H7="CAMBIO",H7="CAMBIO_Y_RETORNO"),AA7,IF(OR(H7="NINGUNO",H7="SOLO_RENOMBRE"),IF(J7="COMPLETA",AB7,"COBERTURA_INSUFICIENTE"),"LEXEMA_O_FORMA")),IF(W7="RESTAURACION",IF(H7=X7,AA7,IF(OR(H7="NINGUNO",H7="RESTAURACION_POSTERIOR",H7="RESTAURACION_FALLIDA"),IF(J7="COMPLETA",AB7,"COBERTURA_INSUFICIENTE"),"LEXEMA_O_FORMA")),"PERFIL_NO_CONSTITUIDO"))))))))))))))))))</x:f>
        <x:v>DATO_AUSENTE</x:v>
      </x:c>
      <x:c r="R7" s="12" t="str">
        <x:f>IF(AND(L7=O7,M7=P7,N7=Q7),"PASA","NO_PASA")</x:f>
        <x:v>PASA</x:v>
      </x:c>
      <x:c r="S7" s="4" t="str">
        <x:v>Documento declara que falta la observación, sin convertir ausencia en 0.</x:v>
      </x:c>
      <x:c r="T7" s="12" t="str">
        <x:f>IFERROR(INDEX('55_Codificacion_ensayo'!$B$5:$B$13,MATCH(B7,'55_Codificacion_ensayo'!$A$5:$A$13,0)),"")</x:f>
        <x:v>WUA-RESULTADO-INDIVIDUAL-0.1</x:v>
      </x:c>
      <x:c r="U7" s="12" t="str">
        <x:f>IFERROR(INDEX('55_Codificacion_ensayo'!$C$5:$C$13,MATCH(B7,'55_Codificacion_ensayo'!$A$5:$A$13,0)),"")</x:f>
        <x:v>RESULTADO_WUA_INDIVIDUAL</x:v>
      </x:c>
      <x:c r="V7" s="12" t="str">
        <x:f>IFERROR(INDEX('55_Codificacion_ensayo'!$D$5:$D$13,MATCH(B7,'55_Codificacion_ensayo'!$A$5:$A$13,0)),"")</x:f>
        <x:v>INSTALAR_INDIVIDUAL</x:v>
      </x:c>
      <x:c r="W7" s="12" t="str">
        <x:f>IFERROR(INDEX('55_Codificacion_ensayo'!$E$5:$E$13,MATCH(B7,'55_Codificacion_ensayo'!$A$5:$A$13,0)),"")</x:f>
        <x:v>RESULTADO</x:v>
      </x:c>
      <x:c r="X7" s="12" t="str">
        <x:f>IFERROR(INDEX('55_Codificacion_ensayo'!$F$5:$F$13,MATCH(B7,'55_Codificacion_ensayo'!$A$5:$A$13,0)),"")</x:f>
        <x:v>orcSucceeded</x:v>
      </x:c>
      <x:c r="Y7" s="12" t="str">
        <x:f>IFERROR(INDEX('55_Codificacion_ensayo'!$G$5:$G$13,MATCH(B7,'55_Codificacion_ensayo'!$A$5:$A$13,0)),"")</x:f>
      </x:c>
      <x:c r="Z7" s="12" t="str">
        <x:f>IFERROR(INDEX('55_Codificacion_ensayo'!$H$5:$H$13,MATCH(B7,'55_Codificacion_ensayo'!$A$5:$A$13,0)),"")</x:f>
        <x:v>orcFailed</x:v>
      </x:c>
      <x:c r="AA7" s="12" t="str">
        <x:f>IFERROR(INDEX('55_Codificacion_ensayo'!$I$5:$I$13,MATCH(B7,'55_Codificacion_ensayo'!$A$5:$A$13,0)),"")</x:f>
        <x:v>EXITO_COMUNICADO</x:v>
      </x:c>
      <x:c r="AB7" s="12" t="str">
        <x:f>IFERROR(INDEX('55_Codificacion_ensayo'!$J$5:$J$13,MATCH(B7,'55_Codificacion_ensayo'!$A$5:$A$13,0)),"")</x:f>
        <x:v>NO_EXITO_PLENO</x:v>
      </x:c>
    </x:row>
    <x:row r="8" ht="47" customHeight="1">
      <x:c r="A8" s="4" t="str">
        <x:v>L10-02-04</x:v>
      </x:c>
      <x:c r="B8" s="4" t="str">
        <x:v>PAR-CYB-INSTALACION-EXITO-COMUNICADO-001</x:v>
      </x:c>
      <x:c r="C8" s="4" t="str">
        <x:v>WUA-RESULTADO-INDIVIDUAL-0.1</x:v>
      </x:c>
      <x:c r="D8" s="4" t="str">
        <x:v>COINCIDE</x:v>
      </x:c>
      <x:c r="E8" s="4" t="str">
        <x:v>LEGIBLE</x:v>
      </x:c>
      <x:c r="F8" s="4" t="str">
        <x:v>RESULTADO_WUA_INDIVIDUAL</x:v>
      </x:c>
      <x:c r="G8" s="4" t="str">
        <x:v>CONFLICTO</x:v>
      </x:c>
      <x:c r="H8" s="4" t="str"/>
      <x:c r="I8" s="4" t="str"/>
      <x:c r="J8" s="4" t="str">
        <x:v>COMPLETA</x:v>
      </x:c>
      <x:c r="K8" s="4" t="str">
        <x:v>INSTALAR_INDIVIDUAL</x:v>
      </x:c>
      <x:c r="L8" s="4" t="str">
        <x:v>VALIDA</x:v>
      </x:c>
      <x:c r="M8" s="4" t="str">
        <x:v>U</x:v>
      </x:c>
      <x:c r="N8" s="4" t="str">
        <x:v>CONFLICTO_OBSERVACIONAL</x:v>
      </x:c>
      <x:c r="O8" s="12" t="str">
        <x:f>IF(Q8="SIN_EJECUCION_DOMINIO","FALLO_CAPTURA",IF(OR(Q8="CAPTURA_MAL_FORMADA",Q8="IDENTIDAD",Q8="OBSERVACION_MAL_FORMADA",Q8="LEXEMA_O_FORMA"),"NO_ADMISION",IF(OR(Q8="PERFIL_NO_CONSTITUIDO",Q8="RESULTADO_NO_TERMINAL"),"FUERA_PERFIL",IF(Q8="CONTEXTO_NO_CONSTITUIDO","CONFIGURACION_PENDIENTE","VALIDA"))))</x:f>
        <x:v>VALIDA</x:v>
      </x:c>
      <x:c r="P8" s="12" t="str">
        <x:f>IF(O8&lt;&gt;"VALIDA","",IF(Q8=AA8,"1",IF(Q8=AB8,"0","U")))</x:f>
        <x:v>U</x:v>
      </x:c>
      <x:c r="Q8" s="12" t="str">
        <x:f>IF(E8="FALLO","SIN_EJECUCION_DOMINIO",IF(E8&lt;&gt;"LEGIBLE","CAPTURA_MAL_FORMADA",IF(D8&lt;&gt;"COINCIDE","IDENTIDAD",IF(OR(T8="",C8&lt;&gt;T8),"PERFIL_NO_CONSTITUIDO",IF(K8&lt;&gt;V8,IF(V8="ORDEN_ACREDITADO","ORDEN_NO_ACREDITADO","CONTEXTO_NO_CONSTITUIDO"),IF(AND(G8="AUSENTE",H8="",I8=""),"DATO_AUSENTE",IF(AND(G8="CONFLICTO",H8="",I8=""),"CONFLICTO_OBSERVACIONAL",IF(G8&lt;&gt;"UNICA","OBSERVACION_MAL_FORMADA",IF(F8&lt;&gt;U8,"OBSERVACION_INSUFICIENTE",IF(W8="RESULTADO",IF(H8=X8,AA8,IF(OR(H8="orcSucceededWithErrors",H8="orcFailed",H8="orcAborted"),AB8,IF(OR(H8="orcNotStarted",H8="orcInProgress"),"RESULTADO_NO_TERMINAL","LEXEMA_O_FORMA"))),IF(W8="EVENTO_BOOT",IF(H8=X8,AA8,IF(OR(H8="NINGUNO",H8="SOLO_HIBRIDO"),IF(J8="COMPLETA",AB8,"COBERTURA_INSUFICIENTE"),"LEXEMA_O_FORMA")),IF(W8="REQUISITO_SOFT",IF(H8=X8,AA8,IF(H8=Z8,AB8,"LEXEMA_O_FORMA")),IF(W8="EVENTO_PROC",IF(H8=X8,AA8,IF(H8=Z8,IF(J8="COMPLETA",AB8,"COBERTURA_INSUFICIENTE"),"LEXEMA_O_FORMA")),IF(W8="IMAGEN",IF(AND(AND(ISTEXT(H8),LEN(("x"&amp;H8))=65,EXACT(("x"&amp;H8),LOWER(("x"&amp;H8))),ISERROR(SEARCH(" ",("x"&amp;H8))),ISERROR(SEARCH(CHAR(9),("x"&amp;H8))),ISERROR(SEARCH(CHAR(10),("x"&amp;H8))),ISERROR(SEARCH(CHAR(13),("x"&amp;H8))),IFERROR(HEX2DEC(MID(("x"&amp;H8),2,8))&gt;=0,FALSE),IFERROR(HEX2DEC(MID(("x"&amp;H8),10,8))&gt;=0,FALSE),IFERROR(HEX2DEC(MID(("x"&amp;H8),18,8))&gt;=0,FALSE),IFERROR(HEX2DEC(MID(("x"&amp;H8),26,8))&gt;=0,FALSE),IFERROR(HEX2DEC(MID(("x"&amp;H8),34,8))&gt;=0,FALSE),IFERROR(HEX2DEC(MID(("x"&amp;H8),42,8))&gt;=0,FALSE),IFERROR(HEX2DEC(MID(("x"&amp;H8),50,8))&gt;=0,FALSE),IFERROR(HEX2DEC(MID(("x"&amp;H8),58,8))&gt;=0,FALSE)),AND(ISTEXT(I8),LEN(("x"&amp;I8))=65,EXACT(("x"&amp;I8),LOWER(("x"&amp;I8))),ISERROR(SEARCH(" ",("x"&amp;I8))),ISERROR(SEARCH(CHAR(9),("x"&amp;I8))),ISERROR(SEARCH(CHAR(10),("x"&amp;I8))),ISERROR(SEARCH(CHAR(13),("x"&amp;I8))),IFERROR(HEX2DEC(MID(("x"&amp;I8),2,8))&gt;=0,FALSE),IFERROR(HEX2DEC(MID(("x"&amp;I8),10,8))&gt;=0,FALSE),IFERROR(HEX2DEC(MID(("x"&amp;I8),18,8))&gt;=0,FALSE),IFERROR(HEX2DEC(MID(("x"&amp;I8),26,8))&gt;=0,FALSE),IFERROR(HEX2DEC(MID(("x"&amp;I8),34,8))&gt;=0,FALSE),IFERROR(HEX2DEC(MID(("x"&amp;I8),42,8))&gt;=0,FALSE),IFERROR(HEX2DEC(MID(("x"&amp;I8),50,8))&gt;=0,FALSE),IFERROR(HEX2DEC(MID(("x"&amp;I8),58,8))&gt;=0,FALSE))),IF(EXACT("x"&amp;H8,"x"&amp;I8),AA8,AB8),"LEXEMA_O_FORMA"),IF(W8="PRUEBA",IF(H8=X8,AA8,IF(H8=Z8,AB8,"LEXEMA_O_FORMA")),IF(W8="RETIRADA",IF(AND(H8="NINGUNO",I8=""),IF(J8="COMPLETA",AB8,"COBERTURA_INSUFICIENTE"),IF(AND(OR(H8="uoInstallation",H8="uoUninstallation"),OR(I8="orcSucceeded",I8="orcSucceededWithErrors",I8="orcFailed",I8="orcAborted",I8="orcInProgress",I8="orcNotStarted")),IF(AND(H8=X8,I8=Y8),AA8,IF(AND(H8=X8,OR(I8="orcSucceededWithErrors",I8="orcInProgress",I8="orcNotStarted")),"RESULTADO_RETIRADA_INCIERTO",IF(J8="COMPLETA",AB8,"COBERTURA_INSUFICIENTE"))),"LEXEMA_O_FORMA")),IF(W8="CAMBIO",IF(OR(H8="CAMBIO",H8="CAMBIO_Y_RETORNO"),AA8,IF(OR(H8="NINGUNO",H8="SOLO_RENOMBRE"),IF(J8="COMPLETA",AB8,"COBERTURA_INSUFICIENTE"),"LEXEMA_O_FORMA")),IF(W8="RESTAURACION",IF(H8=X8,AA8,IF(OR(H8="NINGUNO",H8="RESTAURACION_POSTERIOR",H8="RESTAURACION_FALLIDA"),IF(J8="COMPLETA",AB8,"COBERTURA_INSUFICIENTE"),"LEXEMA_O_FORMA")),"PERFIL_NO_CONSTITUIDO"))))))))))))))))))</x:f>
        <x:v>CONFLICTO_OBSERVACIONAL</x:v>
      </x:c>
      <x:c r="R8" s="12" t="str">
        <x:f>IF(AND(L8=O8,M8=P8,N8=Q8),"PASA","NO_PASA")</x:f>
        <x:v>PASA</x:v>
      </x:c>
      <x:c r="S8" s="4" t="str">
        <x:v>Conflicto entre observaciones admitidas del mismo sujeto y corte.</x:v>
      </x:c>
      <x:c r="T8" s="12" t="str">
        <x:f>IFERROR(INDEX('55_Codificacion_ensayo'!$B$5:$B$13,MATCH(B8,'55_Codificacion_ensayo'!$A$5:$A$13,0)),"")</x:f>
        <x:v>WUA-RESULTADO-INDIVIDUAL-0.1</x:v>
      </x:c>
      <x:c r="U8" s="12" t="str">
        <x:f>IFERROR(INDEX('55_Codificacion_ensayo'!$C$5:$C$13,MATCH(B8,'55_Codificacion_ensayo'!$A$5:$A$13,0)),"")</x:f>
        <x:v>RESULTADO_WUA_INDIVIDUAL</x:v>
      </x:c>
      <x:c r="V8" s="12" t="str">
        <x:f>IFERROR(INDEX('55_Codificacion_ensayo'!$D$5:$D$13,MATCH(B8,'55_Codificacion_ensayo'!$A$5:$A$13,0)),"")</x:f>
        <x:v>INSTALAR_INDIVIDUAL</x:v>
      </x:c>
      <x:c r="W8" s="12" t="str">
        <x:f>IFERROR(INDEX('55_Codificacion_ensayo'!$E$5:$E$13,MATCH(B8,'55_Codificacion_ensayo'!$A$5:$A$13,0)),"")</x:f>
        <x:v>RESULTADO</x:v>
      </x:c>
      <x:c r="X8" s="12" t="str">
        <x:f>IFERROR(INDEX('55_Codificacion_ensayo'!$F$5:$F$13,MATCH(B8,'55_Codificacion_ensayo'!$A$5:$A$13,0)),"")</x:f>
        <x:v>orcSucceeded</x:v>
      </x:c>
      <x:c r="Y8" s="12" t="str">
        <x:f>IFERROR(INDEX('55_Codificacion_ensayo'!$G$5:$G$13,MATCH(B8,'55_Codificacion_ensayo'!$A$5:$A$13,0)),"")</x:f>
      </x:c>
      <x:c r="Z8" s="12" t="str">
        <x:f>IFERROR(INDEX('55_Codificacion_ensayo'!$H$5:$H$13,MATCH(B8,'55_Codificacion_ensayo'!$A$5:$A$13,0)),"")</x:f>
        <x:v>orcFailed</x:v>
      </x:c>
      <x:c r="AA8" s="12" t="str">
        <x:f>IFERROR(INDEX('55_Codificacion_ensayo'!$I$5:$I$13,MATCH(B8,'55_Codificacion_ensayo'!$A$5:$A$13,0)),"")</x:f>
        <x:v>EXITO_COMUNICADO</x:v>
      </x:c>
      <x:c r="AB8" s="12" t="str">
        <x:f>IFERROR(INDEX('55_Codificacion_ensayo'!$J$5:$J$13,MATCH(B8,'55_Codificacion_ensayo'!$A$5:$A$13,0)),"")</x:f>
        <x:v>NO_EXITO_PLENO</x:v>
      </x:c>
    </x:row>
    <x:row r="9" ht="47" customHeight="1">
      <x:c r="A9" s="4" t="str">
        <x:v>L10-02-05</x:v>
      </x:c>
      <x:c r="B9" s="4" t="str">
        <x:v>PAR-CYB-INSTALACION-EXITO-COMUNICADO-001</x:v>
      </x:c>
      <x:c r="C9" s="4" t="str">
        <x:v>WUA-RESULTADO-INDIVIDUAL-0.1</x:v>
      </x:c>
      <x:c r="D9" s="4" t="str">
        <x:v>COINCIDE</x:v>
      </x:c>
      <x:c r="E9" s="4" t="str">
        <x:v>FALLO</x:v>
      </x:c>
      <x:c r="F9" s="4" t="str">
        <x:v>RESULTADO_WUA_INDIVIDUAL</x:v>
      </x:c>
      <x:c r="G9" s="4" t="str">
        <x:v>UNICA</x:v>
      </x:c>
      <x:c r="H9" s="4" t="str">
        <x:v>orcSucceeded</x:v>
      </x:c>
      <x:c r="I9" s="4" t="str"/>
      <x:c r="J9" s="4" t="str">
        <x:v>COMPLETA</x:v>
      </x:c>
      <x:c r="K9" s="4" t="str">
        <x:v>INSTALAR_INDIVIDUAL</x:v>
      </x:c>
      <x:c r="L9" s="4" t="str">
        <x:v>FALLO_CAPTURA</x:v>
      </x:c>
      <x:c r="M9" s="4" t="str"/>
      <x:c r="N9" s="4" t="str">
        <x:v>SIN_EJECUCION_DOMINIO</x:v>
      </x:c>
      <x:c r="O9" s="12" t="str">
        <x:f>IF(Q9="SIN_EJECUCION_DOMINIO","FALLO_CAPTURA",IF(OR(Q9="CAPTURA_MAL_FORMADA",Q9="IDENTIDAD",Q9="OBSERVACION_MAL_FORMADA",Q9="LEXEMA_O_FORMA"),"NO_ADMISION",IF(OR(Q9="PERFIL_NO_CONSTITUIDO",Q9="RESULTADO_NO_TERMINAL"),"FUERA_PERFIL",IF(Q9="CONTEXTO_NO_CONSTITUIDO","CONFIGURACION_PENDIENTE","VALIDA"))))</x:f>
        <x:v>FALLO_CAPTURA</x:v>
      </x:c>
      <x:c r="P9" s="12" t="str">
        <x:f>IF(O9&lt;&gt;"VALIDA","",IF(Q9=AA9,"1",IF(Q9=AB9,"0","U")))</x:f>
      </x:c>
      <x:c r="Q9" s="12" t="str">
        <x:f>IF(E9="FALLO","SIN_EJECUCION_DOMINIO",IF(E9&lt;&gt;"LEGIBLE","CAPTURA_MAL_FORMADA",IF(D9&lt;&gt;"COINCIDE","IDENTIDAD",IF(OR(T9="",C9&lt;&gt;T9),"PERFIL_NO_CONSTITUIDO",IF(K9&lt;&gt;V9,IF(V9="ORDEN_ACREDITADO","ORDEN_NO_ACREDITADO","CONTEXTO_NO_CONSTITUIDO"),IF(AND(G9="AUSENTE",H9="",I9=""),"DATO_AUSENTE",IF(AND(G9="CONFLICTO",H9="",I9=""),"CONFLICTO_OBSERVACIONAL",IF(G9&lt;&gt;"UNICA","OBSERVACION_MAL_FORMADA",IF(F9&lt;&gt;U9,"OBSERVACION_INSUFICIENTE",IF(W9="RESULTADO",IF(H9=X9,AA9,IF(OR(H9="orcSucceededWithErrors",H9="orcFailed",H9="orcAborted"),AB9,IF(OR(H9="orcNotStarted",H9="orcInProgress"),"RESULTADO_NO_TERMINAL","LEXEMA_O_FORMA"))),IF(W9="EVENTO_BOOT",IF(H9=X9,AA9,IF(OR(H9="NINGUNO",H9="SOLO_HIBRIDO"),IF(J9="COMPLETA",AB9,"COBERTURA_INSUFICIENTE"),"LEXEMA_O_FORMA")),IF(W9="REQUISITO_SOFT",IF(H9=X9,AA9,IF(H9=Z9,AB9,"LEXEMA_O_FORMA")),IF(W9="EVENTO_PROC",IF(H9=X9,AA9,IF(H9=Z9,IF(J9="COMPLETA",AB9,"COBERTURA_INSUFICIENTE"),"LEXEMA_O_FORMA")),IF(W9="IMAGEN",IF(AND(AND(ISTEXT(H9),LEN(("x"&amp;H9))=65,EXACT(("x"&amp;H9),LOWER(("x"&amp;H9))),ISERROR(SEARCH(" ",("x"&amp;H9))),ISERROR(SEARCH(CHAR(9),("x"&amp;H9))),ISERROR(SEARCH(CHAR(10),("x"&amp;H9))),ISERROR(SEARCH(CHAR(13),("x"&amp;H9))),IFERROR(HEX2DEC(MID(("x"&amp;H9),2,8))&gt;=0,FALSE),IFERROR(HEX2DEC(MID(("x"&amp;H9),10,8))&gt;=0,FALSE),IFERROR(HEX2DEC(MID(("x"&amp;H9),18,8))&gt;=0,FALSE),IFERROR(HEX2DEC(MID(("x"&amp;H9),26,8))&gt;=0,FALSE),IFERROR(HEX2DEC(MID(("x"&amp;H9),34,8))&gt;=0,FALSE),IFERROR(HEX2DEC(MID(("x"&amp;H9),42,8))&gt;=0,FALSE),IFERROR(HEX2DEC(MID(("x"&amp;H9),50,8))&gt;=0,FALSE),IFERROR(HEX2DEC(MID(("x"&amp;H9),58,8))&gt;=0,FALSE)),AND(ISTEXT(I9),LEN(("x"&amp;I9))=65,EXACT(("x"&amp;I9),LOWER(("x"&amp;I9))),ISERROR(SEARCH(" ",("x"&amp;I9))),ISERROR(SEARCH(CHAR(9),("x"&amp;I9))),ISERROR(SEARCH(CHAR(10),("x"&amp;I9))),ISERROR(SEARCH(CHAR(13),("x"&amp;I9))),IFERROR(HEX2DEC(MID(("x"&amp;I9),2,8))&gt;=0,FALSE),IFERROR(HEX2DEC(MID(("x"&amp;I9),10,8))&gt;=0,FALSE),IFERROR(HEX2DEC(MID(("x"&amp;I9),18,8))&gt;=0,FALSE),IFERROR(HEX2DEC(MID(("x"&amp;I9),26,8))&gt;=0,FALSE),IFERROR(HEX2DEC(MID(("x"&amp;I9),34,8))&gt;=0,FALSE),IFERROR(HEX2DEC(MID(("x"&amp;I9),42,8))&gt;=0,FALSE),IFERROR(HEX2DEC(MID(("x"&amp;I9),50,8))&gt;=0,FALSE),IFERROR(HEX2DEC(MID(("x"&amp;I9),58,8))&gt;=0,FALSE))),IF(EXACT("x"&amp;H9,"x"&amp;I9),AA9,AB9),"LEXEMA_O_FORMA"),IF(W9="PRUEBA",IF(H9=X9,AA9,IF(H9=Z9,AB9,"LEXEMA_O_FORMA")),IF(W9="RETIRADA",IF(AND(H9="NINGUNO",I9=""),IF(J9="COMPLETA",AB9,"COBERTURA_INSUFICIENTE"),IF(AND(OR(H9="uoInstallation",H9="uoUninstallation"),OR(I9="orcSucceeded",I9="orcSucceededWithErrors",I9="orcFailed",I9="orcAborted",I9="orcInProgress",I9="orcNotStarted")),IF(AND(H9=X9,I9=Y9),AA9,IF(AND(H9=X9,OR(I9="orcSucceededWithErrors",I9="orcInProgress",I9="orcNotStarted")),"RESULTADO_RETIRADA_INCIERTO",IF(J9="COMPLETA",AB9,"COBERTURA_INSUFICIENTE"))),"LEXEMA_O_FORMA")),IF(W9="CAMBIO",IF(OR(H9="CAMBIO",H9="CAMBIO_Y_RETORNO"),AA9,IF(OR(H9="NINGUNO",H9="SOLO_RENOMBRE"),IF(J9="COMPLETA",AB9,"COBERTURA_INSUFICIENTE"),"LEXEMA_O_FORMA")),IF(W9="RESTAURACION",IF(H9=X9,AA9,IF(OR(H9="NINGUNO",H9="RESTAURACION_POSTERIOR",H9="RESTAURACION_FALLIDA"),IF(J9="COMPLETA",AB9,"COBERTURA_INSUFICIENTE"),"LEXEMA_O_FORMA")),"PERFIL_NO_CONSTITUIDO"))))))))))))))))))</x:f>
        <x:v>SIN_EJECUCION_DOMINIO</x:v>
      </x:c>
      <x:c r="R9" s="12" t="str">
        <x:f>IF(AND(L9=O9,M9=P9,N9=Q9),"PASA","NO_PASA")</x:f>
        <x:v>PASA</x:v>
      </x:c>
      <x:c r="S9" s="4" t="str">
        <x:v>El observador falla; no existe ejecución de dominio ni Tri alternativo.</x:v>
      </x:c>
      <x:c r="T9" s="12" t="str">
        <x:f>IFERROR(INDEX('55_Codificacion_ensayo'!$B$5:$B$13,MATCH(B9,'55_Codificacion_ensayo'!$A$5:$A$13,0)),"")</x:f>
        <x:v>WUA-RESULTADO-INDIVIDUAL-0.1</x:v>
      </x:c>
      <x:c r="U9" s="12" t="str">
        <x:f>IFERROR(INDEX('55_Codificacion_ensayo'!$C$5:$C$13,MATCH(B9,'55_Codificacion_ensayo'!$A$5:$A$13,0)),"")</x:f>
        <x:v>RESULTADO_WUA_INDIVIDUAL</x:v>
      </x:c>
      <x:c r="V9" s="12" t="str">
        <x:f>IFERROR(INDEX('55_Codificacion_ensayo'!$D$5:$D$13,MATCH(B9,'55_Codificacion_ensayo'!$A$5:$A$13,0)),"")</x:f>
        <x:v>INSTALAR_INDIVIDUAL</x:v>
      </x:c>
      <x:c r="W9" s="12" t="str">
        <x:f>IFERROR(INDEX('55_Codificacion_ensayo'!$E$5:$E$13,MATCH(B9,'55_Codificacion_ensayo'!$A$5:$A$13,0)),"")</x:f>
        <x:v>RESULTADO</x:v>
      </x:c>
      <x:c r="X9" s="12" t="str">
        <x:f>IFERROR(INDEX('55_Codificacion_ensayo'!$F$5:$F$13,MATCH(B9,'55_Codificacion_ensayo'!$A$5:$A$13,0)),"")</x:f>
        <x:v>orcSucceeded</x:v>
      </x:c>
      <x:c r="Y9" s="12" t="str">
        <x:f>IFERROR(INDEX('55_Codificacion_ensayo'!$G$5:$G$13,MATCH(B9,'55_Codificacion_ensayo'!$A$5:$A$13,0)),"")</x:f>
      </x:c>
      <x:c r="Z9" s="12" t="str">
        <x:f>IFERROR(INDEX('55_Codificacion_ensayo'!$H$5:$H$13,MATCH(B9,'55_Codificacion_ensayo'!$A$5:$A$13,0)),"")</x:f>
        <x:v>orcFailed</x:v>
      </x:c>
      <x:c r="AA9" s="12" t="str">
        <x:f>IFERROR(INDEX('55_Codificacion_ensayo'!$I$5:$I$13,MATCH(B9,'55_Codificacion_ensayo'!$A$5:$A$13,0)),"")</x:f>
        <x:v>EXITO_COMUNICADO</x:v>
      </x:c>
      <x:c r="AB9" s="12" t="str">
        <x:f>IFERROR(INDEX('55_Codificacion_ensayo'!$J$5:$J$13,MATCH(B9,'55_Codificacion_ensayo'!$A$5:$A$13,0)),"")</x:f>
        <x:v>NO_EXITO_PLENO</x:v>
      </x:c>
    </x:row>
    <x:row r="10" ht="47" customHeight="1">
      <x:c r="A10" s="4" t="str">
        <x:v>L10-02-06</x:v>
      </x:c>
      <x:c r="B10" s="4" t="str">
        <x:v>PAR-CYB-INSTALACION-EXITO-COMUNICADO-001</x:v>
      </x:c>
      <x:c r="C10" s="4" t="str">
        <x:v>WUA-RESULTADO-INDIVIDUAL-0.1</x:v>
      </x:c>
      <x:c r="D10" s="4" t="str">
        <x:v>OTRO</x:v>
      </x:c>
      <x:c r="E10" s="4" t="str">
        <x:v>LEGIBLE</x:v>
      </x:c>
      <x:c r="F10" s="4" t="str">
        <x:v>RESULTADO_WUA_INDIVIDUAL</x:v>
      </x:c>
      <x:c r="G10" s="4" t="str">
        <x:v>UNICA</x:v>
      </x:c>
      <x:c r="H10" s="4" t="str">
        <x:v>orcSucceeded</x:v>
      </x:c>
      <x:c r="I10" s="4" t="str"/>
      <x:c r="J10" s="4" t="str">
        <x:v>COMPLETA</x:v>
      </x:c>
      <x:c r="K10" s="4" t="str">
        <x:v>INSTALAR_INDIVIDUAL</x:v>
      </x:c>
      <x:c r="L10" s="4" t="str">
        <x:v>NO_ADMISION</x:v>
      </x:c>
      <x:c r="M10" s="4" t="str"/>
      <x:c r="N10" s="4" t="str">
        <x:v>IDENTIDAD</x:v>
      </x:c>
      <x:c r="O10" s="12" t="str">
        <x:f>IF(Q10="SIN_EJECUCION_DOMINIO","FALLO_CAPTURA",IF(OR(Q10="CAPTURA_MAL_FORMADA",Q10="IDENTIDAD",Q10="OBSERVACION_MAL_FORMADA",Q10="LEXEMA_O_FORMA"),"NO_ADMISION",IF(OR(Q10="PERFIL_NO_CONSTITUIDO",Q10="RESULTADO_NO_TERMINAL"),"FUERA_PERFIL",IF(Q10="CONTEXTO_NO_CONSTITUIDO","CONFIGURACION_PENDIENTE","VALIDA"))))</x:f>
        <x:v>NO_ADMISION</x:v>
      </x:c>
      <x:c r="P10" s="12" t="str">
        <x:f>IF(O10&lt;&gt;"VALIDA","",IF(Q10=AA10,"1",IF(Q10=AB10,"0","U")))</x:f>
      </x:c>
      <x:c r="Q10" s="12" t="str">
        <x:f>IF(E10="FALLO","SIN_EJECUCION_DOMINIO",IF(E10&lt;&gt;"LEGIBLE","CAPTURA_MAL_FORMADA",IF(D10&lt;&gt;"COINCIDE","IDENTIDAD",IF(OR(T10="",C10&lt;&gt;T10),"PERFIL_NO_CONSTITUIDO",IF(K10&lt;&gt;V10,IF(V10="ORDEN_ACREDITADO","ORDEN_NO_ACREDITADO","CONTEXTO_NO_CONSTITUIDO"),IF(AND(G10="AUSENTE",H10="",I10=""),"DATO_AUSENTE",IF(AND(G10="CONFLICTO",H10="",I10=""),"CONFLICTO_OBSERVACIONAL",IF(G10&lt;&gt;"UNICA","OBSERVACION_MAL_FORMADA",IF(F10&lt;&gt;U10,"OBSERVACION_INSUFICIENTE",IF(W10="RESULTADO",IF(H10=X10,AA10,IF(OR(H10="orcSucceededWithErrors",H10="orcFailed",H10="orcAborted"),AB10,IF(OR(H10="orcNotStarted",H10="orcInProgress"),"RESULTADO_NO_TERMINAL","LEXEMA_O_FORMA"))),IF(W10="EVENTO_BOOT",IF(H10=X10,AA10,IF(OR(H10="NINGUNO",H10="SOLO_HIBRIDO"),IF(J10="COMPLETA",AB10,"COBERTURA_INSUFICIENTE"),"LEXEMA_O_FORMA")),IF(W10="REQUISITO_SOFT",IF(H10=X10,AA10,IF(H10=Z10,AB10,"LEXEMA_O_FORMA")),IF(W10="EVENTO_PROC",IF(H10=X10,AA10,IF(H10=Z10,IF(J10="COMPLETA",AB10,"COBERTURA_INSUFICIENTE"),"LEXEMA_O_FORMA")),IF(W10="IMAGEN",IF(AND(AND(ISTEXT(H10),LEN(("x"&amp;H10))=65,EXACT(("x"&amp;H10),LOWER(("x"&amp;H10))),ISERROR(SEARCH(" ",("x"&amp;H10))),ISERROR(SEARCH(CHAR(9),("x"&amp;H10))),ISERROR(SEARCH(CHAR(10),("x"&amp;H10))),ISERROR(SEARCH(CHAR(13),("x"&amp;H10))),IFERROR(HEX2DEC(MID(("x"&amp;H10),2,8))&gt;=0,FALSE),IFERROR(HEX2DEC(MID(("x"&amp;H10),10,8))&gt;=0,FALSE),IFERROR(HEX2DEC(MID(("x"&amp;H10),18,8))&gt;=0,FALSE),IFERROR(HEX2DEC(MID(("x"&amp;H10),26,8))&gt;=0,FALSE),IFERROR(HEX2DEC(MID(("x"&amp;H10),34,8))&gt;=0,FALSE),IFERROR(HEX2DEC(MID(("x"&amp;H10),42,8))&gt;=0,FALSE),IFERROR(HEX2DEC(MID(("x"&amp;H10),50,8))&gt;=0,FALSE),IFERROR(HEX2DEC(MID(("x"&amp;H10),58,8))&gt;=0,FALSE)),AND(ISTEXT(I10),LEN(("x"&amp;I10))=65,EXACT(("x"&amp;I10),LOWER(("x"&amp;I10))),ISERROR(SEARCH(" ",("x"&amp;I10))),ISERROR(SEARCH(CHAR(9),("x"&amp;I10))),ISERROR(SEARCH(CHAR(10),("x"&amp;I10))),ISERROR(SEARCH(CHAR(13),("x"&amp;I10))),IFERROR(HEX2DEC(MID(("x"&amp;I10),2,8))&gt;=0,FALSE),IFERROR(HEX2DEC(MID(("x"&amp;I10),10,8))&gt;=0,FALSE),IFERROR(HEX2DEC(MID(("x"&amp;I10),18,8))&gt;=0,FALSE),IFERROR(HEX2DEC(MID(("x"&amp;I10),26,8))&gt;=0,FALSE),IFERROR(HEX2DEC(MID(("x"&amp;I10),34,8))&gt;=0,FALSE),IFERROR(HEX2DEC(MID(("x"&amp;I10),42,8))&gt;=0,FALSE),IFERROR(HEX2DEC(MID(("x"&amp;I10),50,8))&gt;=0,FALSE),IFERROR(HEX2DEC(MID(("x"&amp;I10),58,8))&gt;=0,FALSE))),IF(EXACT("x"&amp;H10,"x"&amp;I10),AA10,AB10),"LEXEMA_O_FORMA"),IF(W10="PRUEBA",IF(H10=X10,AA10,IF(H10=Z10,AB10,"LEXEMA_O_FORMA")),IF(W10="RETIRADA",IF(AND(H10="NINGUNO",I10=""),IF(J10="COMPLETA",AB10,"COBERTURA_INSUFICIENTE"),IF(AND(OR(H10="uoInstallation",H10="uoUninstallation"),OR(I10="orcSucceeded",I10="orcSucceededWithErrors",I10="orcFailed",I10="orcAborted",I10="orcInProgress",I10="orcNotStarted")),IF(AND(H10=X10,I10=Y10),AA10,IF(AND(H10=X10,OR(I10="orcSucceededWithErrors",I10="orcInProgress",I10="orcNotStarted")),"RESULTADO_RETIRADA_INCIERTO",IF(J10="COMPLETA",AB10,"COBERTURA_INSUFICIENTE"))),"LEXEMA_O_FORMA")),IF(W10="CAMBIO",IF(OR(H10="CAMBIO",H10="CAMBIO_Y_RETORNO"),AA10,IF(OR(H10="NINGUNO",H10="SOLO_RENOMBRE"),IF(J10="COMPLETA",AB10,"COBERTURA_INSUFICIENTE"),"LEXEMA_O_FORMA")),IF(W10="RESTAURACION",IF(H10=X10,AA10,IF(OR(H10="NINGUNO",H10="RESTAURACION_POSTERIOR",H10="RESTAURACION_FALLIDA"),IF(J10="COMPLETA",AB10,"COBERTURA_INSUFICIENTE"),"LEXEMA_O_FORMA")),"PERFIL_NO_CONSTITUIDO"))))))))))))))))))</x:f>
        <x:v>IDENTIDAD</x:v>
      </x:c>
      <x:c r="R10" s="12" t="str">
        <x:f>IF(AND(L10=O10,M10=P10,N10=Q10),"PASA","NO_PASA")</x:f>
        <x:v>PASA</x:v>
      </x:c>
      <x:c r="S10" s="4" t="str">
        <x:v>El testigo pertenece a otro sujeto; no se recicla su dato.</x:v>
      </x:c>
      <x:c r="T10" s="12" t="str">
        <x:f>IFERROR(INDEX('55_Codificacion_ensayo'!$B$5:$B$13,MATCH(B10,'55_Codificacion_ensayo'!$A$5:$A$13,0)),"")</x:f>
        <x:v>WUA-RESULTADO-INDIVIDUAL-0.1</x:v>
      </x:c>
      <x:c r="U10" s="12" t="str">
        <x:f>IFERROR(INDEX('55_Codificacion_ensayo'!$C$5:$C$13,MATCH(B10,'55_Codificacion_ensayo'!$A$5:$A$13,0)),"")</x:f>
        <x:v>RESULTADO_WUA_INDIVIDUAL</x:v>
      </x:c>
      <x:c r="V10" s="12" t="str">
        <x:f>IFERROR(INDEX('55_Codificacion_ensayo'!$D$5:$D$13,MATCH(B10,'55_Codificacion_ensayo'!$A$5:$A$13,0)),"")</x:f>
        <x:v>INSTALAR_INDIVIDUAL</x:v>
      </x:c>
      <x:c r="W10" s="12" t="str">
        <x:f>IFERROR(INDEX('55_Codificacion_ensayo'!$E$5:$E$13,MATCH(B10,'55_Codificacion_ensayo'!$A$5:$A$13,0)),"")</x:f>
        <x:v>RESULTADO</x:v>
      </x:c>
      <x:c r="X10" s="12" t="str">
        <x:f>IFERROR(INDEX('55_Codificacion_ensayo'!$F$5:$F$13,MATCH(B10,'55_Codificacion_ensayo'!$A$5:$A$13,0)),"")</x:f>
        <x:v>orcSucceeded</x:v>
      </x:c>
      <x:c r="Y10" s="12" t="str">
        <x:f>IFERROR(INDEX('55_Codificacion_ensayo'!$G$5:$G$13,MATCH(B10,'55_Codificacion_ensayo'!$A$5:$A$13,0)),"")</x:f>
      </x:c>
      <x:c r="Z10" s="12" t="str">
        <x:f>IFERROR(INDEX('55_Codificacion_ensayo'!$H$5:$H$13,MATCH(B10,'55_Codificacion_ensayo'!$A$5:$A$13,0)),"")</x:f>
        <x:v>orcFailed</x:v>
      </x:c>
      <x:c r="AA10" s="12" t="str">
        <x:f>IFERROR(INDEX('55_Codificacion_ensayo'!$I$5:$I$13,MATCH(B10,'55_Codificacion_ensayo'!$A$5:$A$13,0)),"")</x:f>
        <x:v>EXITO_COMUNICADO</x:v>
      </x:c>
      <x:c r="AB10" s="12" t="str">
        <x:f>IFERROR(INDEX('55_Codificacion_ensayo'!$J$5:$J$13,MATCH(B10,'55_Codificacion_ensayo'!$A$5:$A$13,0)),"")</x:f>
        <x:v>NO_EXITO_PLENO</x:v>
      </x:c>
    </x:row>
    <x:row r="11" ht="47" customHeight="1">
      <x:c r="A11" s="4" t="str">
        <x:v>L10-02-07</x:v>
      </x:c>
      <x:c r="B11" s="4" t="str">
        <x:v>PAR-CYB-INSTALACION-EXITO-COMUNICADO-001</x:v>
      </x:c>
      <x:c r="C11" s="4" t="str">
        <x:v>WUA-RESULTADO-INDIVIDUAL-0.1</x:v>
      </x:c>
      <x:c r="D11" s="4" t="str">
        <x:v>COINCIDE</x:v>
      </x:c>
      <x:c r="E11" s="4" t="str">
        <x:v>LEGIBLE</x:v>
      </x:c>
      <x:c r="F11" s="4" t="str">
        <x:v>FUENTE_GENERAL</x:v>
      </x:c>
      <x:c r="G11" s="4" t="str">
        <x:v>UNICA</x:v>
      </x:c>
      <x:c r="H11" s="4" t="str">
        <x:v>orcSucceeded</x:v>
      </x:c>
      <x:c r="I11" s="4" t="str"/>
      <x:c r="J11" s="4" t="str">
        <x:v>COMPLETA</x:v>
      </x:c>
      <x:c r="K11" s="4" t="str">
        <x:v>INSTALAR_INDIVIDUAL</x:v>
      </x:c>
      <x:c r="L11" s="4" t="str">
        <x:v>VALIDA</x:v>
      </x:c>
      <x:c r="M11" s="4" t="str">
        <x:v>U</x:v>
      </x:c>
      <x:c r="N11" s="4" t="str">
        <x:v>OBSERVACION_INSUFICIENTE</x:v>
      </x:c>
      <x:c r="O11" s="12" t="str">
        <x:f>IF(Q11="SIN_EJECUCION_DOMINIO","FALLO_CAPTURA",IF(OR(Q11="CAPTURA_MAL_FORMADA",Q11="IDENTIDAD",Q11="OBSERVACION_MAL_FORMADA",Q11="LEXEMA_O_FORMA"),"NO_ADMISION",IF(OR(Q11="PERFIL_NO_CONSTITUIDO",Q11="RESULTADO_NO_TERMINAL"),"FUERA_PERFIL",IF(Q11="CONTEXTO_NO_CONSTITUIDO","CONFIGURACION_PENDIENTE","VALIDA"))))</x:f>
        <x:v>VALIDA</x:v>
      </x:c>
      <x:c r="P11" s="12" t="str">
        <x:f>IF(O11&lt;&gt;"VALIDA","",IF(Q11=AA11,"1",IF(Q11=AB11,"0","U")))</x:f>
        <x:v>U</x:v>
      </x:c>
      <x:c r="Q11" s="12" t="str">
        <x:f>IF(E11="FALLO","SIN_EJECUCION_DOMINIO",IF(E11&lt;&gt;"LEGIBLE","CAPTURA_MAL_FORMADA",IF(D11&lt;&gt;"COINCIDE","IDENTIDAD",IF(OR(T11="",C11&lt;&gt;T11),"PERFIL_NO_CONSTITUIDO",IF(K11&lt;&gt;V11,IF(V11="ORDEN_ACREDITADO","ORDEN_NO_ACREDITADO","CONTEXTO_NO_CONSTITUIDO"),IF(AND(G11="AUSENTE",H11="",I11=""),"DATO_AUSENTE",IF(AND(G11="CONFLICTO",H11="",I11=""),"CONFLICTO_OBSERVACIONAL",IF(G11&lt;&gt;"UNICA","OBSERVACION_MAL_FORMADA",IF(F11&lt;&gt;U11,"OBSERVACION_INSUFICIENTE",IF(W11="RESULTADO",IF(H11=X11,AA11,IF(OR(H11="orcSucceededWithErrors",H11="orcFailed",H11="orcAborted"),AB11,IF(OR(H11="orcNotStarted",H11="orcInProgress"),"RESULTADO_NO_TERMINAL","LEXEMA_O_FORMA"))),IF(W11="EVENTO_BOOT",IF(H11=X11,AA11,IF(OR(H11="NINGUNO",H11="SOLO_HIBRIDO"),IF(J11="COMPLETA",AB11,"COBERTURA_INSUFICIENTE"),"LEXEMA_O_FORMA")),IF(W11="REQUISITO_SOFT",IF(H11=X11,AA11,IF(H11=Z11,AB11,"LEXEMA_O_FORMA")),IF(W11="EVENTO_PROC",IF(H11=X11,AA11,IF(H11=Z11,IF(J11="COMPLETA",AB11,"COBERTURA_INSUFICIENTE"),"LEXEMA_O_FORMA")),IF(W11="IMAGEN",IF(AND(AND(ISTEXT(H11),LEN(("x"&amp;H11))=65,EXACT(("x"&amp;H11),LOWER(("x"&amp;H11))),ISERROR(SEARCH(" ",("x"&amp;H11))),ISERROR(SEARCH(CHAR(9),("x"&amp;H11))),ISERROR(SEARCH(CHAR(10),("x"&amp;H11))),ISERROR(SEARCH(CHAR(13),("x"&amp;H11))),IFERROR(HEX2DEC(MID(("x"&amp;H11),2,8))&gt;=0,FALSE),IFERROR(HEX2DEC(MID(("x"&amp;H11),10,8))&gt;=0,FALSE),IFERROR(HEX2DEC(MID(("x"&amp;H11),18,8))&gt;=0,FALSE),IFERROR(HEX2DEC(MID(("x"&amp;H11),26,8))&gt;=0,FALSE),IFERROR(HEX2DEC(MID(("x"&amp;H11),34,8))&gt;=0,FALSE),IFERROR(HEX2DEC(MID(("x"&amp;H11),42,8))&gt;=0,FALSE),IFERROR(HEX2DEC(MID(("x"&amp;H11),50,8))&gt;=0,FALSE),IFERROR(HEX2DEC(MID(("x"&amp;H11),58,8))&gt;=0,FALSE)),AND(ISTEXT(I11),LEN(("x"&amp;I11))=65,EXACT(("x"&amp;I11),LOWER(("x"&amp;I11))),ISERROR(SEARCH(" ",("x"&amp;I11))),ISERROR(SEARCH(CHAR(9),("x"&amp;I11))),ISERROR(SEARCH(CHAR(10),("x"&amp;I11))),ISERROR(SEARCH(CHAR(13),("x"&amp;I11))),IFERROR(HEX2DEC(MID(("x"&amp;I11),2,8))&gt;=0,FALSE),IFERROR(HEX2DEC(MID(("x"&amp;I11),10,8))&gt;=0,FALSE),IFERROR(HEX2DEC(MID(("x"&amp;I11),18,8))&gt;=0,FALSE),IFERROR(HEX2DEC(MID(("x"&amp;I11),26,8))&gt;=0,FALSE),IFERROR(HEX2DEC(MID(("x"&amp;I11),34,8))&gt;=0,FALSE),IFERROR(HEX2DEC(MID(("x"&amp;I11),42,8))&gt;=0,FALSE),IFERROR(HEX2DEC(MID(("x"&amp;I11),50,8))&gt;=0,FALSE),IFERROR(HEX2DEC(MID(("x"&amp;I11),58,8))&gt;=0,FALSE))),IF(EXACT("x"&amp;H11,"x"&amp;I11),AA11,AB11),"LEXEMA_O_FORMA"),IF(W11="PRUEBA",IF(H11=X11,AA11,IF(H11=Z11,AB11,"LEXEMA_O_FORMA")),IF(W11="RETIRADA",IF(AND(H11="NINGUNO",I11=""),IF(J11="COMPLETA",AB11,"COBERTURA_INSUFICIENTE"),IF(AND(OR(H11="uoInstallation",H11="uoUninstallation"),OR(I11="orcSucceeded",I11="orcSucceededWithErrors",I11="orcFailed",I11="orcAborted",I11="orcInProgress",I11="orcNotStarted")),IF(AND(H11=X11,I11=Y11),AA11,IF(AND(H11=X11,OR(I11="orcSucceededWithErrors",I11="orcInProgress",I11="orcNotStarted")),"RESULTADO_RETIRADA_INCIERTO",IF(J11="COMPLETA",AB11,"COBERTURA_INSUFICIENTE"))),"LEXEMA_O_FORMA")),IF(W11="CAMBIO",IF(OR(H11="CAMBIO",H11="CAMBIO_Y_RETORNO"),AA11,IF(OR(H11="NINGUNO",H11="SOLO_RENOMBRE"),IF(J11="COMPLETA",AB11,"COBERTURA_INSUFICIENTE"),"LEXEMA_O_FORMA")),IF(W11="RESTAURACION",IF(H11=X11,AA11,IF(OR(H11="NINGUNO",H11="RESTAURACION_POSTERIOR",H11="RESTAURACION_FALLIDA"),IF(J11="COMPLETA",AB11,"COBERTURA_INSUFICIENTE"),"LEXEMA_O_FORMA")),"PERFIL_NO_CONSTITUIDO"))))))))))))))))))</x:f>
        <x:v>OBSERVACION_INSUFICIENTE</x:v>
      </x:c>
      <x:c r="R11" s="12" t="str">
        <x:f>IF(AND(L11=O11,M11=P11,N11=Q11),"PASA","NO_PASA")</x:f>
        <x:v>PASA</x:v>
      </x:c>
      <x:c r="S11" s="4" t="str">
        <x:v>Una fuente del dominio no sustituye la observación específica del episodio.</x:v>
      </x:c>
      <x:c r="T11" s="12" t="str">
        <x:f>IFERROR(INDEX('55_Codificacion_ensayo'!$B$5:$B$13,MATCH(B11,'55_Codificacion_ensayo'!$A$5:$A$13,0)),"")</x:f>
        <x:v>WUA-RESULTADO-INDIVIDUAL-0.1</x:v>
      </x:c>
      <x:c r="U11" s="12" t="str">
        <x:f>IFERROR(INDEX('55_Codificacion_ensayo'!$C$5:$C$13,MATCH(B11,'55_Codificacion_ensayo'!$A$5:$A$13,0)),"")</x:f>
        <x:v>RESULTADO_WUA_INDIVIDUAL</x:v>
      </x:c>
      <x:c r="V11" s="12" t="str">
        <x:f>IFERROR(INDEX('55_Codificacion_ensayo'!$D$5:$D$13,MATCH(B11,'55_Codificacion_ensayo'!$A$5:$A$13,0)),"")</x:f>
        <x:v>INSTALAR_INDIVIDUAL</x:v>
      </x:c>
      <x:c r="W11" s="12" t="str">
        <x:f>IFERROR(INDEX('55_Codificacion_ensayo'!$E$5:$E$13,MATCH(B11,'55_Codificacion_ensayo'!$A$5:$A$13,0)),"")</x:f>
        <x:v>RESULTADO</x:v>
      </x:c>
      <x:c r="X11" s="12" t="str">
        <x:f>IFERROR(INDEX('55_Codificacion_ensayo'!$F$5:$F$13,MATCH(B11,'55_Codificacion_ensayo'!$A$5:$A$13,0)),"")</x:f>
        <x:v>orcSucceeded</x:v>
      </x:c>
      <x:c r="Y11" s="12" t="str">
        <x:f>IFERROR(INDEX('55_Codificacion_ensayo'!$G$5:$G$13,MATCH(B11,'55_Codificacion_ensayo'!$A$5:$A$13,0)),"")</x:f>
      </x:c>
      <x:c r="Z11" s="12" t="str">
        <x:f>IFERROR(INDEX('55_Codificacion_ensayo'!$H$5:$H$13,MATCH(B11,'55_Codificacion_ensayo'!$A$5:$A$13,0)),"")</x:f>
        <x:v>orcFailed</x:v>
      </x:c>
      <x:c r="AA11" s="12" t="str">
        <x:f>IFERROR(INDEX('55_Codificacion_ensayo'!$I$5:$I$13,MATCH(B11,'55_Codificacion_ensayo'!$A$5:$A$13,0)),"")</x:f>
        <x:v>EXITO_COMUNICADO</x:v>
      </x:c>
      <x:c r="AB11" s="12" t="str">
        <x:f>IFERROR(INDEX('55_Codificacion_ensayo'!$J$5:$J$13,MATCH(B11,'55_Codificacion_ensayo'!$A$5:$A$13,0)),"")</x:f>
        <x:v>NO_EXITO_PLENO</x:v>
      </x:c>
    </x:row>
    <x:row r="12" ht="47" customHeight="1">
      <x:c r="A12" s="4" t="str">
        <x:v>L10-02-08</x:v>
      </x:c>
      <x:c r="B12" s="4" t="str">
        <x:v>PAR-CYB-INSTALACION-EXITO-COMUNICADO-001</x:v>
      </x:c>
      <x:c r="C12" s="4" t="str">
        <x:v>OTRO_PERFIL</x:v>
      </x:c>
      <x:c r="D12" s="4" t="str">
        <x:v>COINCIDE</x:v>
      </x:c>
      <x:c r="E12" s="4" t="str">
        <x:v>LEGIBLE</x:v>
      </x:c>
      <x:c r="F12" s="4" t="str">
        <x:v>RESULTADO_WUA_INDIVIDUAL</x:v>
      </x:c>
      <x:c r="G12" s="4" t="str">
        <x:v>UNICA</x:v>
      </x:c>
      <x:c r="H12" s="4" t="str">
        <x:v>orcSucceeded</x:v>
      </x:c>
      <x:c r="I12" s="4" t="str"/>
      <x:c r="J12" s="4" t="str">
        <x:v>COMPLETA</x:v>
      </x:c>
      <x:c r="K12" s="4" t="str">
        <x:v>INSTALAR_INDIVIDUAL</x:v>
      </x:c>
      <x:c r="L12" s="4" t="str">
        <x:v>FUERA_PERFIL</x:v>
      </x:c>
      <x:c r="M12" s="4" t="str"/>
      <x:c r="N12" s="4" t="str">
        <x:v>PERFIL_NO_CONSTITUIDO</x:v>
      </x:c>
      <x:c r="O12" s="12" t="str">
        <x:f>IF(Q12="SIN_EJECUCION_DOMINIO","FALLO_CAPTURA",IF(OR(Q12="CAPTURA_MAL_FORMADA",Q12="IDENTIDAD",Q12="OBSERVACION_MAL_FORMADA",Q12="LEXEMA_O_FORMA"),"NO_ADMISION",IF(OR(Q12="PERFIL_NO_CONSTITUIDO",Q12="RESULTADO_NO_TERMINAL"),"FUERA_PERFIL",IF(Q12="CONTEXTO_NO_CONSTITUIDO","CONFIGURACION_PENDIENTE","VALIDA"))))</x:f>
        <x:v>FUERA_PERFIL</x:v>
      </x:c>
      <x:c r="P12" s="12" t="str">
        <x:f>IF(O12&lt;&gt;"VALIDA","",IF(Q12=AA12,"1",IF(Q12=AB12,"0","U")))</x:f>
      </x:c>
      <x:c r="Q12" s="12" t="str">
        <x:f>IF(E12="FALLO","SIN_EJECUCION_DOMINIO",IF(E12&lt;&gt;"LEGIBLE","CAPTURA_MAL_FORMADA",IF(D12&lt;&gt;"COINCIDE","IDENTIDAD",IF(OR(T12="",C12&lt;&gt;T12),"PERFIL_NO_CONSTITUIDO",IF(K12&lt;&gt;V12,IF(V12="ORDEN_ACREDITADO","ORDEN_NO_ACREDITADO","CONTEXTO_NO_CONSTITUIDO"),IF(AND(G12="AUSENTE",H12="",I12=""),"DATO_AUSENTE",IF(AND(G12="CONFLICTO",H12="",I12=""),"CONFLICTO_OBSERVACIONAL",IF(G12&lt;&gt;"UNICA","OBSERVACION_MAL_FORMADA",IF(F12&lt;&gt;U12,"OBSERVACION_INSUFICIENTE",IF(W12="RESULTADO",IF(H12=X12,AA12,IF(OR(H12="orcSucceededWithErrors",H12="orcFailed",H12="orcAborted"),AB12,IF(OR(H12="orcNotStarted",H12="orcInProgress"),"RESULTADO_NO_TERMINAL","LEXEMA_O_FORMA"))),IF(W12="EVENTO_BOOT",IF(H12=X12,AA12,IF(OR(H12="NINGUNO",H12="SOLO_HIBRIDO"),IF(J12="COMPLETA",AB12,"COBERTURA_INSUFICIENTE"),"LEXEMA_O_FORMA")),IF(W12="REQUISITO_SOFT",IF(H12=X12,AA12,IF(H12=Z12,AB12,"LEXEMA_O_FORMA")),IF(W12="EVENTO_PROC",IF(H12=X12,AA12,IF(H12=Z12,IF(J12="COMPLETA",AB12,"COBERTURA_INSUFICIENTE"),"LEXEMA_O_FORMA")),IF(W12="IMAGEN",IF(AND(AND(ISTEXT(H12),LEN(("x"&amp;H12))=65,EXACT(("x"&amp;H12),LOWER(("x"&amp;H12))),ISERROR(SEARCH(" ",("x"&amp;H12))),ISERROR(SEARCH(CHAR(9),("x"&amp;H12))),ISERROR(SEARCH(CHAR(10),("x"&amp;H12))),ISERROR(SEARCH(CHAR(13),("x"&amp;H12))),IFERROR(HEX2DEC(MID(("x"&amp;H12),2,8))&gt;=0,FALSE),IFERROR(HEX2DEC(MID(("x"&amp;H12),10,8))&gt;=0,FALSE),IFERROR(HEX2DEC(MID(("x"&amp;H12),18,8))&gt;=0,FALSE),IFERROR(HEX2DEC(MID(("x"&amp;H12),26,8))&gt;=0,FALSE),IFERROR(HEX2DEC(MID(("x"&amp;H12),34,8))&gt;=0,FALSE),IFERROR(HEX2DEC(MID(("x"&amp;H12),42,8))&gt;=0,FALSE),IFERROR(HEX2DEC(MID(("x"&amp;H12),50,8))&gt;=0,FALSE),IFERROR(HEX2DEC(MID(("x"&amp;H12),58,8))&gt;=0,FALSE)),AND(ISTEXT(I12),LEN(("x"&amp;I12))=65,EXACT(("x"&amp;I12),LOWER(("x"&amp;I12))),ISERROR(SEARCH(" ",("x"&amp;I12))),ISERROR(SEARCH(CHAR(9),("x"&amp;I12))),ISERROR(SEARCH(CHAR(10),("x"&amp;I12))),ISERROR(SEARCH(CHAR(13),("x"&amp;I12))),IFERROR(HEX2DEC(MID(("x"&amp;I12),2,8))&gt;=0,FALSE),IFERROR(HEX2DEC(MID(("x"&amp;I12),10,8))&gt;=0,FALSE),IFERROR(HEX2DEC(MID(("x"&amp;I12),18,8))&gt;=0,FALSE),IFERROR(HEX2DEC(MID(("x"&amp;I12),26,8))&gt;=0,FALSE),IFERROR(HEX2DEC(MID(("x"&amp;I12),34,8))&gt;=0,FALSE),IFERROR(HEX2DEC(MID(("x"&amp;I12),42,8))&gt;=0,FALSE),IFERROR(HEX2DEC(MID(("x"&amp;I12),50,8))&gt;=0,FALSE),IFERROR(HEX2DEC(MID(("x"&amp;I12),58,8))&gt;=0,FALSE))),IF(EXACT("x"&amp;H12,"x"&amp;I12),AA12,AB12),"LEXEMA_O_FORMA"),IF(W12="PRUEBA",IF(H12=X12,AA12,IF(H12=Z12,AB12,"LEXEMA_O_FORMA")),IF(W12="RETIRADA",IF(AND(H12="NINGUNO",I12=""),IF(J12="COMPLETA",AB12,"COBERTURA_INSUFICIENTE"),IF(AND(OR(H12="uoInstallation",H12="uoUninstallation"),OR(I12="orcSucceeded",I12="orcSucceededWithErrors",I12="orcFailed",I12="orcAborted",I12="orcInProgress",I12="orcNotStarted")),IF(AND(H12=X12,I12=Y12),AA12,IF(AND(H12=X12,OR(I12="orcSucceededWithErrors",I12="orcInProgress",I12="orcNotStarted")),"RESULTADO_RETIRADA_INCIERTO",IF(J12="COMPLETA",AB12,"COBERTURA_INSUFICIENTE"))),"LEXEMA_O_FORMA")),IF(W12="CAMBIO",IF(OR(H12="CAMBIO",H12="CAMBIO_Y_RETORNO"),AA12,IF(OR(H12="NINGUNO",H12="SOLO_RENOMBRE"),IF(J12="COMPLETA",AB12,"COBERTURA_INSUFICIENTE"),"LEXEMA_O_FORMA")),IF(W12="RESTAURACION",IF(H12=X12,AA12,IF(OR(H12="NINGUNO",H12="RESTAURACION_POSTERIOR",H12="RESTAURACION_FALLIDA"),IF(J12="COMPLETA",AB12,"COBERTURA_INSUFICIENTE"),"LEXEMA_O_FORMA")),"PERFIL_NO_CONSTITUIDO"))))))))))))))))))</x:f>
        <x:v>PERFIL_NO_CONSTITUIDO</x:v>
      </x:c>
      <x:c r="R12" s="12" t="str">
        <x:f>IF(AND(L12=O12,M12=P12,N12=Q12),"PASA","NO_PASA")</x:f>
        <x:v>PASA</x:v>
      </x:c>
      <x:c r="S12" s="4" t="str">
        <x:v>Perfil de otro producto no se normaliza por analogía.</x:v>
      </x:c>
      <x:c r="T12" s="12" t="str">
        <x:f>IFERROR(INDEX('55_Codificacion_ensayo'!$B$5:$B$13,MATCH(B12,'55_Codificacion_ensayo'!$A$5:$A$13,0)),"")</x:f>
        <x:v>WUA-RESULTADO-INDIVIDUAL-0.1</x:v>
      </x:c>
      <x:c r="U12" s="12" t="str">
        <x:f>IFERROR(INDEX('55_Codificacion_ensayo'!$C$5:$C$13,MATCH(B12,'55_Codificacion_ensayo'!$A$5:$A$13,0)),"")</x:f>
        <x:v>RESULTADO_WUA_INDIVIDUAL</x:v>
      </x:c>
      <x:c r="V12" s="12" t="str">
        <x:f>IFERROR(INDEX('55_Codificacion_ensayo'!$D$5:$D$13,MATCH(B12,'55_Codificacion_ensayo'!$A$5:$A$13,0)),"")</x:f>
        <x:v>INSTALAR_INDIVIDUAL</x:v>
      </x:c>
      <x:c r="W12" s="12" t="str">
        <x:f>IFERROR(INDEX('55_Codificacion_ensayo'!$E$5:$E$13,MATCH(B12,'55_Codificacion_ensayo'!$A$5:$A$13,0)),"")</x:f>
        <x:v>RESULTADO</x:v>
      </x:c>
      <x:c r="X12" s="12" t="str">
        <x:f>IFERROR(INDEX('55_Codificacion_ensayo'!$F$5:$F$13,MATCH(B12,'55_Codificacion_ensayo'!$A$5:$A$13,0)),"")</x:f>
        <x:v>orcSucceeded</x:v>
      </x:c>
      <x:c r="Y12" s="12" t="str">
        <x:f>IFERROR(INDEX('55_Codificacion_ensayo'!$G$5:$G$13,MATCH(B12,'55_Codificacion_ensayo'!$A$5:$A$13,0)),"")</x:f>
      </x:c>
      <x:c r="Z12" s="12" t="str">
        <x:f>IFERROR(INDEX('55_Codificacion_ensayo'!$H$5:$H$13,MATCH(B12,'55_Codificacion_ensayo'!$A$5:$A$13,0)),"")</x:f>
        <x:v>orcFailed</x:v>
      </x:c>
      <x:c r="AA12" s="12" t="str">
        <x:f>IFERROR(INDEX('55_Codificacion_ensayo'!$I$5:$I$13,MATCH(B12,'55_Codificacion_ensayo'!$A$5:$A$13,0)),"")</x:f>
        <x:v>EXITO_COMUNICADO</x:v>
      </x:c>
      <x:c r="AB12" s="12" t="str">
        <x:f>IFERROR(INDEX('55_Codificacion_ensayo'!$J$5:$J$13,MATCH(B12,'55_Codificacion_ensayo'!$A$5:$A$13,0)),"")</x:f>
        <x:v>NO_EXITO_PLENO</x:v>
      </x:c>
    </x:row>
    <x:row r="13" ht="47" customHeight="1">
      <x:c r="A13" s="4" t="str">
        <x:v>L10-02-09</x:v>
      </x:c>
      <x:c r="B13" s="4" t="str">
        <x:v>PAR-CYB-INSTALACION-EXITO-COMUNICADO-001</x:v>
      </x:c>
      <x:c r="C13" s="4" t="str">
        <x:v>WUA-RESULTADO-INDIVIDUAL-0.1</x:v>
      </x:c>
      <x:c r="D13" s="4" t="str">
        <x:v>COINCIDE</x:v>
      </x:c>
      <x:c r="E13" s="4" t="str">
        <x:v>LEGIBLE</x:v>
      </x:c>
      <x:c r="F13" s="4" t="str">
        <x:v>RESULTADO_WUA_INDIVIDUAL</x:v>
      </x:c>
      <x:c r="G13" s="4" t="str">
        <x:v>UNICA</x:v>
      </x:c>
      <x:c r="H13" s="4" t="str">
        <x:v>true false desconocido</x:v>
      </x:c>
      <x:c r="I13" s="4" t="str"/>
      <x:c r="J13" s="4" t="str">
        <x:v>COMPLETA</x:v>
      </x:c>
      <x:c r="K13" s="4" t="str">
        <x:v>INSTALAR_INDIVIDUAL</x:v>
      </x:c>
      <x:c r="L13" s="4" t="str">
        <x:v>NO_ADMISION</x:v>
      </x:c>
      <x:c r="M13" s="4" t="str"/>
      <x:c r="N13" s="4" t="str">
        <x:v>LEXEMA_O_FORMA</x:v>
      </x:c>
      <x:c r="O13" s="12" t="str">
        <x:f>IF(Q13="SIN_EJECUCION_DOMINIO","FALLO_CAPTURA",IF(OR(Q13="CAPTURA_MAL_FORMADA",Q13="IDENTIDAD",Q13="OBSERVACION_MAL_FORMADA",Q13="LEXEMA_O_FORMA"),"NO_ADMISION",IF(OR(Q13="PERFIL_NO_CONSTITUIDO",Q13="RESULTADO_NO_TERMINAL"),"FUERA_PERFIL",IF(Q13="CONTEXTO_NO_CONSTITUIDO","CONFIGURACION_PENDIENTE","VALIDA"))))</x:f>
        <x:v>NO_ADMISION</x:v>
      </x:c>
      <x:c r="P13" s="12" t="str">
        <x:f>IF(O13&lt;&gt;"VALIDA","",IF(Q13=AA13,"1",IF(Q13=AB13,"0","U")))</x:f>
      </x:c>
      <x:c r="Q13" s="12" t="str">
        <x:f>IF(E13="FALLO","SIN_EJECUCION_DOMINIO",IF(E13&lt;&gt;"LEGIBLE","CAPTURA_MAL_FORMADA",IF(D13&lt;&gt;"COINCIDE","IDENTIDAD",IF(OR(T13="",C13&lt;&gt;T13),"PERFIL_NO_CONSTITUIDO",IF(K13&lt;&gt;V13,IF(V13="ORDEN_ACREDITADO","ORDEN_NO_ACREDITADO","CONTEXTO_NO_CONSTITUIDO"),IF(AND(G13="AUSENTE",H13="",I13=""),"DATO_AUSENTE",IF(AND(G13="CONFLICTO",H13="",I13=""),"CONFLICTO_OBSERVACIONAL",IF(G13&lt;&gt;"UNICA","OBSERVACION_MAL_FORMADA",IF(F13&lt;&gt;U13,"OBSERVACION_INSUFICIENTE",IF(W13="RESULTADO",IF(H13=X13,AA13,IF(OR(H13="orcSucceededWithErrors",H13="orcFailed",H13="orcAborted"),AB13,IF(OR(H13="orcNotStarted",H13="orcInProgress"),"RESULTADO_NO_TERMINAL","LEXEMA_O_FORMA"))),IF(W13="EVENTO_BOOT",IF(H13=X13,AA13,IF(OR(H13="NINGUNO",H13="SOLO_HIBRIDO"),IF(J13="COMPLETA",AB13,"COBERTURA_INSUFICIENTE"),"LEXEMA_O_FORMA")),IF(W13="REQUISITO_SOFT",IF(H13=X13,AA13,IF(H13=Z13,AB13,"LEXEMA_O_FORMA")),IF(W13="EVENTO_PROC",IF(H13=X13,AA13,IF(H13=Z13,IF(J13="COMPLETA",AB13,"COBERTURA_INSUFICIENTE"),"LEXEMA_O_FORMA")),IF(W13="IMAGEN",IF(AND(AND(ISTEXT(H13),LEN(("x"&amp;H13))=65,EXACT(("x"&amp;H13),LOWER(("x"&amp;H13))),ISERROR(SEARCH(" ",("x"&amp;H13))),ISERROR(SEARCH(CHAR(9),("x"&amp;H13))),ISERROR(SEARCH(CHAR(10),("x"&amp;H13))),ISERROR(SEARCH(CHAR(13),("x"&amp;H13))),IFERROR(HEX2DEC(MID(("x"&amp;H13),2,8))&gt;=0,FALSE),IFERROR(HEX2DEC(MID(("x"&amp;H13),10,8))&gt;=0,FALSE),IFERROR(HEX2DEC(MID(("x"&amp;H13),18,8))&gt;=0,FALSE),IFERROR(HEX2DEC(MID(("x"&amp;H13),26,8))&gt;=0,FALSE),IFERROR(HEX2DEC(MID(("x"&amp;H13),34,8))&gt;=0,FALSE),IFERROR(HEX2DEC(MID(("x"&amp;H13),42,8))&gt;=0,FALSE),IFERROR(HEX2DEC(MID(("x"&amp;H13),50,8))&gt;=0,FALSE),IFERROR(HEX2DEC(MID(("x"&amp;H13),58,8))&gt;=0,FALSE)),AND(ISTEXT(I13),LEN(("x"&amp;I13))=65,EXACT(("x"&amp;I13),LOWER(("x"&amp;I13))),ISERROR(SEARCH(" ",("x"&amp;I13))),ISERROR(SEARCH(CHAR(9),("x"&amp;I13))),ISERROR(SEARCH(CHAR(10),("x"&amp;I13))),ISERROR(SEARCH(CHAR(13),("x"&amp;I13))),IFERROR(HEX2DEC(MID(("x"&amp;I13),2,8))&gt;=0,FALSE),IFERROR(HEX2DEC(MID(("x"&amp;I13),10,8))&gt;=0,FALSE),IFERROR(HEX2DEC(MID(("x"&amp;I13),18,8))&gt;=0,FALSE),IFERROR(HEX2DEC(MID(("x"&amp;I13),26,8))&gt;=0,FALSE),IFERROR(HEX2DEC(MID(("x"&amp;I13),34,8))&gt;=0,FALSE),IFERROR(HEX2DEC(MID(("x"&amp;I13),42,8))&gt;=0,FALSE),IFERROR(HEX2DEC(MID(("x"&amp;I13),50,8))&gt;=0,FALSE),IFERROR(HEX2DEC(MID(("x"&amp;I13),58,8))&gt;=0,FALSE))),IF(EXACT("x"&amp;H13,"x"&amp;I13),AA13,AB13),"LEXEMA_O_FORMA"),IF(W13="PRUEBA",IF(H13=X13,AA13,IF(H13=Z13,AB13,"LEXEMA_O_FORMA")),IF(W13="RETIRADA",IF(AND(H13="NINGUNO",I13=""),IF(J13="COMPLETA",AB13,"COBERTURA_INSUFICIENTE"),IF(AND(OR(H13="uoInstallation",H13="uoUninstallation"),OR(I13="orcSucceeded",I13="orcSucceededWithErrors",I13="orcFailed",I13="orcAborted",I13="orcInProgress",I13="orcNotStarted")),IF(AND(H13=X13,I13=Y13),AA13,IF(AND(H13=X13,OR(I13="orcSucceededWithErrors",I13="orcInProgress",I13="orcNotStarted")),"RESULTADO_RETIRADA_INCIERTO",IF(J13="COMPLETA",AB13,"COBERTURA_INSUFICIENTE"))),"LEXEMA_O_FORMA")),IF(W13="CAMBIO",IF(OR(H13="CAMBIO",H13="CAMBIO_Y_RETORNO"),AA13,IF(OR(H13="NINGUNO",H13="SOLO_RENOMBRE"),IF(J13="COMPLETA",AB13,"COBERTURA_INSUFICIENTE"),"LEXEMA_O_FORMA")),IF(W13="RESTAURACION",IF(H13=X13,AA13,IF(OR(H13="NINGUNO",H13="RESTAURACION_POSTERIOR",H13="RESTAURACION_FALLIDA"),IF(J13="COMPLETA",AB13,"COBERTURA_INSUFICIENTE"),"LEXEMA_O_FORMA")),"PERFIL_NO_CONSTITUIDO"))))))))))))))))))</x:f>
        <x:v>LEXEMA_O_FORMA</x:v>
      </x:c>
      <x:c r="R13" s="12" t="str">
        <x:f>IF(AND(L13=O13,M13=P13,N13=Q13),"PASA","NO_PASA")</x:f>
        <x:v>PASA</x:v>
      </x:c>
      <x:c r="S13" s="4" t="str">
        <x:v>La observación usa un lexema ajeno al contrato.</x:v>
      </x:c>
      <x:c r="T13" s="12" t="str">
        <x:f>IFERROR(INDEX('55_Codificacion_ensayo'!$B$5:$B$13,MATCH(B13,'55_Codificacion_ensayo'!$A$5:$A$13,0)),"")</x:f>
        <x:v>WUA-RESULTADO-INDIVIDUAL-0.1</x:v>
      </x:c>
      <x:c r="U13" s="12" t="str">
        <x:f>IFERROR(INDEX('55_Codificacion_ensayo'!$C$5:$C$13,MATCH(B13,'55_Codificacion_ensayo'!$A$5:$A$13,0)),"")</x:f>
        <x:v>RESULTADO_WUA_INDIVIDUAL</x:v>
      </x:c>
      <x:c r="V13" s="12" t="str">
        <x:f>IFERROR(INDEX('55_Codificacion_ensayo'!$D$5:$D$13,MATCH(B13,'55_Codificacion_ensayo'!$A$5:$A$13,0)),"")</x:f>
        <x:v>INSTALAR_INDIVIDUAL</x:v>
      </x:c>
      <x:c r="W13" s="12" t="str">
        <x:f>IFERROR(INDEX('55_Codificacion_ensayo'!$E$5:$E$13,MATCH(B13,'55_Codificacion_ensayo'!$A$5:$A$13,0)),"")</x:f>
        <x:v>RESULTADO</x:v>
      </x:c>
      <x:c r="X13" s="12" t="str">
        <x:f>IFERROR(INDEX('55_Codificacion_ensayo'!$F$5:$F$13,MATCH(B13,'55_Codificacion_ensayo'!$A$5:$A$13,0)),"")</x:f>
        <x:v>orcSucceeded</x:v>
      </x:c>
      <x:c r="Y13" s="12" t="str">
        <x:f>IFERROR(INDEX('55_Codificacion_ensayo'!$G$5:$G$13,MATCH(B13,'55_Codificacion_ensayo'!$A$5:$A$13,0)),"")</x:f>
      </x:c>
      <x:c r="Z13" s="12" t="str">
        <x:f>IFERROR(INDEX('55_Codificacion_ensayo'!$H$5:$H$13,MATCH(B13,'55_Codificacion_ensayo'!$A$5:$A$13,0)),"")</x:f>
        <x:v>orcFailed</x:v>
      </x:c>
      <x:c r="AA13" s="12" t="str">
        <x:f>IFERROR(INDEX('55_Codificacion_ensayo'!$I$5:$I$13,MATCH(B13,'55_Codificacion_ensayo'!$A$5:$A$13,0)),"")</x:f>
        <x:v>EXITO_COMUNICADO</x:v>
      </x:c>
      <x:c r="AB13" s="12" t="str">
        <x:f>IFERROR(INDEX('55_Codificacion_ensayo'!$J$5:$J$13,MATCH(B13,'55_Codificacion_ensayo'!$A$5:$A$13,0)),"")</x:f>
        <x:v>NO_EXITO_PLENO</x:v>
      </x:c>
    </x:row>
    <x:row r="14" ht="47" customHeight="1">
      <x:c r="A14" s="4" t="str">
        <x:v>L10-02-10</x:v>
      </x:c>
      <x:c r="B14" s="4" t="str">
        <x:v>PAR-CYB-INSTALACION-EXITO-COMUNICADO-001</x:v>
      </x:c>
      <x:c r="C14" s="4" t="str">
        <x:v>WUA-RESULTADO-INDIVIDUAL-0.1</x:v>
      </x:c>
      <x:c r="D14" s="4" t="str">
        <x:v>COINCIDE</x:v>
      </x:c>
      <x:c r="E14" s="4" t="str">
        <x:v>LEGIBLE</x:v>
      </x:c>
      <x:c r="F14" s="4" t="str">
        <x:v>RESULTADO_WUA_INDIVIDUAL</x:v>
      </x:c>
      <x:c r="G14" s="4" t="str">
        <x:v>UNICA</x:v>
      </x:c>
      <x:c r="H14" s="4" t="str">
        <x:v>orcSucceeded</x:v>
      </x:c>
      <x:c r="I14" s="4" t="str"/>
      <x:c r="J14" s="4" t="str">
        <x:v>COMPLETA</x:v>
      </x:c>
      <x:c r="K14" s="4" t="str">
        <x:v>PENDIENTE</x:v>
      </x:c>
      <x:c r="L14" s="4" t="str">
        <x:v>CONFIGURACION_PENDIENTE</x:v>
      </x:c>
      <x:c r="M14" s="4" t="str"/>
      <x:c r="N14" s="4" t="str">
        <x:v>CONTEXTO_NO_CONSTITUIDO</x:v>
      </x:c>
      <x:c r="O14" s="12" t="str">
        <x:f>IF(Q14="SIN_EJECUCION_DOMINIO","FALLO_CAPTURA",IF(OR(Q14="CAPTURA_MAL_FORMADA",Q14="IDENTIDAD",Q14="OBSERVACION_MAL_FORMADA",Q14="LEXEMA_O_FORMA"),"NO_ADMISION",IF(OR(Q14="PERFIL_NO_CONSTITUIDO",Q14="RESULTADO_NO_TERMINAL"),"FUERA_PERFIL",IF(Q14="CONTEXTO_NO_CONSTITUIDO","CONFIGURACION_PENDIENTE","VALIDA"))))</x:f>
        <x:v>CONFIGURACION_PENDIENTE</x:v>
      </x:c>
      <x:c r="P14" s="12" t="str">
        <x:f>IF(O14&lt;&gt;"VALIDA","",IF(Q14=AA14,"1",IF(Q14=AB14,"0","U")))</x:f>
      </x:c>
      <x:c r="Q14" s="12" t="str">
        <x:f>IF(E14="FALLO","SIN_EJECUCION_DOMINIO",IF(E14&lt;&gt;"LEGIBLE","CAPTURA_MAL_FORMADA",IF(D14&lt;&gt;"COINCIDE","IDENTIDAD",IF(OR(T14="",C14&lt;&gt;T14),"PERFIL_NO_CONSTITUIDO",IF(K14&lt;&gt;V14,IF(V14="ORDEN_ACREDITADO","ORDEN_NO_ACREDITADO","CONTEXTO_NO_CONSTITUIDO"),IF(AND(G14="AUSENTE",H14="",I14=""),"DATO_AUSENTE",IF(AND(G14="CONFLICTO",H14="",I14=""),"CONFLICTO_OBSERVACIONAL",IF(G14&lt;&gt;"UNICA","OBSERVACION_MAL_FORMADA",IF(F14&lt;&gt;U14,"OBSERVACION_INSUFICIENTE",IF(W14="RESULTADO",IF(H14=X14,AA14,IF(OR(H14="orcSucceededWithErrors",H14="orcFailed",H14="orcAborted"),AB14,IF(OR(H14="orcNotStarted",H14="orcInProgress"),"RESULTADO_NO_TERMINAL","LEXEMA_O_FORMA"))),IF(W14="EVENTO_BOOT",IF(H14=X14,AA14,IF(OR(H14="NINGUNO",H14="SOLO_HIBRIDO"),IF(J14="COMPLETA",AB14,"COBERTURA_INSUFICIENTE"),"LEXEMA_O_FORMA")),IF(W14="REQUISITO_SOFT",IF(H14=X14,AA14,IF(H14=Z14,AB14,"LEXEMA_O_FORMA")),IF(W14="EVENTO_PROC",IF(H14=X14,AA14,IF(H14=Z14,IF(J14="COMPLETA",AB14,"COBERTURA_INSUFICIENTE"),"LEXEMA_O_FORMA")),IF(W14="IMAGEN",IF(AND(AND(ISTEXT(H14),LEN(("x"&amp;H14))=65,EXACT(("x"&amp;H14),LOWER(("x"&amp;H14))),ISERROR(SEARCH(" ",("x"&amp;H14))),ISERROR(SEARCH(CHAR(9),("x"&amp;H14))),ISERROR(SEARCH(CHAR(10),("x"&amp;H14))),ISERROR(SEARCH(CHAR(13),("x"&amp;H14))),IFERROR(HEX2DEC(MID(("x"&amp;H14),2,8))&gt;=0,FALSE),IFERROR(HEX2DEC(MID(("x"&amp;H14),10,8))&gt;=0,FALSE),IFERROR(HEX2DEC(MID(("x"&amp;H14),18,8))&gt;=0,FALSE),IFERROR(HEX2DEC(MID(("x"&amp;H14),26,8))&gt;=0,FALSE),IFERROR(HEX2DEC(MID(("x"&amp;H14),34,8))&gt;=0,FALSE),IFERROR(HEX2DEC(MID(("x"&amp;H14),42,8))&gt;=0,FALSE),IFERROR(HEX2DEC(MID(("x"&amp;H14),50,8))&gt;=0,FALSE),IFERROR(HEX2DEC(MID(("x"&amp;H14),58,8))&gt;=0,FALSE)),AND(ISTEXT(I14),LEN(("x"&amp;I14))=65,EXACT(("x"&amp;I14),LOWER(("x"&amp;I14))),ISERROR(SEARCH(" ",("x"&amp;I14))),ISERROR(SEARCH(CHAR(9),("x"&amp;I14))),ISERROR(SEARCH(CHAR(10),("x"&amp;I14))),ISERROR(SEARCH(CHAR(13),("x"&amp;I14))),IFERROR(HEX2DEC(MID(("x"&amp;I14),2,8))&gt;=0,FALSE),IFERROR(HEX2DEC(MID(("x"&amp;I14),10,8))&gt;=0,FALSE),IFERROR(HEX2DEC(MID(("x"&amp;I14),18,8))&gt;=0,FALSE),IFERROR(HEX2DEC(MID(("x"&amp;I14),26,8))&gt;=0,FALSE),IFERROR(HEX2DEC(MID(("x"&amp;I14),34,8))&gt;=0,FALSE),IFERROR(HEX2DEC(MID(("x"&amp;I14),42,8))&gt;=0,FALSE),IFERROR(HEX2DEC(MID(("x"&amp;I14),50,8))&gt;=0,FALSE),IFERROR(HEX2DEC(MID(("x"&amp;I14),58,8))&gt;=0,FALSE))),IF(EXACT("x"&amp;H14,"x"&amp;I14),AA14,AB14),"LEXEMA_O_FORMA"),IF(W14="PRUEBA",IF(H14=X14,AA14,IF(H14=Z14,AB14,"LEXEMA_O_FORMA")),IF(W14="RETIRADA",IF(AND(H14="NINGUNO",I14=""),IF(J14="COMPLETA",AB14,"COBERTURA_INSUFICIENTE"),IF(AND(OR(H14="uoInstallation",H14="uoUninstallation"),OR(I14="orcSucceeded",I14="orcSucceededWithErrors",I14="orcFailed",I14="orcAborted",I14="orcInProgress",I14="orcNotStarted")),IF(AND(H14=X14,I14=Y14),AA14,IF(AND(H14=X14,OR(I14="orcSucceededWithErrors",I14="orcInProgress",I14="orcNotStarted")),"RESULTADO_RETIRADA_INCIERTO",IF(J14="COMPLETA",AB14,"COBERTURA_INSUFICIENTE"))),"LEXEMA_O_FORMA")),IF(W14="CAMBIO",IF(OR(H14="CAMBIO",H14="CAMBIO_Y_RETORNO"),AA14,IF(OR(H14="NINGUNO",H14="SOLO_RENOMBRE"),IF(J14="COMPLETA",AB14,"COBERTURA_INSUFICIENTE"),"LEXEMA_O_FORMA")),IF(W14="RESTAURACION",IF(H14=X14,AA14,IF(OR(H14="NINGUNO",H14="RESTAURACION_POSTERIOR",H14="RESTAURACION_FALLIDA"),IF(J14="COMPLETA",AB14,"COBERTURA_INSUFICIENTE"),"LEXEMA_O_FORMA")),"PERFIL_NO_CONSTITUIDO"))))))))))))))))))</x:f>
        <x:v>CONTEXTO_NO_CONSTITUIDO</x:v>
      </x:c>
      <x:c r="R14" s="12" t="str">
        <x:f>IF(AND(L14=O14,M14=P14,N14=Q14),"PASA","NO_PASA")</x:f>
        <x:v>PASA</x:v>
      </x:c>
      <x:c r="S14" s="4" t="str">
        <x:v>Falta el contexto profesional que fija qué se está evaluando.</x:v>
      </x:c>
      <x:c r="T14" s="12" t="str">
        <x:f>IFERROR(INDEX('55_Codificacion_ensayo'!$B$5:$B$13,MATCH(B14,'55_Codificacion_ensayo'!$A$5:$A$13,0)),"")</x:f>
        <x:v>WUA-RESULTADO-INDIVIDUAL-0.1</x:v>
      </x:c>
      <x:c r="U14" s="12" t="str">
        <x:f>IFERROR(INDEX('55_Codificacion_ensayo'!$C$5:$C$13,MATCH(B14,'55_Codificacion_ensayo'!$A$5:$A$13,0)),"")</x:f>
        <x:v>RESULTADO_WUA_INDIVIDUAL</x:v>
      </x:c>
      <x:c r="V14" s="12" t="str">
        <x:f>IFERROR(INDEX('55_Codificacion_ensayo'!$D$5:$D$13,MATCH(B14,'55_Codificacion_ensayo'!$A$5:$A$13,0)),"")</x:f>
        <x:v>INSTALAR_INDIVIDUAL</x:v>
      </x:c>
      <x:c r="W14" s="12" t="str">
        <x:f>IFERROR(INDEX('55_Codificacion_ensayo'!$E$5:$E$13,MATCH(B14,'55_Codificacion_ensayo'!$A$5:$A$13,0)),"")</x:f>
        <x:v>RESULTADO</x:v>
      </x:c>
      <x:c r="X14" s="12" t="str">
        <x:f>IFERROR(INDEX('55_Codificacion_ensayo'!$F$5:$F$13,MATCH(B14,'55_Codificacion_ensayo'!$A$5:$A$13,0)),"")</x:f>
        <x:v>orcSucceeded</x:v>
      </x:c>
      <x:c r="Y14" s="12" t="str">
        <x:f>IFERROR(INDEX('55_Codificacion_ensayo'!$G$5:$G$13,MATCH(B14,'55_Codificacion_ensayo'!$A$5:$A$13,0)),"")</x:f>
      </x:c>
      <x:c r="Z14" s="12" t="str">
        <x:f>IFERROR(INDEX('55_Codificacion_ensayo'!$H$5:$H$13,MATCH(B14,'55_Codificacion_ensayo'!$A$5:$A$13,0)),"")</x:f>
        <x:v>orcFailed</x:v>
      </x:c>
      <x:c r="AA14" s="12" t="str">
        <x:f>IFERROR(INDEX('55_Codificacion_ensayo'!$I$5:$I$13,MATCH(B14,'55_Codificacion_ensayo'!$A$5:$A$13,0)),"")</x:f>
        <x:v>EXITO_COMUNICADO</x:v>
      </x:c>
      <x:c r="AB14" s="12" t="str">
        <x:f>IFERROR(INDEX('55_Codificacion_ensayo'!$J$5:$J$13,MATCH(B14,'55_Codificacion_ensayo'!$A$5:$A$13,0)),"")</x:f>
        <x:v>NO_EXITO_PLENO</x:v>
      </x:c>
    </x:row>
    <x:row r="15" ht="47" customHeight="1">
      <x:c r="A15" s="4" t="str">
        <x:v>L10-02-11</x:v>
      </x:c>
      <x:c r="B15" s="4" t="str">
        <x:v>PAR-CYB-INSTALACION-EXITO-COMUNICADO-001</x:v>
      </x:c>
      <x:c r="C15" s="4" t="str">
        <x:v>WUA-RESULTADO-INDIVIDUAL-0.1</x:v>
      </x:c>
      <x:c r="D15" s="4" t="str">
        <x:v>COINCIDE</x:v>
      </x:c>
      <x:c r="E15" s="4" t="str">
        <x:v>LEGIBLE</x:v>
      </x:c>
      <x:c r="F15" s="4" t="str">
        <x:v>RESULTADO_WUA_INDIVIDUAL</x:v>
      </x:c>
      <x:c r="G15" s="4" t="str">
        <x:v>UNICA</x:v>
      </x:c>
      <x:c r="H15" s="4" t="str">
        <x:v>orcSucceededWithErrors</x:v>
      </x:c>
      <x:c r="I15" s="4" t="str"/>
      <x:c r="J15" s="4" t="str">
        <x:v>COMPLETA</x:v>
      </x:c>
      <x:c r="K15" s="4" t="str">
        <x:v>INSTALAR_INDIVIDUAL</x:v>
      </x:c>
      <x:c r="L15" s="4" t="str">
        <x:v>VALIDA</x:v>
      </x:c>
      <x:c r="M15" s="4" t="str">
        <x:v>0</x:v>
      </x:c>
      <x:c r="N15" s="4" t="str">
        <x:v>NO_EXITO_PLENO</x:v>
      </x:c>
      <x:c r="O15" s="12" t="str">
        <x:f>IF(Q15="SIN_EJECUCION_DOMINIO","FALLO_CAPTURA",IF(OR(Q15="CAPTURA_MAL_FORMADA",Q15="IDENTIDAD",Q15="OBSERVACION_MAL_FORMADA",Q15="LEXEMA_O_FORMA"),"NO_ADMISION",IF(OR(Q15="PERFIL_NO_CONSTITUIDO",Q15="RESULTADO_NO_TERMINAL"),"FUERA_PERFIL",IF(Q15="CONTEXTO_NO_CONSTITUIDO","CONFIGURACION_PENDIENTE","VALIDA"))))</x:f>
        <x:v>VALIDA</x:v>
      </x:c>
      <x:c r="P15" s="12" t="str">
        <x:f>IF(O15&lt;&gt;"VALIDA","",IF(Q15=AA15,"1",IF(Q15=AB15,"0","U")))</x:f>
        <x:v>0</x:v>
      </x:c>
      <x:c r="Q15" s="12" t="str">
        <x:f>IF(E15="FALLO","SIN_EJECUCION_DOMINIO",IF(E15&lt;&gt;"LEGIBLE","CAPTURA_MAL_FORMADA",IF(D15&lt;&gt;"COINCIDE","IDENTIDAD",IF(OR(T15="",C15&lt;&gt;T15),"PERFIL_NO_CONSTITUIDO",IF(K15&lt;&gt;V15,IF(V15="ORDEN_ACREDITADO","ORDEN_NO_ACREDITADO","CONTEXTO_NO_CONSTITUIDO"),IF(AND(G15="AUSENTE",H15="",I15=""),"DATO_AUSENTE",IF(AND(G15="CONFLICTO",H15="",I15=""),"CONFLICTO_OBSERVACIONAL",IF(G15&lt;&gt;"UNICA","OBSERVACION_MAL_FORMADA",IF(F15&lt;&gt;U15,"OBSERVACION_INSUFICIENTE",IF(W15="RESULTADO",IF(H15=X15,AA15,IF(OR(H15="orcSucceededWithErrors",H15="orcFailed",H15="orcAborted"),AB15,IF(OR(H15="orcNotStarted",H15="orcInProgress"),"RESULTADO_NO_TERMINAL","LEXEMA_O_FORMA"))),IF(W15="EVENTO_BOOT",IF(H15=X15,AA15,IF(OR(H15="NINGUNO",H15="SOLO_HIBRIDO"),IF(J15="COMPLETA",AB15,"COBERTURA_INSUFICIENTE"),"LEXEMA_O_FORMA")),IF(W15="REQUISITO_SOFT",IF(H15=X15,AA15,IF(H15=Z15,AB15,"LEXEMA_O_FORMA")),IF(W15="EVENTO_PROC",IF(H15=X15,AA15,IF(H15=Z15,IF(J15="COMPLETA",AB15,"COBERTURA_INSUFICIENTE"),"LEXEMA_O_FORMA")),IF(W15="IMAGEN",IF(AND(AND(ISTEXT(H15),LEN(("x"&amp;H15))=65,EXACT(("x"&amp;H15),LOWER(("x"&amp;H15))),ISERROR(SEARCH(" ",("x"&amp;H15))),ISERROR(SEARCH(CHAR(9),("x"&amp;H15))),ISERROR(SEARCH(CHAR(10),("x"&amp;H15))),ISERROR(SEARCH(CHAR(13),("x"&amp;H15))),IFERROR(HEX2DEC(MID(("x"&amp;H15),2,8))&gt;=0,FALSE),IFERROR(HEX2DEC(MID(("x"&amp;H15),10,8))&gt;=0,FALSE),IFERROR(HEX2DEC(MID(("x"&amp;H15),18,8))&gt;=0,FALSE),IFERROR(HEX2DEC(MID(("x"&amp;H15),26,8))&gt;=0,FALSE),IFERROR(HEX2DEC(MID(("x"&amp;H15),34,8))&gt;=0,FALSE),IFERROR(HEX2DEC(MID(("x"&amp;H15),42,8))&gt;=0,FALSE),IFERROR(HEX2DEC(MID(("x"&amp;H15),50,8))&gt;=0,FALSE),IFERROR(HEX2DEC(MID(("x"&amp;H15),58,8))&gt;=0,FALSE)),AND(ISTEXT(I15),LEN(("x"&amp;I15))=65,EXACT(("x"&amp;I15),LOWER(("x"&amp;I15))),ISERROR(SEARCH(" ",("x"&amp;I15))),ISERROR(SEARCH(CHAR(9),("x"&amp;I15))),ISERROR(SEARCH(CHAR(10),("x"&amp;I15))),ISERROR(SEARCH(CHAR(13),("x"&amp;I15))),IFERROR(HEX2DEC(MID(("x"&amp;I15),2,8))&gt;=0,FALSE),IFERROR(HEX2DEC(MID(("x"&amp;I15),10,8))&gt;=0,FALSE),IFERROR(HEX2DEC(MID(("x"&amp;I15),18,8))&gt;=0,FALSE),IFERROR(HEX2DEC(MID(("x"&amp;I15),26,8))&gt;=0,FALSE),IFERROR(HEX2DEC(MID(("x"&amp;I15),34,8))&gt;=0,FALSE),IFERROR(HEX2DEC(MID(("x"&amp;I15),42,8))&gt;=0,FALSE),IFERROR(HEX2DEC(MID(("x"&amp;I15),50,8))&gt;=0,FALSE),IFERROR(HEX2DEC(MID(("x"&amp;I15),58,8))&gt;=0,FALSE))),IF(EXACT("x"&amp;H15,"x"&amp;I15),AA15,AB15),"LEXEMA_O_FORMA"),IF(W15="PRUEBA",IF(H15=X15,AA15,IF(H15=Z15,AB15,"LEXEMA_O_FORMA")),IF(W15="RETIRADA",IF(AND(H15="NINGUNO",I15=""),IF(J15="COMPLETA",AB15,"COBERTURA_INSUFICIENTE"),IF(AND(OR(H15="uoInstallation",H15="uoUninstallation"),OR(I15="orcSucceeded",I15="orcSucceededWithErrors",I15="orcFailed",I15="orcAborted",I15="orcInProgress",I15="orcNotStarted")),IF(AND(H15=X15,I15=Y15),AA15,IF(AND(H15=X15,OR(I15="orcSucceededWithErrors",I15="orcInProgress",I15="orcNotStarted")),"RESULTADO_RETIRADA_INCIERTO",IF(J15="COMPLETA",AB15,"COBERTURA_INSUFICIENTE"))),"LEXEMA_O_FORMA")),IF(W15="CAMBIO",IF(OR(H15="CAMBIO",H15="CAMBIO_Y_RETORNO"),AA15,IF(OR(H15="NINGUNO",H15="SOLO_RENOMBRE"),IF(J15="COMPLETA",AB15,"COBERTURA_INSUFICIENTE"),"LEXEMA_O_FORMA")),IF(W15="RESTAURACION",IF(H15=X15,AA15,IF(OR(H15="NINGUNO",H15="RESTAURACION_POSTERIOR",H15="RESTAURACION_FALLIDA"),IF(J15="COMPLETA",AB15,"COBERTURA_INSUFICIENTE"),"LEXEMA_O_FORMA")),"PERFIL_NO_CONSTITUIDO"))))))))))))))))))</x:f>
        <x:v>NO_EXITO_PLENO</x:v>
      </x:c>
      <x:c r="R15" s="12" t="str">
        <x:f>IF(AND(L15=O15,M15=P15,N15=Q15),"PASA","NO_PASA")</x:f>
        <x:v>PASA</x:v>
      </x:c>
      <x:c r="S15" s="4" t="str">
        <x:v>Resultado terminal distinto de éxito pleno; conserva el enum original.</x:v>
      </x:c>
      <x:c r="T15" s="12" t="str">
        <x:f>IFERROR(INDEX('55_Codificacion_ensayo'!$B$5:$B$13,MATCH(B15,'55_Codificacion_ensayo'!$A$5:$A$13,0)),"")</x:f>
        <x:v>WUA-RESULTADO-INDIVIDUAL-0.1</x:v>
      </x:c>
      <x:c r="U15" s="12" t="str">
        <x:f>IFERROR(INDEX('55_Codificacion_ensayo'!$C$5:$C$13,MATCH(B15,'55_Codificacion_ensayo'!$A$5:$A$13,0)),"")</x:f>
        <x:v>RESULTADO_WUA_INDIVIDUAL</x:v>
      </x:c>
      <x:c r="V15" s="12" t="str">
        <x:f>IFERROR(INDEX('55_Codificacion_ensayo'!$D$5:$D$13,MATCH(B15,'55_Codificacion_ensayo'!$A$5:$A$13,0)),"")</x:f>
        <x:v>INSTALAR_INDIVIDUAL</x:v>
      </x:c>
      <x:c r="W15" s="12" t="str">
        <x:f>IFERROR(INDEX('55_Codificacion_ensayo'!$E$5:$E$13,MATCH(B15,'55_Codificacion_ensayo'!$A$5:$A$13,0)),"")</x:f>
        <x:v>RESULTADO</x:v>
      </x:c>
      <x:c r="X15" s="12" t="str">
        <x:f>IFERROR(INDEX('55_Codificacion_ensayo'!$F$5:$F$13,MATCH(B15,'55_Codificacion_ensayo'!$A$5:$A$13,0)),"")</x:f>
        <x:v>orcSucceeded</x:v>
      </x:c>
      <x:c r="Y15" s="12" t="str">
        <x:f>IFERROR(INDEX('55_Codificacion_ensayo'!$G$5:$G$13,MATCH(B15,'55_Codificacion_ensayo'!$A$5:$A$13,0)),"")</x:f>
      </x:c>
      <x:c r="Z15" s="12" t="str">
        <x:f>IFERROR(INDEX('55_Codificacion_ensayo'!$H$5:$H$13,MATCH(B15,'55_Codificacion_ensayo'!$A$5:$A$13,0)),"")</x:f>
        <x:v>orcFailed</x:v>
      </x:c>
      <x:c r="AA15" s="12" t="str">
        <x:f>IFERROR(INDEX('55_Codificacion_ensayo'!$I$5:$I$13,MATCH(B15,'55_Codificacion_ensayo'!$A$5:$A$13,0)),"")</x:f>
        <x:v>EXITO_COMUNICADO</x:v>
      </x:c>
      <x:c r="AB15" s="12" t="str">
        <x:f>IFERROR(INDEX('55_Codificacion_ensayo'!$J$5:$J$13,MATCH(B15,'55_Codificacion_ensayo'!$A$5:$A$13,0)),"")</x:f>
        <x:v>NO_EXITO_PLENO</x:v>
      </x:c>
    </x:row>
    <x:row r="16" ht="47" customHeight="1">
      <x:c r="A16" s="4" t="str">
        <x:v>L10-02-12</x:v>
      </x:c>
      <x:c r="B16" s="4" t="str">
        <x:v>PAR-CYB-INSTALACION-EXITO-COMUNICADO-001</x:v>
      </x:c>
      <x:c r="C16" s="4" t="str">
        <x:v>WUA-RESULTADO-INDIVIDUAL-0.1</x:v>
      </x:c>
      <x:c r="D16" s="4" t="str">
        <x:v>COINCIDE</x:v>
      </x:c>
      <x:c r="E16" s="4" t="str">
        <x:v>LEGIBLE</x:v>
      </x:c>
      <x:c r="F16" s="4" t="str">
        <x:v>RESULTADO_WUA_INDIVIDUAL</x:v>
      </x:c>
      <x:c r="G16" s="4" t="str">
        <x:v>UNICA</x:v>
      </x:c>
      <x:c r="H16" s="4" t="str">
        <x:v>orcAborted</x:v>
      </x:c>
      <x:c r="I16" s="4" t="str"/>
      <x:c r="J16" s="4" t="str">
        <x:v>COMPLETA</x:v>
      </x:c>
      <x:c r="K16" s="4" t="str">
        <x:v>INSTALAR_INDIVIDUAL</x:v>
      </x:c>
      <x:c r="L16" s="4" t="str">
        <x:v>VALIDA</x:v>
      </x:c>
      <x:c r="M16" s="4" t="str">
        <x:v>0</x:v>
      </x:c>
      <x:c r="N16" s="4" t="str">
        <x:v>NO_EXITO_PLENO</x:v>
      </x:c>
      <x:c r="O16" s="12" t="str">
        <x:f>IF(Q16="SIN_EJECUCION_DOMINIO","FALLO_CAPTURA",IF(OR(Q16="CAPTURA_MAL_FORMADA",Q16="IDENTIDAD",Q16="OBSERVACION_MAL_FORMADA",Q16="LEXEMA_O_FORMA"),"NO_ADMISION",IF(OR(Q16="PERFIL_NO_CONSTITUIDO",Q16="RESULTADO_NO_TERMINAL"),"FUERA_PERFIL",IF(Q16="CONTEXTO_NO_CONSTITUIDO","CONFIGURACION_PENDIENTE","VALIDA"))))</x:f>
        <x:v>VALIDA</x:v>
      </x:c>
      <x:c r="P16" s="12" t="str">
        <x:f>IF(O16&lt;&gt;"VALIDA","",IF(Q16=AA16,"1",IF(Q16=AB16,"0","U")))</x:f>
        <x:v>0</x:v>
      </x:c>
      <x:c r="Q16" s="12" t="str">
        <x:f>IF(E16="FALLO","SIN_EJECUCION_DOMINIO",IF(E16&lt;&gt;"LEGIBLE","CAPTURA_MAL_FORMADA",IF(D16&lt;&gt;"COINCIDE","IDENTIDAD",IF(OR(T16="",C16&lt;&gt;T16),"PERFIL_NO_CONSTITUIDO",IF(K16&lt;&gt;V16,IF(V16="ORDEN_ACREDITADO","ORDEN_NO_ACREDITADO","CONTEXTO_NO_CONSTITUIDO"),IF(AND(G16="AUSENTE",H16="",I16=""),"DATO_AUSENTE",IF(AND(G16="CONFLICTO",H16="",I16=""),"CONFLICTO_OBSERVACIONAL",IF(G16&lt;&gt;"UNICA","OBSERVACION_MAL_FORMADA",IF(F16&lt;&gt;U16,"OBSERVACION_INSUFICIENTE",IF(W16="RESULTADO",IF(H16=X16,AA16,IF(OR(H16="orcSucceededWithErrors",H16="orcFailed",H16="orcAborted"),AB16,IF(OR(H16="orcNotStarted",H16="orcInProgress"),"RESULTADO_NO_TERMINAL","LEXEMA_O_FORMA"))),IF(W16="EVENTO_BOOT",IF(H16=X16,AA16,IF(OR(H16="NINGUNO",H16="SOLO_HIBRIDO"),IF(J16="COMPLETA",AB16,"COBERTURA_INSUFICIENTE"),"LEXEMA_O_FORMA")),IF(W16="REQUISITO_SOFT",IF(H16=X16,AA16,IF(H16=Z16,AB16,"LEXEMA_O_FORMA")),IF(W16="EVENTO_PROC",IF(H16=X16,AA16,IF(H16=Z16,IF(J16="COMPLETA",AB16,"COBERTURA_INSUFICIENTE"),"LEXEMA_O_FORMA")),IF(W16="IMAGEN",IF(AND(AND(ISTEXT(H16),LEN(("x"&amp;H16))=65,EXACT(("x"&amp;H16),LOWER(("x"&amp;H16))),ISERROR(SEARCH(" ",("x"&amp;H16))),ISERROR(SEARCH(CHAR(9),("x"&amp;H16))),ISERROR(SEARCH(CHAR(10),("x"&amp;H16))),ISERROR(SEARCH(CHAR(13),("x"&amp;H16))),IFERROR(HEX2DEC(MID(("x"&amp;H16),2,8))&gt;=0,FALSE),IFERROR(HEX2DEC(MID(("x"&amp;H16),10,8))&gt;=0,FALSE),IFERROR(HEX2DEC(MID(("x"&amp;H16),18,8))&gt;=0,FALSE),IFERROR(HEX2DEC(MID(("x"&amp;H16),26,8))&gt;=0,FALSE),IFERROR(HEX2DEC(MID(("x"&amp;H16),34,8))&gt;=0,FALSE),IFERROR(HEX2DEC(MID(("x"&amp;H16),42,8))&gt;=0,FALSE),IFERROR(HEX2DEC(MID(("x"&amp;H16),50,8))&gt;=0,FALSE),IFERROR(HEX2DEC(MID(("x"&amp;H16),58,8))&gt;=0,FALSE)),AND(ISTEXT(I16),LEN(("x"&amp;I16))=65,EXACT(("x"&amp;I16),LOWER(("x"&amp;I16))),ISERROR(SEARCH(" ",("x"&amp;I16))),ISERROR(SEARCH(CHAR(9),("x"&amp;I16))),ISERROR(SEARCH(CHAR(10),("x"&amp;I16))),ISERROR(SEARCH(CHAR(13),("x"&amp;I16))),IFERROR(HEX2DEC(MID(("x"&amp;I16),2,8))&gt;=0,FALSE),IFERROR(HEX2DEC(MID(("x"&amp;I16),10,8))&gt;=0,FALSE),IFERROR(HEX2DEC(MID(("x"&amp;I16),18,8))&gt;=0,FALSE),IFERROR(HEX2DEC(MID(("x"&amp;I16),26,8))&gt;=0,FALSE),IFERROR(HEX2DEC(MID(("x"&amp;I16),34,8))&gt;=0,FALSE),IFERROR(HEX2DEC(MID(("x"&amp;I16),42,8))&gt;=0,FALSE),IFERROR(HEX2DEC(MID(("x"&amp;I16),50,8))&gt;=0,FALSE),IFERROR(HEX2DEC(MID(("x"&amp;I16),58,8))&gt;=0,FALSE))),IF(EXACT("x"&amp;H16,"x"&amp;I16),AA16,AB16),"LEXEMA_O_FORMA"),IF(W16="PRUEBA",IF(H16=X16,AA16,IF(H16=Z16,AB16,"LEXEMA_O_FORMA")),IF(W16="RETIRADA",IF(AND(H16="NINGUNO",I16=""),IF(J16="COMPLETA",AB16,"COBERTURA_INSUFICIENTE"),IF(AND(OR(H16="uoInstallation",H16="uoUninstallation"),OR(I16="orcSucceeded",I16="orcSucceededWithErrors",I16="orcFailed",I16="orcAborted",I16="orcInProgress",I16="orcNotStarted")),IF(AND(H16=X16,I16=Y16),AA16,IF(AND(H16=X16,OR(I16="orcSucceededWithErrors",I16="orcInProgress",I16="orcNotStarted")),"RESULTADO_RETIRADA_INCIERTO",IF(J16="COMPLETA",AB16,"COBERTURA_INSUFICIENTE"))),"LEXEMA_O_FORMA")),IF(W16="CAMBIO",IF(OR(H16="CAMBIO",H16="CAMBIO_Y_RETORNO"),AA16,IF(OR(H16="NINGUNO",H16="SOLO_RENOMBRE"),IF(J16="COMPLETA",AB16,"COBERTURA_INSUFICIENTE"),"LEXEMA_O_FORMA")),IF(W16="RESTAURACION",IF(H16=X16,AA16,IF(OR(H16="NINGUNO",H16="RESTAURACION_POSTERIOR",H16="RESTAURACION_FALLIDA"),IF(J16="COMPLETA",AB16,"COBERTURA_INSUFICIENTE"),"LEXEMA_O_FORMA")),"PERFIL_NO_CONSTITUIDO"))))))))))))))))))</x:f>
        <x:v>NO_EXITO_PLENO</x:v>
      </x:c>
      <x:c r="R16" s="12" t="str">
        <x:f>IF(AND(L16=O16,M16=P16,N16=Q16),"PASA","NO_PASA")</x:f>
        <x:v>PASA</x:v>
      </x:c>
      <x:c r="S16" s="4" t="str">
        <x:v>Resultado terminal distinto de éxito pleno; conserva el enum original.</x:v>
      </x:c>
      <x:c r="T16" s="12" t="str">
        <x:f>IFERROR(INDEX('55_Codificacion_ensayo'!$B$5:$B$13,MATCH(B16,'55_Codificacion_ensayo'!$A$5:$A$13,0)),"")</x:f>
        <x:v>WUA-RESULTADO-INDIVIDUAL-0.1</x:v>
      </x:c>
      <x:c r="U16" s="12" t="str">
        <x:f>IFERROR(INDEX('55_Codificacion_ensayo'!$C$5:$C$13,MATCH(B16,'55_Codificacion_ensayo'!$A$5:$A$13,0)),"")</x:f>
        <x:v>RESULTADO_WUA_INDIVIDUAL</x:v>
      </x:c>
      <x:c r="V16" s="12" t="str">
        <x:f>IFERROR(INDEX('55_Codificacion_ensayo'!$D$5:$D$13,MATCH(B16,'55_Codificacion_ensayo'!$A$5:$A$13,0)),"")</x:f>
        <x:v>INSTALAR_INDIVIDUAL</x:v>
      </x:c>
      <x:c r="W16" s="12" t="str">
        <x:f>IFERROR(INDEX('55_Codificacion_ensayo'!$E$5:$E$13,MATCH(B16,'55_Codificacion_ensayo'!$A$5:$A$13,0)),"")</x:f>
        <x:v>RESULTADO</x:v>
      </x:c>
      <x:c r="X16" s="12" t="str">
        <x:f>IFERROR(INDEX('55_Codificacion_ensayo'!$F$5:$F$13,MATCH(B16,'55_Codificacion_ensayo'!$A$5:$A$13,0)),"")</x:f>
        <x:v>orcSucceeded</x:v>
      </x:c>
      <x:c r="Y16" s="12" t="str">
        <x:f>IFERROR(INDEX('55_Codificacion_ensayo'!$G$5:$G$13,MATCH(B16,'55_Codificacion_ensayo'!$A$5:$A$13,0)),"")</x:f>
      </x:c>
      <x:c r="Z16" s="12" t="str">
        <x:f>IFERROR(INDEX('55_Codificacion_ensayo'!$H$5:$H$13,MATCH(B16,'55_Codificacion_ensayo'!$A$5:$A$13,0)),"")</x:f>
        <x:v>orcFailed</x:v>
      </x:c>
      <x:c r="AA16" s="12" t="str">
        <x:f>IFERROR(INDEX('55_Codificacion_ensayo'!$I$5:$I$13,MATCH(B16,'55_Codificacion_ensayo'!$A$5:$A$13,0)),"")</x:f>
        <x:v>EXITO_COMUNICADO</x:v>
      </x:c>
      <x:c r="AB16" s="12" t="str">
        <x:f>IFERROR(INDEX('55_Codificacion_ensayo'!$J$5:$J$13,MATCH(B16,'55_Codificacion_ensayo'!$A$5:$A$13,0)),"")</x:f>
        <x:v>NO_EXITO_PLENO</x:v>
      </x:c>
    </x:row>
    <x:row r="17" ht="47" customHeight="1">
      <x:c r="A17" s="4" t="str">
        <x:v>L10-02-13</x:v>
      </x:c>
      <x:c r="B17" s="4" t="str">
        <x:v>PAR-CYB-INSTALACION-EXITO-COMUNICADO-001</x:v>
      </x:c>
      <x:c r="C17" s="4" t="str">
        <x:v>WUA-RESULTADO-INDIVIDUAL-0.1</x:v>
      </x:c>
      <x:c r="D17" s="4" t="str">
        <x:v>COINCIDE</x:v>
      </x:c>
      <x:c r="E17" s="4" t="str">
        <x:v>LEGIBLE</x:v>
      </x:c>
      <x:c r="F17" s="4" t="str">
        <x:v>RESULTADO_WUA_INDIVIDUAL</x:v>
      </x:c>
      <x:c r="G17" s="4" t="str">
        <x:v>UNICA</x:v>
      </x:c>
      <x:c r="H17" s="4" t="str">
        <x:v>orcNotStarted</x:v>
      </x:c>
      <x:c r="I17" s="4" t="str"/>
      <x:c r="J17" s="4" t="str">
        <x:v>COMPLETA</x:v>
      </x:c>
      <x:c r="K17" s="4" t="str">
        <x:v>INSTALAR_INDIVIDUAL</x:v>
      </x:c>
      <x:c r="L17" s="4" t="str">
        <x:v>FUERA_PERFIL</x:v>
      </x:c>
      <x:c r="M17" s="4" t="str"/>
      <x:c r="N17" s="4" t="str">
        <x:v>RESULTADO_NO_TERMINAL</x:v>
      </x:c>
      <x:c r="O17" s="12" t="str">
        <x:f>IF(Q17="SIN_EJECUCION_DOMINIO","FALLO_CAPTURA",IF(OR(Q17="CAPTURA_MAL_FORMADA",Q17="IDENTIDAD",Q17="OBSERVACION_MAL_FORMADA",Q17="LEXEMA_O_FORMA"),"NO_ADMISION",IF(OR(Q17="PERFIL_NO_CONSTITUIDO",Q17="RESULTADO_NO_TERMINAL"),"FUERA_PERFIL",IF(Q17="CONTEXTO_NO_CONSTITUIDO","CONFIGURACION_PENDIENTE","VALIDA"))))</x:f>
        <x:v>FUERA_PERFIL</x:v>
      </x:c>
      <x:c r="P17" s="12" t="str">
        <x:f>IF(O17&lt;&gt;"VALIDA","",IF(Q17=AA17,"1",IF(Q17=AB17,"0","U")))</x:f>
      </x:c>
      <x:c r="Q17" s="12" t="str">
        <x:f>IF(E17="FALLO","SIN_EJECUCION_DOMINIO",IF(E17&lt;&gt;"LEGIBLE","CAPTURA_MAL_FORMADA",IF(D17&lt;&gt;"COINCIDE","IDENTIDAD",IF(OR(T17="",C17&lt;&gt;T17),"PERFIL_NO_CONSTITUIDO",IF(K17&lt;&gt;V17,IF(V17="ORDEN_ACREDITADO","ORDEN_NO_ACREDITADO","CONTEXTO_NO_CONSTITUIDO"),IF(AND(G17="AUSENTE",H17="",I17=""),"DATO_AUSENTE",IF(AND(G17="CONFLICTO",H17="",I17=""),"CONFLICTO_OBSERVACIONAL",IF(G17&lt;&gt;"UNICA","OBSERVACION_MAL_FORMADA",IF(F17&lt;&gt;U17,"OBSERVACION_INSUFICIENTE",IF(W17="RESULTADO",IF(H17=X17,AA17,IF(OR(H17="orcSucceededWithErrors",H17="orcFailed",H17="orcAborted"),AB17,IF(OR(H17="orcNotStarted",H17="orcInProgress"),"RESULTADO_NO_TERMINAL","LEXEMA_O_FORMA"))),IF(W17="EVENTO_BOOT",IF(H17=X17,AA17,IF(OR(H17="NINGUNO",H17="SOLO_HIBRIDO"),IF(J17="COMPLETA",AB17,"COBERTURA_INSUFICIENTE"),"LEXEMA_O_FORMA")),IF(W17="REQUISITO_SOFT",IF(H17=X17,AA17,IF(H17=Z17,AB17,"LEXEMA_O_FORMA")),IF(W17="EVENTO_PROC",IF(H17=X17,AA17,IF(H17=Z17,IF(J17="COMPLETA",AB17,"COBERTURA_INSUFICIENTE"),"LEXEMA_O_FORMA")),IF(W17="IMAGEN",IF(AND(AND(ISTEXT(H17),LEN(("x"&amp;H17))=65,EXACT(("x"&amp;H17),LOWER(("x"&amp;H17))),ISERROR(SEARCH(" ",("x"&amp;H17))),ISERROR(SEARCH(CHAR(9),("x"&amp;H17))),ISERROR(SEARCH(CHAR(10),("x"&amp;H17))),ISERROR(SEARCH(CHAR(13),("x"&amp;H17))),IFERROR(HEX2DEC(MID(("x"&amp;H17),2,8))&gt;=0,FALSE),IFERROR(HEX2DEC(MID(("x"&amp;H17),10,8))&gt;=0,FALSE),IFERROR(HEX2DEC(MID(("x"&amp;H17),18,8))&gt;=0,FALSE),IFERROR(HEX2DEC(MID(("x"&amp;H17),26,8))&gt;=0,FALSE),IFERROR(HEX2DEC(MID(("x"&amp;H17),34,8))&gt;=0,FALSE),IFERROR(HEX2DEC(MID(("x"&amp;H17),42,8))&gt;=0,FALSE),IFERROR(HEX2DEC(MID(("x"&amp;H17),50,8))&gt;=0,FALSE),IFERROR(HEX2DEC(MID(("x"&amp;H17),58,8))&gt;=0,FALSE)),AND(ISTEXT(I17),LEN(("x"&amp;I17))=65,EXACT(("x"&amp;I17),LOWER(("x"&amp;I17))),ISERROR(SEARCH(" ",("x"&amp;I17))),ISERROR(SEARCH(CHAR(9),("x"&amp;I17))),ISERROR(SEARCH(CHAR(10),("x"&amp;I17))),ISERROR(SEARCH(CHAR(13),("x"&amp;I17))),IFERROR(HEX2DEC(MID(("x"&amp;I17),2,8))&gt;=0,FALSE),IFERROR(HEX2DEC(MID(("x"&amp;I17),10,8))&gt;=0,FALSE),IFERROR(HEX2DEC(MID(("x"&amp;I17),18,8))&gt;=0,FALSE),IFERROR(HEX2DEC(MID(("x"&amp;I17),26,8))&gt;=0,FALSE),IFERROR(HEX2DEC(MID(("x"&amp;I17),34,8))&gt;=0,FALSE),IFERROR(HEX2DEC(MID(("x"&amp;I17),42,8))&gt;=0,FALSE),IFERROR(HEX2DEC(MID(("x"&amp;I17),50,8))&gt;=0,FALSE),IFERROR(HEX2DEC(MID(("x"&amp;I17),58,8))&gt;=0,FALSE))),IF(EXACT("x"&amp;H17,"x"&amp;I17),AA17,AB17),"LEXEMA_O_FORMA"),IF(W17="PRUEBA",IF(H17=X17,AA17,IF(H17=Z17,AB17,"LEXEMA_O_FORMA")),IF(W17="RETIRADA",IF(AND(H17="NINGUNO",I17=""),IF(J17="COMPLETA",AB17,"COBERTURA_INSUFICIENTE"),IF(AND(OR(H17="uoInstallation",H17="uoUninstallation"),OR(I17="orcSucceeded",I17="orcSucceededWithErrors",I17="orcFailed",I17="orcAborted",I17="orcInProgress",I17="orcNotStarted")),IF(AND(H17=X17,I17=Y17),AA17,IF(AND(H17=X17,OR(I17="orcSucceededWithErrors",I17="orcInProgress",I17="orcNotStarted")),"RESULTADO_RETIRADA_INCIERTO",IF(J17="COMPLETA",AB17,"COBERTURA_INSUFICIENTE"))),"LEXEMA_O_FORMA")),IF(W17="CAMBIO",IF(OR(H17="CAMBIO",H17="CAMBIO_Y_RETORNO"),AA17,IF(OR(H17="NINGUNO",H17="SOLO_RENOMBRE"),IF(J17="COMPLETA",AB17,"COBERTURA_INSUFICIENTE"),"LEXEMA_O_FORMA")),IF(W17="RESTAURACION",IF(H17=X17,AA17,IF(OR(H17="NINGUNO",H17="RESTAURACION_POSTERIOR",H17="RESTAURACION_FALLIDA"),IF(J17="COMPLETA",AB17,"COBERTURA_INSUFICIENTE"),"LEXEMA_O_FORMA")),"PERFIL_NO_CONSTITUIDO"))))))))))))))))))</x:f>
        <x:v>RESULTADO_NO_TERMINAL</x:v>
      </x:c>
      <x:c r="R17" s="12" t="str">
        <x:f>IF(AND(L17=O17,M17=P17,N17=Q17),"PASA","NO_PASA")</x:f>
        <x:v>PASA</x:v>
      </x:c>
      <x:c r="S17" s="4" t="str">
        <x:v>Intento aún no terminal fuera del perfil; no falsear el resultado.</x:v>
      </x:c>
      <x:c r="T17" s="12" t="str">
        <x:f>IFERROR(INDEX('55_Codificacion_ensayo'!$B$5:$B$13,MATCH(B17,'55_Codificacion_ensayo'!$A$5:$A$13,0)),"")</x:f>
        <x:v>WUA-RESULTADO-INDIVIDUAL-0.1</x:v>
      </x:c>
      <x:c r="U17" s="12" t="str">
        <x:f>IFERROR(INDEX('55_Codificacion_ensayo'!$C$5:$C$13,MATCH(B17,'55_Codificacion_ensayo'!$A$5:$A$13,0)),"")</x:f>
        <x:v>RESULTADO_WUA_INDIVIDUAL</x:v>
      </x:c>
      <x:c r="V17" s="12" t="str">
        <x:f>IFERROR(INDEX('55_Codificacion_ensayo'!$D$5:$D$13,MATCH(B17,'55_Codificacion_ensayo'!$A$5:$A$13,0)),"")</x:f>
        <x:v>INSTALAR_INDIVIDUAL</x:v>
      </x:c>
      <x:c r="W17" s="12" t="str">
        <x:f>IFERROR(INDEX('55_Codificacion_ensayo'!$E$5:$E$13,MATCH(B17,'55_Codificacion_ensayo'!$A$5:$A$13,0)),"")</x:f>
        <x:v>RESULTADO</x:v>
      </x:c>
      <x:c r="X17" s="12" t="str">
        <x:f>IFERROR(INDEX('55_Codificacion_ensayo'!$F$5:$F$13,MATCH(B17,'55_Codificacion_ensayo'!$A$5:$A$13,0)),"")</x:f>
        <x:v>orcSucceeded</x:v>
      </x:c>
      <x:c r="Y17" s="12" t="str">
        <x:f>IFERROR(INDEX('55_Codificacion_ensayo'!$G$5:$G$13,MATCH(B17,'55_Codificacion_ensayo'!$A$5:$A$13,0)),"")</x:f>
      </x:c>
      <x:c r="Z17" s="12" t="str">
        <x:f>IFERROR(INDEX('55_Codificacion_ensayo'!$H$5:$H$13,MATCH(B17,'55_Codificacion_ensayo'!$A$5:$A$13,0)),"")</x:f>
        <x:v>orcFailed</x:v>
      </x:c>
      <x:c r="AA17" s="12" t="str">
        <x:f>IFERROR(INDEX('55_Codificacion_ensayo'!$I$5:$I$13,MATCH(B17,'55_Codificacion_ensayo'!$A$5:$A$13,0)),"")</x:f>
        <x:v>EXITO_COMUNICADO</x:v>
      </x:c>
      <x:c r="AB17" s="12" t="str">
        <x:f>IFERROR(INDEX('55_Codificacion_ensayo'!$J$5:$J$13,MATCH(B17,'55_Codificacion_ensayo'!$A$5:$A$13,0)),"")</x:f>
        <x:v>NO_EXITO_PLENO</x:v>
      </x:c>
    </x:row>
    <x:row r="18" ht="47" customHeight="1">
      <x:c r="A18" s="4" t="str">
        <x:v>L10-02-14</x:v>
      </x:c>
      <x:c r="B18" s="4" t="str">
        <x:v>PAR-CYB-INSTALACION-EXITO-COMUNICADO-001</x:v>
      </x:c>
      <x:c r="C18" s="4" t="str">
        <x:v>WUA-RESULTADO-INDIVIDUAL-0.1</x:v>
      </x:c>
      <x:c r="D18" s="4" t="str">
        <x:v>COINCIDE</x:v>
      </x:c>
      <x:c r="E18" s="4" t="str">
        <x:v>LEGIBLE</x:v>
      </x:c>
      <x:c r="F18" s="4" t="str">
        <x:v>RESULTADO_WUA_INDIVIDUAL</x:v>
      </x:c>
      <x:c r="G18" s="4" t="str">
        <x:v>UNICA</x:v>
      </x:c>
      <x:c r="H18" s="4" t="str">
        <x:v>orcInProgress</x:v>
      </x:c>
      <x:c r="I18" s="4" t="str"/>
      <x:c r="J18" s="4" t="str">
        <x:v>COMPLETA</x:v>
      </x:c>
      <x:c r="K18" s="4" t="str">
        <x:v>INSTALAR_INDIVIDUAL</x:v>
      </x:c>
      <x:c r="L18" s="4" t="str">
        <x:v>FUERA_PERFIL</x:v>
      </x:c>
      <x:c r="M18" s="4" t="str"/>
      <x:c r="N18" s="4" t="str">
        <x:v>RESULTADO_NO_TERMINAL</x:v>
      </x:c>
      <x:c r="O18" s="12" t="str">
        <x:f>IF(Q18="SIN_EJECUCION_DOMINIO","FALLO_CAPTURA",IF(OR(Q18="CAPTURA_MAL_FORMADA",Q18="IDENTIDAD",Q18="OBSERVACION_MAL_FORMADA",Q18="LEXEMA_O_FORMA"),"NO_ADMISION",IF(OR(Q18="PERFIL_NO_CONSTITUIDO",Q18="RESULTADO_NO_TERMINAL"),"FUERA_PERFIL",IF(Q18="CONTEXTO_NO_CONSTITUIDO","CONFIGURACION_PENDIENTE","VALIDA"))))</x:f>
        <x:v>FUERA_PERFIL</x:v>
      </x:c>
      <x:c r="P18" s="12" t="str">
        <x:f>IF(O18&lt;&gt;"VALIDA","",IF(Q18=AA18,"1",IF(Q18=AB18,"0","U")))</x:f>
      </x:c>
      <x:c r="Q18" s="12" t="str">
        <x:f>IF(E18="FALLO","SIN_EJECUCION_DOMINIO",IF(E18&lt;&gt;"LEGIBLE","CAPTURA_MAL_FORMADA",IF(D18&lt;&gt;"COINCIDE","IDENTIDAD",IF(OR(T18="",C18&lt;&gt;T18),"PERFIL_NO_CONSTITUIDO",IF(K18&lt;&gt;V18,IF(V18="ORDEN_ACREDITADO","ORDEN_NO_ACREDITADO","CONTEXTO_NO_CONSTITUIDO"),IF(AND(G18="AUSENTE",H18="",I18=""),"DATO_AUSENTE",IF(AND(G18="CONFLICTO",H18="",I18=""),"CONFLICTO_OBSERVACIONAL",IF(G18&lt;&gt;"UNICA","OBSERVACION_MAL_FORMADA",IF(F18&lt;&gt;U18,"OBSERVACION_INSUFICIENTE",IF(W18="RESULTADO",IF(H18=X18,AA18,IF(OR(H18="orcSucceededWithErrors",H18="orcFailed",H18="orcAborted"),AB18,IF(OR(H18="orcNotStarted",H18="orcInProgress"),"RESULTADO_NO_TERMINAL","LEXEMA_O_FORMA"))),IF(W18="EVENTO_BOOT",IF(H18=X18,AA18,IF(OR(H18="NINGUNO",H18="SOLO_HIBRIDO"),IF(J18="COMPLETA",AB18,"COBERTURA_INSUFICIENTE"),"LEXEMA_O_FORMA")),IF(W18="REQUISITO_SOFT",IF(H18=X18,AA18,IF(H18=Z18,AB18,"LEXEMA_O_FORMA")),IF(W18="EVENTO_PROC",IF(H18=X18,AA18,IF(H18=Z18,IF(J18="COMPLETA",AB18,"COBERTURA_INSUFICIENTE"),"LEXEMA_O_FORMA")),IF(W18="IMAGEN",IF(AND(AND(ISTEXT(H18),LEN(("x"&amp;H18))=65,EXACT(("x"&amp;H18),LOWER(("x"&amp;H18))),ISERROR(SEARCH(" ",("x"&amp;H18))),ISERROR(SEARCH(CHAR(9),("x"&amp;H18))),ISERROR(SEARCH(CHAR(10),("x"&amp;H18))),ISERROR(SEARCH(CHAR(13),("x"&amp;H18))),IFERROR(HEX2DEC(MID(("x"&amp;H18),2,8))&gt;=0,FALSE),IFERROR(HEX2DEC(MID(("x"&amp;H18),10,8))&gt;=0,FALSE),IFERROR(HEX2DEC(MID(("x"&amp;H18),18,8))&gt;=0,FALSE),IFERROR(HEX2DEC(MID(("x"&amp;H18),26,8))&gt;=0,FALSE),IFERROR(HEX2DEC(MID(("x"&amp;H18),34,8))&gt;=0,FALSE),IFERROR(HEX2DEC(MID(("x"&amp;H18),42,8))&gt;=0,FALSE),IFERROR(HEX2DEC(MID(("x"&amp;H18),50,8))&gt;=0,FALSE),IFERROR(HEX2DEC(MID(("x"&amp;H18),58,8))&gt;=0,FALSE)),AND(ISTEXT(I18),LEN(("x"&amp;I18))=65,EXACT(("x"&amp;I18),LOWER(("x"&amp;I18))),ISERROR(SEARCH(" ",("x"&amp;I18))),ISERROR(SEARCH(CHAR(9),("x"&amp;I18))),ISERROR(SEARCH(CHAR(10),("x"&amp;I18))),ISERROR(SEARCH(CHAR(13),("x"&amp;I18))),IFERROR(HEX2DEC(MID(("x"&amp;I18),2,8))&gt;=0,FALSE),IFERROR(HEX2DEC(MID(("x"&amp;I18),10,8))&gt;=0,FALSE),IFERROR(HEX2DEC(MID(("x"&amp;I18),18,8))&gt;=0,FALSE),IFERROR(HEX2DEC(MID(("x"&amp;I18),26,8))&gt;=0,FALSE),IFERROR(HEX2DEC(MID(("x"&amp;I18),34,8))&gt;=0,FALSE),IFERROR(HEX2DEC(MID(("x"&amp;I18),42,8))&gt;=0,FALSE),IFERROR(HEX2DEC(MID(("x"&amp;I18),50,8))&gt;=0,FALSE),IFERROR(HEX2DEC(MID(("x"&amp;I18),58,8))&gt;=0,FALSE))),IF(EXACT("x"&amp;H18,"x"&amp;I18),AA18,AB18),"LEXEMA_O_FORMA"),IF(W18="PRUEBA",IF(H18=X18,AA18,IF(H18=Z18,AB18,"LEXEMA_O_FORMA")),IF(W18="RETIRADA",IF(AND(H18="NINGUNO",I18=""),IF(J18="COMPLETA",AB18,"COBERTURA_INSUFICIENTE"),IF(AND(OR(H18="uoInstallation",H18="uoUninstallation"),OR(I18="orcSucceeded",I18="orcSucceededWithErrors",I18="orcFailed",I18="orcAborted",I18="orcInProgress",I18="orcNotStarted")),IF(AND(H18=X18,I18=Y18),AA18,IF(AND(H18=X18,OR(I18="orcSucceededWithErrors",I18="orcInProgress",I18="orcNotStarted")),"RESULTADO_RETIRADA_INCIERTO",IF(J18="COMPLETA",AB18,"COBERTURA_INSUFICIENTE"))),"LEXEMA_O_FORMA")),IF(W18="CAMBIO",IF(OR(H18="CAMBIO",H18="CAMBIO_Y_RETORNO"),AA18,IF(OR(H18="NINGUNO",H18="SOLO_RENOMBRE"),IF(J18="COMPLETA",AB18,"COBERTURA_INSUFICIENTE"),"LEXEMA_O_FORMA")),IF(W18="RESTAURACION",IF(H18=X18,AA18,IF(OR(H18="NINGUNO",H18="RESTAURACION_POSTERIOR",H18="RESTAURACION_FALLIDA"),IF(J18="COMPLETA",AB18,"COBERTURA_INSUFICIENTE"),"LEXEMA_O_FORMA")),"PERFIL_NO_CONSTITUIDO"))))))))))))))))))</x:f>
        <x:v>RESULTADO_NO_TERMINAL</x:v>
      </x:c>
      <x:c r="R18" s="12" t="str">
        <x:f>IF(AND(L18=O18,M18=P18,N18=Q18),"PASA","NO_PASA")</x:f>
        <x:v>PASA</x:v>
      </x:c>
      <x:c r="S18" s="4" t="str">
        <x:v>Intento aún no terminal fuera del perfil; no falsear el resultado.</x:v>
      </x:c>
      <x:c r="T18" s="12" t="str">
        <x:f>IFERROR(INDEX('55_Codificacion_ensayo'!$B$5:$B$13,MATCH(B18,'55_Codificacion_ensayo'!$A$5:$A$13,0)),"")</x:f>
        <x:v>WUA-RESULTADO-INDIVIDUAL-0.1</x:v>
      </x:c>
      <x:c r="U18" s="12" t="str">
        <x:f>IFERROR(INDEX('55_Codificacion_ensayo'!$C$5:$C$13,MATCH(B18,'55_Codificacion_ensayo'!$A$5:$A$13,0)),"")</x:f>
        <x:v>RESULTADO_WUA_INDIVIDUAL</x:v>
      </x:c>
      <x:c r="V18" s="12" t="str">
        <x:f>IFERROR(INDEX('55_Codificacion_ensayo'!$D$5:$D$13,MATCH(B18,'55_Codificacion_ensayo'!$A$5:$A$13,0)),"")</x:f>
        <x:v>INSTALAR_INDIVIDUAL</x:v>
      </x:c>
      <x:c r="W18" s="12" t="str">
        <x:f>IFERROR(INDEX('55_Codificacion_ensayo'!$E$5:$E$13,MATCH(B18,'55_Codificacion_ensayo'!$A$5:$A$13,0)),"")</x:f>
        <x:v>RESULTADO</x:v>
      </x:c>
      <x:c r="X18" s="12" t="str">
        <x:f>IFERROR(INDEX('55_Codificacion_ensayo'!$F$5:$F$13,MATCH(B18,'55_Codificacion_ensayo'!$A$5:$A$13,0)),"")</x:f>
        <x:v>orcSucceeded</x:v>
      </x:c>
      <x:c r="Y18" s="12" t="str">
        <x:f>IFERROR(INDEX('55_Codificacion_ensayo'!$G$5:$G$13,MATCH(B18,'55_Codificacion_ensayo'!$A$5:$A$13,0)),"")</x:f>
      </x:c>
      <x:c r="Z18" s="12" t="str">
        <x:f>IFERROR(INDEX('55_Codificacion_ensayo'!$H$5:$H$13,MATCH(B18,'55_Codificacion_ensayo'!$A$5:$A$13,0)),"")</x:f>
        <x:v>orcFailed</x:v>
      </x:c>
      <x:c r="AA18" s="12" t="str">
        <x:f>IFERROR(INDEX('55_Codificacion_ensayo'!$I$5:$I$13,MATCH(B18,'55_Codificacion_ensayo'!$A$5:$A$13,0)),"")</x:f>
        <x:v>EXITO_COMUNICADO</x:v>
      </x:c>
      <x:c r="AB18" s="12" t="str">
        <x:f>IFERROR(INDEX('55_Codificacion_ensayo'!$J$5:$J$13,MATCH(B18,'55_Codificacion_ensayo'!$A$5:$A$13,0)),"")</x:f>
        <x:v>NO_EXITO_PLENO</x:v>
      </x:c>
    </x:row>
    <x:row r="19" ht="47" customHeight="1">
      <x:c r="A19" s="4" t="str">
        <x:v>L10-03-01</x:v>
      </x:c>
      <x:c r="B19" s="4" t="str">
        <x:v>PAR-CYB-REINICIO-SISTEMA-REALIZADO-001</x:v>
      </x:c>
      <x:c r="C19" s="4" t="str">
        <x:v>EVENTO-REINICIO-COMPLETO-0.1</x:v>
      </x:c>
      <x:c r="D19" s="4" t="str">
        <x:v>COINCIDE</x:v>
      </x:c>
      <x:c r="E19" s="4" t="str">
        <x:v>LEGIBLE</x:v>
      </x:c>
      <x:c r="F19" s="4" t="str">
        <x:v>ARRANQUE_COMPLETO</x:v>
      </x:c>
      <x:c r="G19" s="4" t="str">
        <x:v>UNICA</x:v>
      </x:c>
      <x:c r="H19" s="4" t="str">
        <x:v>REINICIO_COMPLETO</x:v>
      </x:c>
      <x:c r="I19" s="4" t="str"/>
      <x:c r="J19" s="4" t="str">
        <x:v>COMPLETA</x:v>
      </x:c>
      <x:c r="K19" s="4" t="str">
        <x:v>ORDEN_ACREDITADO</x:v>
      </x:c>
      <x:c r="L19" s="4" t="str">
        <x:v>VALIDA</x:v>
      </x:c>
      <x:c r="M19" s="4" t="str">
        <x:v>1</x:v>
      </x:c>
      <x:c r="N19" s="4" t="str">
        <x:v>REINICIO_REALIZADO</x:v>
      </x:c>
      <x:c r="O19" s="12" t="str">
        <x:f>IF(Q19="SIN_EJECUCION_DOMINIO","FALLO_CAPTURA",IF(OR(Q19="CAPTURA_MAL_FORMADA",Q19="IDENTIDAD",Q19="OBSERVACION_MAL_FORMADA",Q19="LEXEMA_O_FORMA"),"NO_ADMISION",IF(OR(Q19="PERFIL_NO_CONSTITUIDO",Q19="RESULTADO_NO_TERMINAL"),"FUERA_PERFIL",IF(Q19="CONTEXTO_NO_CONSTITUIDO","CONFIGURACION_PENDIENTE","VALIDA"))))</x:f>
        <x:v>VALIDA</x:v>
      </x:c>
      <x:c r="P19" s="12" t="str">
        <x:f>IF(O19&lt;&gt;"VALIDA","",IF(Q19=AA19,"1",IF(Q19=AB19,"0","U")))</x:f>
        <x:v>1</x:v>
      </x:c>
      <x:c r="Q19" s="12" t="str">
        <x:f>IF(E19="FALLO","SIN_EJECUCION_DOMINIO",IF(E19&lt;&gt;"LEGIBLE","CAPTURA_MAL_FORMADA",IF(D19&lt;&gt;"COINCIDE","IDENTIDAD",IF(OR(T19="",C19&lt;&gt;T19),"PERFIL_NO_CONSTITUIDO",IF(K19&lt;&gt;V19,IF(V19="ORDEN_ACREDITADO","ORDEN_NO_ACREDITADO","CONTEXTO_NO_CONSTITUIDO"),IF(AND(G19="AUSENTE",H19="",I19=""),"DATO_AUSENTE",IF(AND(G19="CONFLICTO",H19="",I19=""),"CONFLICTO_OBSERVACIONAL",IF(G19&lt;&gt;"UNICA","OBSERVACION_MAL_FORMADA",IF(F19&lt;&gt;U19,"OBSERVACION_INSUFICIENTE",IF(W19="RESULTADO",IF(H19=X19,AA19,IF(OR(H19="orcSucceededWithErrors",H19="orcFailed",H19="orcAborted"),AB19,IF(OR(H19="orcNotStarted",H19="orcInProgress"),"RESULTADO_NO_TERMINAL","LEXEMA_O_FORMA"))),IF(W19="EVENTO_BOOT",IF(H19=X19,AA19,IF(OR(H19="NINGUNO",H19="SOLO_HIBRIDO"),IF(J19="COMPLETA",AB19,"COBERTURA_INSUFICIENTE"),"LEXEMA_O_FORMA")),IF(W19="REQUISITO_SOFT",IF(H19=X19,AA19,IF(H19=Z19,AB19,"LEXEMA_O_FORMA")),IF(W19="EVENTO_PROC",IF(H19=X19,AA19,IF(H19=Z19,IF(J19="COMPLETA",AB19,"COBERTURA_INSUFICIENTE"),"LEXEMA_O_FORMA")),IF(W19="IMAGEN",IF(AND(AND(ISTEXT(H19),LEN(("x"&amp;H19))=65,EXACT(("x"&amp;H19),LOWER(("x"&amp;H19))),ISERROR(SEARCH(" ",("x"&amp;H19))),ISERROR(SEARCH(CHAR(9),("x"&amp;H19))),ISERROR(SEARCH(CHAR(10),("x"&amp;H19))),ISERROR(SEARCH(CHAR(13),("x"&amp;H19))),IFERROR(HEX2DEC(MID(("x"&amp;H19),2,8))&gt;=0,FALSE),IFERROR(HEX2DEC(MID(("x"&amp;H19),10,8))&gt;=0,FALSE),IFERROR(HEX2DEC(MID(("x"&amp;H19),18,8))&gt;=0,FALSE),IFERROR(HEX2DEC(MID(("x"&amp;H19),26,8))&gt;=0,FALSE),IFERROR(HEX2DEC(MID(("x"&amp;H19),34,8))&gt;=0,FALSE),IFERROR(HEX2DEC(MID(("x"&amp;H19),42,8))&gt;=0,FALSE),IFERROR(HEX2DEC(MID(("x"&amp;H19),50,8))&gt;=0,FALSE),IFERROR(HEX2DEC(MID(("x"&amp;H19),58,8))&gt;=0,FALSE)),AND(ISTEXT(I19),LEN(("x"&amp;I19))=65,EXACT(("x"&amp;I19),LOWER(("x"&amp;I19))),ISERROR(SEARCH(" ",("x"&amp;I19))),ISERROR(SEARCH(CHAR(9),("x"&amp;I19))),ISERROR(SEARCH(CHAR(10),("x"&amp;I19))),ISERROR(SEARCH(CHAR(13),("x"&amp;I19))),IFERROR(HEX2DEC(MID(("x"&amp;I19),2,8))&gt;=0,FALSE),IFERROR(HEX2DEC(MID(("x"&amp;I19),10,8))&gt;=0,FALSE),IFERROR(HEX2DEC(MID(("x"&amp;I19),18,8))&gt;=0,FALSE),IFERROR(HEX2DEC(MID(("x"&amp;I19),26,8))&gt;=0,FALSE),IFERROR(HEX2DEC(MID(("x"&amp;I19),34,8))&gt;=0,FALSE),IFERROR(HEX2DEC(MID(("x"&amp;I19),42,8))&gt;=0,FALSE),IFERROR(HEX2DEC(MID(("x"&amp;I19),50,8))&gt;=0,FALSE),IFERROR(HEX2DEC(MID(("x"&amp;I19),58,8))&gt;=0,FALSE))),IF(EXACT("x"&amp;H19,"x"&amp;I19),AA19,AB19),"LEXEMA_O_FORMA"),IF(W19="PRUEBA",IF(H19=X19,AA19,IF(H19=Z19,AB19,"LEXEMA_O_FORMA")),IF(W19="RETIRADA",IF(AND(H19="NINGUNO",I19=""),IF(J19="COMPLETA",AB19,"COBERTURA_INSUFICIENTE"),IF(AND(OR(H19="uoInstallation",H19="uoUninstallation"),OR(I19="orcSucceeded",I19="orcSucceededWithErrors",I19="orcFailed",I19="orcAborted",I19="orcInProgress",I19="orcNotStarted")),IF(AND(H19=X19,I19=Y19),AA19,IF(AND(H19=X19,OR(I19="orcSucceededWithErrors",I19="orcInProgress",I19="orcNotStarted")),"RESULTADO_RETIRADA_INCIERTO",IF(J19="COMPLETA",AB19,"COBERTURA_INSUFICIENTE"))),"LEXEMA_O_FORMA")),IF(W19="CAMBIO",IF(OR(H19="CAMBIO",H19="CAMBIO_Y_RETORNO"),AA19,IF(OR(H19="NINGUNO",H19="SOLO_RENOMBRE"),IF(J19="COMPLETA",AB19,"COBERTURA_INSUFICIENTE"),"LEXEMA_O_FORMA")),IF(W19="RESTAURACION",IF(H19=X19,AA19,IF(OR(H19="NINGUNO",H19="RESTAURACION_POSTERIOR",H19="RESTAURACION_FALLIDA"),IF(J19="COMPLETA",AB19,"COBERTURA_INSUFICIENTE"),"LEXEMA_O_FORMA")),"PERFIL_NO_CONSTITUIDO"))))))))))))))))))</x:f>
        <x:v>REINICIO_REALIZADO</x:v>
      </x:c>
      <x:c r="R19" s="12" t="str">
        <x:f>IF(AND(L19=O19,M19=P19,N19=Q19),"PASA","NO_PASA")</x:f>
        <x:v>PASA</x:v>
      </x:c>
      <x:c r="S19" s="4" t="str">
        <x:v>Testigo positivo de la proposición; no licencia ninguna conclusión más amplia.</x:v>
      </x:c>
      <x:c r="T19" s="12" t="str">
        <x:f>IFERROR(INDEX('55_Codificacion_ensayo'!$B$5:$B$13,MATCH(B19,'55_Codificacion_ensayo'!$A$5:$A$13,0)),"")</x:f>
        <x:v>EVENTO-REINICIO-COMPLETO-0.1</x:v>
      </x:c>
      <x:c r="U19" s="12" t="str">
        <x:f>IFERROR(INDEX('55_Codificacion_ensayo'!$C$5:$C$13,MATCH(B19,'55_Codificacion_ensayo'!$A$5:$A$13,0)),"")</x:f>
        <x:v>ARRANQUE_COMPLETO</x:v>
      </x:c>
      <x:c r="V19" s="12" t="str">
        <x:f>IFERROR(INDEX('55_Codificacion_ensayo'!$D$5:$D$13,MATCH(B19,'55_Codificacion_ensayo'!$A$5:$A$13,0)),"")</x:f>
        <x:v>ORDEN_ACREDITADO</x:v>
      </x:c>
      <x:c r="W19" s="12" t="str">
        <x:f>IFERROR(INDEX('55_Codificacion_ensayo'!$E$5:$E$13,MATCH(B19,'55_Codificacion_ensayo'!$A$5:$A$13,0)),"")</x:f>
        <x:v>EVENTO_BOOT</x:v>
      </x:c>
      <x:c r="X19" s="12" t="str">
        <x:f>IFERROR(INDEX('55_Codificacion_ensayo'!$F$5:$F$13,MATCH(B19,'55_Codificacion_ensayo'!$A$5:$A$13,0)),"")</x:f>
        <x:v>REINICIO_COMPLETO</x:v>
      </x:c>
      <x:c r="Y19" s="12" t="str">
        <x:f>IFERROR(INDEX('55_Codificacion_ensayo'!$G$5:$G$13,MATCH(B19,'55_Codificacion_ensayo'!$A$5:$A$13,0)),"")</x:f>
      </x:c>
      <x:c r="Z19" s="12" t="str">
        <x:f>IFERROR(INDEX('55_Codificacion_ensayo'!$H$5:$H$13,MATCH(B19,'55_Codificacion_ensayo'!$A$5:$A$13,0)),"")</x:f>
        <x:v>NINGUNO</x:v>
      </x:c>
      <x:c r="AA19" s="12" t="str">
        <x:f>IFERROR(INDEX('55_Codificacion_ensayo'!$I$5:$I$13,MATCH(B19,'55_Codificacion_ensayo'!$A$5:$A$13,0)),"")</x:f>
        <x:v>REINICIO_REALIZADO</x:v>
      </x:c>
      <x:c r="AB19" s="12" t="str">
        <x:f>IFERROR(INDEX('55_Codificacion_ensayo'!$J$5:$J$13,MATCH(B19,'55_Codificacion_ensayo'!$A$5:$A$13,0)),"")</x:f>
        <x:v>SIN_REINICIO_COMPLETO</x:v>
      </x:c>
    </x:row>
    <x:row r="20" ht="47" customHeight="1">
      <x:c r="A20" s="4" t="str">
        <x:v>L10-03-02</x:v>
      </x:c>
      <x:c r="B20" s="4" t="str">
        <x:v>PAR-CYB-REINICIO-SISTEMA-REALIZADO-001</x:v>
      </x:c>
      <x:c r="C20" s="4" t="str">
        <x:v>EVENTO-REINICIO-COMPLETO-0.1</x:v>
      </x:c>
      <x:c r="D20" s="4" t="str">
        <x:v>COINCIDE</x:v>
      </x:c>
      <x:c r="E20" s="4" t="str">
        <x:v>LEGIBLE</x:v>
      </x:c>
      <x:c r="F20" s="4" t="str">
        <x:v>ARRANQUE_COMPLETO</x:v>
      </x:c>
      <x:c r="G20" s="4" t="str">
        <x:v>UNICA</x:v>
      </x:c>
      <x:c r="H20" s="4" t="str">
        <x:v>NINGUNO</x:v>
      </x:c>
      <x:c r="I20" s="4" t="str"/>
      <x:c r="J20" s="4" t="str">
        <x:v>COMPLETA</x:v>
      </x:c>
      <x:c r="K20" s="4" t="str">
        <x:v>ORDEN_ACREDITADO</x:v>
      </x:c>
      <x:c r="L20" s="4" t="str">
        <x:v>VALIDA</x:v>
      </x:c>
      <x:c r="M20" s="4" t="str">
        <x:v>0</x:v>
      </x:c>
      <x:c r="N20" s="4" t="str">
        <x:v>SIN_REINICIO_COMPLETO</x:v>
      </x:c>
      <x:c r="O20" s="12" t="str">
        <x:f>IF(Q20="SIN_EJECUCION_DOMINIO","FALLO_CAPTURA",IF(OR(Q20="CAPTURA_MAL_FORMADA",Q20="IDENTIDAD",Q20="OBSERVACION_MAL_FORMADA",Q20="LEXEMA_O_FORMA"),"NO_ADMISION",IF(OR(Q20="PERFIL_NO_CONSTITUIDO",Q20="RESULTADO_NO_TERMINAL"),"FUERA_PERFIL",IF(Q20="CONTEXTO_NO_CONSTITUIDO","CONFIGURACION_PENDIENTE","VALIDA"))))</x:f>
        <x:v>VALIDA</x:v>
      </x:c>
      <x:c r="P20" s="12" t="str">
        <x:f>IF(O20&lt;&gt;"VALIDA","",IF(Q20=AA20,"1",IF(Q20=AB20,"0","U")))</x:f>
        <x:v>0</x:v>
      </x:c>
      <x:c r="Q20" s="12" t="str">
        <x:f>IF(E20="FALLO","SIN_EJECUCION_DOMINIO",IF(E20&lt;&gt;"LEGIBLE","CAPTURA_MAL_FORMADA",IF(D20&lt;&gt;"COINCIDE","IDENTIDAD",IF(OR(T20="",C20&lt;&gt;T20),"PERFIL_NO_CONSTITUIDO",IF(K20&lt;&gt;V20,IF(V20="ORDEN_ACREDITADO","ORDEN_NO_ACREDITADO","CONTEXTO_NO_CONSTITUIDO"),IF(AND(G20="AUSENTE",H20="",I20=""),"DATO_AUSENTE",IF(AND(G20="CONFLICTO",H20="",I20=""),"CONFLICTO_OBSERVACIONAL",IF(G20&lt;&gt;"UNICA","OBSERVACION_MAL_FORMADA",IF(F20&lt;&gt;U20,"OBSERVACION_INSUFICIENTE",IF(W20="RESULTADO",IF(H20=X20,AA20,IF(OR(H20="orcSucceededWithErrors",H20="orcFailed",H20="orcAborted"),AB20,IF(OR(H20="orcNotStarted",H20="orcInProgress"),"RESULTADO_NO_TERMINAL","LEXEMA_O_FORMA"))),IF(W20="EVENTO_BOOT",IF(H20=X20,AA20,IF(OR(H20="NINGUNO",H20="SOLO_HIBRIDO"),IF(J20="COMPLETA",AB20,"COBERTURA_INSUFICIENTE"),"LEXEMA_O_FORMA")),IF(W20="REQUISITO_SOFT",IF(H20=X20,AA20,IF(H20=Z20,AB20,"LEXEMA_O_FORMA")),IF(W20="EVENTO_PROC",IF(H20=X20,AA20,IF(H20=Z20,IF(J20="COMPLETA",AB20,"COBERTURA_INSUFICIENTE"),"LEXEMA_O_FORMA")),IF(W20="IMAGEN",IF(AND(AND(ISTEXT(H20),LEN(("x"&amp;H20))=65,EXACT(("x"&amp;H20),LOWER(("x"&amp;H20))),ISERROR(SEARCH(" ",("x"&amp;H20))),ISERROR(SEARCH(CHAR(9),("x"&amp;H20))),ISERROR(SEARCH(CHAR(10),("x"&amp;H20))),ISERROR(SEARCH(CHAR(13),("x"&amp;H20))),IFERROR(HEX2DEC(MID(("x"&amp;H20),2,8))&gt;=0,FALSE),IFERROR(HEX2DEC(MID(("x"&amp;H20),10,8))&gt;=0,FALSE),IFERROR(HEX2DEC(MID(("x"&amp;H20),18,8))&gt;=0,FALSE),IFERROR(HEX2DEC(MID(("x"&amp;H20),26,8))&gt;=0,FALSE),IFERROR(HEX2DEC(MID(("x"&amp;H20),34,8))&gt;=0,FALSE),IFERROR(HEX2DEC(MID(("x"&amp;H20),42,8))&gt;=0,FALSE),IFERROR(HEX2DEC(MID(("x"&amp;H20),50,8))&gt;=0,FALSE),IFERROR(HEX2DEC(MID(("x"&amp;H20),58,8))&gt;=0,FALSE)),AND(ISTEXT(I20),LEN(("x"&amp;I20))=65,EXACT(("x"&amp;I20),LOWER(("x"&amp;I20))),ISERROR(SEARCH(" ",("x"&amp;I20))),ISERROR(SEARCH(CHAR(9),("x"&amp;I20))),ISERROR(SEARCH(CHAR(10),("x"&amp;I20))),ISERROR(SEARCH(CHAR(13),("x"&amp;I20))),IFERROR(HEX2DEC(MID(("x"&amp;I20),2,8))&gt;=0,FALSE),IFERROR(HEX2DEC(MID(("x"&amp;I20),10,8))&gt;=0,FALSE),IFERROR(HEX2DEC(MID(("x"&amp;I20),18,8))&gt;=0,FALSE),IFERROR(HEX2DEC(MID(("x"&amp;I20),26,8))&gt;=0,FALSE),IFERROR(HEX2DEC(MID(("x"&amp;I20),34,8))&gt;=0,FALSE),IFERROR(HEX2DEC(MID(("x"&amp;I20),42,8))&gt;=0,FALSE),IFERROR(HEX2DEC(MID(("x"&amp;I20),50,8))&gt;=0,FALSE),IFERROR(HEX2DEC(MID(("x"&amp;I20),58,8))&gt;=0,FALSE))),IF(EXACT("x"&amp;H20,"x"&amp;I20),AA20,AB20),"LEXEMA_O_FORMA"),IF(W20="PRUEBA",IF(H20=X20,AA20,IF(H20=Z20,AB20,"LEXEMA_O_FORMA")),IF(W20="RETIRADA",IF(AND(H20="NINGUNO",I20=""),IF(J20="COMPLETA",AB20,"COBERTURA_INSUFICIENTE"),IF(AND(OR(H20="uoInstallation",H20="uoUninstallation"),OR(I20="orcSucceeded",I20="orcSucceededWithErrors",I20="orcFailed",I20="orcAborted",I20="orcInProgress",I20="orcNotStarted")),IF(AND(H20=X20,I20=Y20),AA20,IF(AND(H20=X20,OR(I20="orcSucceededWithErrors",I20="orcInProgress",I20="orcNotStarted")),"RESULTADO_RETIRADA_INCIERTO",IF(J20="COMPLETA",AB20,"COBERTURA_INSUFICIENTE"))),"LEXEMA_O_FORMA")),IF(W20="CAMBIO",IF(OR(H20="CAMBIO",H20="CAMBIO_Y_RETORNO"),AA20,IF(OR(H20="NINGUNO",H20="SOLO_RENOMBRE"),IF(J20="COMPLETA",AB20,"COBERTURA_INSUFICIENTE"),"LEXEMA_O_FORMA")),IF(W20="RESTAURACION",IF(H20=X20,AA20,IF(OR(H20="NINGUNO",H20="RESTAURACION_POSTERIOR",H20="RESTAURACION_FALLIDA"),IF(J20="COMPLETA",AB20,"COBERTURA_INSUFICIENTE"),"LEXEMA_O_FORMA")),"PERFIL_NO_CONSTITUIDO"))))))))))))))))))</x:f>
        <x:v>SIN_REINICIO_COMPLETO</x:v>
      </x:c>
      <x:c r="R20" s="12" t="str">
        <x:f>IF(AND(L20=O20,M20=P20,N20=Q20),"PASA","NO_PASA")</x:f>
        <x:v>PASA</x:v>
      </x:c>
      <x:c r="S20" s="4" t="str">
        <x:v>Negativo explícito; en eventos exige cobertura del intervalo.</x:v>
      </x:c>
      <x:c r="T20" s="12" t="str">
        <x:f>IFERROR(INDEX('55_Codificacion_ensayo'!$B$5:$B$13,MATCH(B20,'55_Codificacion_ensayo'!$A$5:$A$13,0)),"")</x:f>
        <x:v>EVENTO-REINICIO-COMPLETO-0.1</x:v>
      </x:c>
      <x:c r="U20" s="12" t="str">
        <x:f>IFERROR(INDEX('55_Codificacion_ensayo'!$C$5:$C$13,MATCH(B20,'55_Codificacion_ensayo'!$A$5:$A$13,0)),"")</x:f>
        <x:v>ARRANQUE_COMPLETO</x:v>
      </x:c>
      <x:c r="V20" s="12" t="str">
        <x:f>IFERROR(INDEX('55_Codificacion_ensayo'!$D$5:$D$13,MATCH(B20,'55_Codificacion_ensayo'!$A$5:$A$13,0)),"")</x:f>
        <x:v>ORDEN_ACREDITADO</x:v>
      </x:c>
      <x:c r="W20" s="12" t="str">
        <x:f>IFERROR(INDEX('55_Codificacion_ensayo'!$E$5:$E$13,MATCH(B20,'55_Codificacion_ensayo'!$A$5:$A$13,0)),"")</x:f>
        <x:v>EVENTO_BOOT</x:v>
      </x:c>
      <x:c r="X20" s="12" t="str">
        <x:f>IFERROR(INDEX('55_Codificacion_ensayo'!$F$5:$F$13,MATCH(B20,'55_Codificacion_ensayo'!$A$5:$A$13,0)),"")</x:f>
        <x:v>REINICIO_COMPLETO</x:v>
      </x:c>
      <x:c r="Y20" s="12" t="str">
        <x:f>IFERROR(INDEX('55_Codificacion_ensayo'!$G$5:$G$13,MATCH(B20,'55_Codificacion_ensayo'!$A$5:$A$13,0)),"")</x:f>
      </x:c>
      <x:c r="Z20" s="12" t="str">
        <x:f>IFERROR(INDEX('55_Codificacion_ensayo'!$H$5:$H$13,MATCH(B20,'55_Codificacion_ensayo'!$A$5:$A$13,0)),"")</x:f>
        <x:v>NINGUNO</x:v>
      </x:c>
      <x:c r="AA20" s="12" t="str">
        <x:f>IFERROR(INDEX('55_Codificacion_ensayo'!$I$5:$I$13,MATCH(B20,'55_Codificacion_ensayo'!$A$5:$A$13,0)),"")</x:f>
        <x:v>REINICIO_REALIZADO</x:v>
      </x:c>
      <x:c r="AB20" s="12" t="str">
        <x:f>IFERROR(INDEX('55_Codificacion_ensayo'!$J$5:$J$13,MATCH(B20,'55_Codificacion_ensayo'!$A$5:$A$13,0)),"")</x:f>
        <x:v>SIN_REINICIO_COMPLETO</x:v>
      </x:c>
    </x:row>
    <x:row r="21" ht="47" customHeight="1">
      <x:c r="A21" s="4" t="str">
        <x:v>L10-03-03</x:v>
      </x:c>
      <x:c r="B21" s="4" t="str">
        <x:v>PAR-CYB-REINICIO-SISTEMA-REALIZADO-001</x:v>
      </x:c>
      <x:c r="C21" s="4" t="str">
        <x:v>EVENTO-REINICIO-COMPLETO-0.1</x:v>
      </x:c>
      <x:c r="D21" s="4" t="str">
        <x:v>COINCIDE</x:v>
      </x:c>
      <x:c r="E21" s="4" t="str">
        <x:v>LEGIBLE</x:v>
      </x:c>
      <x:c r="F21" s="4" t="str">
        <x:v>ARRANQUE_COMPLETO</x:v>
      </x:c>
      <x:c r="G21" s="4" t="str">
        <x:v>AUSENTE</x:v>
      </x:c>
      <x:c r="H21" s="4" t="str"/>
      <x:c r="I21" s="4" t="str"/>
      <x:c r="J21" s="4" t="str">
        <x:v>COMPLETA</x:v>
      </x:c>
      <x:c r="K21" s="4" t="str">
        <x:v>ORDEN_ACREDITADO</x:v>
      </x:c>
      <x:c r="L21" s="4" t="str">
        <x:v>VALIDA</x:v>
      </x:c>
      <x:c r="M21" s="4" t="str">
        <x:v>U</x:v>
      </x:c>
      <x:c r="N21" s="4" t="str">
        <x:v>DATO_AUSENTE</x:v>
      </x:c>
      <x:c r="O21" s="12" t="str">
        <x:f>IF(Q21="SIN_EJECUCION_DOMINIO","FALLO_CAPTURA",IF(OR(Q21="CAPTURA_MAL_FORMADA",Q21="IDENTIDAD",Q21="OBSERVACION_MAL_FORMADA",Q21="LEXEMA_O_FORMA"),"NO_ADMISION",IF(OR(Q21="PERFIL_NO_CONSTITUIDO",Q21="RESULTADO_NO_TERMINAL"),"FUERA_PERFIL",IF(Q21="CONTEXTO_NO_CONSTITUIDO","CONFIGURACION_PENDIENTE","VALIDA"))))</x:f>
        <x:v>VALIDA</x:v>
      </x:c>
      <x:c r="P21" s="12" t="str">
        <x:f>IF(O21&lt;&gt;"VALIDA","",IF(Q21=AA21,"1",IF(Q21=AB21,"0","U")))</x:f>
        <x:v>U</x:v>
      </x:c>
      <x:c r="Q21" s="12" t="str">
        <x:f>IF(E21="FALLO","SIN_EJECUCION_DOMINIO",IF(E21&lt;&gt;"LEGIBLE","CAPTURA_MAL_FORMADA",IF(D21&lt;&gt;"COINCIDE","IDENTIDAD",IF(OR(T21="",C21&lt;&gt;T21),"PERFIL_NO_CONSTITUIDO",IF(K21&lt;&gt;V21,IF(V21="ORDEN_ACREDITADO","ORDEN_NO_ACREDITADO","CONTEXTO_NO_CONSTITUIDO"),IF(AND(G21="AUSENTE",H21="",I21=""),"DATO_AUSENTE",IF(AND(G21="CONFLICTO",H21="",I21=""),"CONFLICTO_OBSERVACIONAL",IF(G21&lt;&gt;"UNICA","OBSERVACION_MAL_FORMADA",IF(F21&lt;&gt;U21,"OBSERVACION_INSUFICIENTE",IF(W21="RESULTADO",IF(H21=X21,AA21,IF(OR(H21="orcSucceededWithErrors",H21="orcFailed",H21="orcAborted"),AB21,IF(OR(H21="orcNotStarted",H21="orcInProgress"),"RESULTADO_NO_TERMINAL","LEXEMA_O_FORMA"))),IF(W21="EVENTO_BOOT",IF(H21=X21,AA21,IF(OR(H21="NINGUNO",H21="SOLO_HIBRIDO"),IF(J21="COMPLETA",AB21,"COBERTURA_INSUFICIENTE"),"LEXEMA_O_FORMA")),IF(W21="REQUISITO_SOFT",IF(H21=X21,AA21,IF(H21=Z21,AB21,"LEXEMA_O_FORMA")),IF(W21="EVENTO_PROC",IF(H21=X21,AA21,IF(H21=Z21,IF(J21="COMPLETA",AB21,"COBERTURA_INSUFICIENTE"),"LEXEMA_O_FORMA")),IF(W21="IMAGEN",IF(AND(AND(ISTEXT(H21),LEN(("x"&amp;H21))=65,EXACT(("x"&amp;H21),LOWER(("x"&amp;H21))),ISERROR(SEARCH(" ",("x"&amp;H21))),ISERROR(SEARCH(CHAR(9),("x"&amp;H21))),ISERROR(SEARCH(CHAR(10),("x"&amp;H21))),ISERROR(SEARCH(CHAR(13),("x"&amp;H21))),IFERROR(HEX2DEC(MID(("x"&amp;H21),2,8))&gt;=0,FALSE),IFERROR(HEX2DEC(MID(("x"&amp;H21),10,8))&gt;=0,FALSE),IFERROR(HEX2DEC(MID(("x"&amp;H21),18,8))&gt;=0,FALSE),IFERROR(HEX2DEC(MID(("x"&amp;H21),26,8))&gt;=0,FALSE),IFERROR(HEX2DEC(MID(("x"&amp;H21),34,8))&gt;=0,FALSE),IFERROR(HEX2DEC(MID(("x"&amp;H21),42,8))&gt;=0,FALSE),IFERROR(HEX2DEC(MID(("x"&amp;H21),50,8))&gt;=0,FALSE),IFERROR(HEX2DEC(MID(("x"&amp;H21),58,8))&gt;=0,FALSE)),AND(ISTEXT(I21),LEN(("x"&amp;I21))=65,EXACT(("x"&amp;I21),LOWER(("x"&amp;I21))),ISERROR(SEARCH(" ",("x"&amp;I21))),ISERROR(SEARCH(CHAR(9),("x"&amp;I21))),ISERROR(SEARCH(CHAR(10),("x"&amp;I21))),ISERROR(SEARCH(CHAR(13),("x"&amp;I21))),IFERROR(HEX2DEC(MID(("x"&amp;I21),2,8))&gt;=0,FALSE),IFERROR(HEX2DEC(MID(("x"&amp;I21),10,8))&gt;=0,FALSE),IFERROR(HEX2DEC(MID(("x"&amp;I21),18,8))&gt;=0,FALSE),IFERROR(HEX2DEC(MID(("x"&amp;I21),26,8))&gt;=0,FALSE),IFERROR(HEX2DEC(MID(("x"&amp;I21),34,8))&gt;=0,FALSE),IFERROR(HEX2DEC(MID(("x"&amp;I21),42,8))&gt;=0,FALSE),IFERROR(HEX2DEC(MID(("x"&amp;I21),50,8))&gt;=0,FALSE),IFERROR(HEX2DEC(MID(("x"&amp;I21),58,8))&gt;=0,FALSE))),IF(EXACT("x"&amp;H21,"x"&amp;I21),AA21,AB21),"LEXEMA_O_FORMA"),IF(W21="PRUEBA",IF(H21=X21,AA21,IF(H21=Z21,AB21,"LEXEMA_O_FORMA")),IF(W21="RETIRADA",IF(AND(H21="NINGUNO",I21=""),IF(J21="COMPLETA",AB21,"COBERTURA_INSUFICIENTE"),IF(AND(OR(H21="uoInstallation",H21="uoUninstallation"),OR(I21="orcSucceeded",I21="orcSucceededWithErrors",I21="orcFailed",I21="orcAborted",I21="orcInProgress",I21="orcNotStarted")),IF(AND(H21=X21,I21=Y21),AA21,IF(AND(H21=X21,OR(I21="orcSucceededWithErrors",I21="orcInProgress",I21="orcNotStarted")),"RESULTADO_RETIRADA_INCIERTO",IF(J21="COMPLETA",AB21,"COBERTURA_INSUFICIENTE"))),"LEXEMA_O_FORMA")),IF(W21="CAMBIO",IF(OR(H21="CAMBIO",H21="CAMBIO_Y_RETORNO"),AA21,IF(OR(H21="NINGUNO",H21="SOLO_RENOMBRE"),IF(J21="COMPLETA",AB21,"COBERTURA_INSUFICIENTE"),"LEXEMA_O_FORMA")),IF(W21="RESTAURACION",IF(H21=X21,AA21,IF(OR(H21="NINGUNO",H21="RESTAURACION_POSTERIOR",H21="RESTAURACION_FALLIDA"),IF(J21="COMPLETA",AB21,"COBERTURA_INSUFICIENTE"),"LEXEMA_O_FORMA")),"PERFIL_NO_CONSTITUIDO"))))))))))))))))))</x:f>
        <x:v>DATO_AUSENTE</x:v>
      </x:c>
      <x:c r="R21" s="12" t="str">
        <x:f>IF(AND(L21=O21,M21=P21,N21=Q21),"PASA","NO_PASA")</x:f>
        <x:v>PASA</x:v>
      </x:c>
      <x:c r="S21" s="4" t="str">
        <x:v>Documento declara que falta la observación, sin convertir ausencia en 0.</x:v>
      </x:c>
      <x:c r="T21" s="12" t="str">
        <x:f>IFERROR(INDEX('55_Codificacion_ensayo'!$B$5:$B$13,MATCH(B21,'55_Codificacion_ensayo'!$A$5:$A$13,0)),"")</x:f>
        <x:v>EVENTO-REINICIO-COMPLETO-0.1</x:v>
      </x:c>
      <x:c r="U21" s="12" t="str">
        <x:f>IFERROR(INDEX('55_Codificacion_ensayo'!$C$5:$C$13,MATCH(B21,'55_Codificacion_ensayo'!$A$5:$A$13,0)),"")</x:f>
        <x:v>ARRANQUE_COMPLETO</x:v>
      </x:c>
      <x:c r="V21" s="12" t="str">
        <x:f>IFERROR(INDEX('55_Codificacion_ensayo'!$D$5:$D$13,MATCH(B21,'55_Codificacion_ensayo'!$A$5:$A$13,0)),"")</x:f>
        <x:v>ORDEN_ACREDITADO</x:v>
      </x:c>
      <x:c r="W21" s="12" t="str">
        <x:f>IFERROR(INDEX('55_Codificacion_ensayo'!$E$5:$E$13,MATCH(B21,'55_Codificacion_ensayo'!$A$5:$A$13,0)),"")</x:f>
        <x:v>EVENTO_BOOT</x:v>
      </x:c>
      <x:c r="X21" s="12" t="str">
        <x:f>IFERROR(INDEX('55_Codificacion_ensayo'!$F$5:$F$13,MATCH(B21,'55_Codificacion_ensayo'!$A$5:$A$13,0)),"")</x:f>
        <x:v>REINICIO_COMPLETO</x:v>
      </x:c>
      <x:c r="Y21" s="12" t="str">
        <x:f>IFERROR(INDEX('55_Codificacion_ensayo'!$G$5:$G$13,MATCH(B21,'55_Codificacion_ensayo'!$A$5:$A$13,0)),"")</x:f>
      </x:c>
      <x:c r="Z21" s="12" t="str">
        <x:f>IFERROR(INDEX('55_Codificacion_ensayo'!$H$5:$H$13,MATCH(B21,'55_Codificacion_ensayo'!$A$5:$A$13,0)),"")</x:f>
        <x:v>NINGUNO</x:v>
      </x:c>
      <x:c r="AA21" s="12" t="str">
        <x:f>IFERROR(INDEX('55_Codificacion_ensayo'!$I$5:$I$13,MATCH(B21,'55_Codificacion_ensayo'!$A$5:$A$13,0)),"")</x:f>
        <x:v>REINICIO_REALIZADO</x:v>
      </x:c>
      <x:c r="AB21" s="12" t="str">
        <x:f>IFERROR(INDEX('55_Codificacion_ensayo'!$J$5:$J$13,MATCH(B21,'55_Codificacion_ensayo'!$A$5:$A$13,0)),"")</x:f>
        <x:v>SIN_REINICIO_COMPLETO</x:v>
      </x:c>
    </x:row>
    <x:row r="22" ht="47" customHeight="1">
      <x:c r="A22" s="4" t="str">
        <x:v>L10-03-04</x:v>
      </x:c>
      <x:c r="B22" s="4" t="str">
        <x:v>PAR-CYB-REINICIO-SISTEMA-REALIZADO-001</x:v>
      </x:c>
      <x:c r="C22" s="4" t="str">
        <x:v>EVENTO-REINICIO-COMPLETO-0.1</x:v>
      </x:c>
      <x:c r="D22" s="4" t="str">
        <x:v>COINCIDE</x:v>
      </x:c>
      <x:c r="E22" s="4" t="str">
        <x:v>LEGIBLE</x:v>
      </x:c>
      <x:c r="F22" s="4" t="str">
        <x:v>ARRANQUE_COMPLETO</x:v>
      </x:c>
      <x:c r="G22" s="4" t="str">
        <x:v>CONFLICTO</x:v>
      </x:c>
      <x:c r="H22" s="4" t="str"/>
      <x:c r="I22" s="4" t="str"/>
      <x:c r="J22" s="4" t="str">
        <x:v>COMPLETA</x:v>
      </x:c>
      <x:c r="K22" s="4" t="str">
        <x:v>ORDEN_ACREDITADO</x:v>
      </x:c>
      <x:c r="L22" s="4" t="str">
        <x:v>VALIDA</x:v>
      </x:c>
      <x:c r="M22" s="4" t="str">
        <x:v>U</x:v>
      </x:c>
      <x:c r="N22" s="4" t="str">
        <x:v>CONFLICTO_OBSERVACIONAL</x:v>
      </x:c>
      <x:c r="O22" s="12" t="str">
        <x:f>IF(Q22="SIN_EJECUCION_DOMINIO","FALLO_CAPTURA",IF(OR(Q22="CAPTURA_MAL_FORMADA",Q22="IDENTIDAD",Q22="OBSERVACION_MAL_FORMADA",Q22="LEXEMA_O_FORMA"),"NO_ADMISION",IF(OR(Q22="PERFIL_NO_CONSTITUIDO",Q22="RESULTADO_NO_TERMINAL"),"FUERA_PERFIL",IF(Q22="CONTEXTO_NO_CONSTITUIDO","CONFIGURACION_PENDIENTE","VALIDA"))))</x:f>
        <x:v>VALIDA</x:v>
      </x:c>
      <x:c r="P22" s="12" t="str">
        <x:f>IF(O22&lt;&gt;"VALIDA","",IF(Q22=AA22,"1",IF(Q22=AB22,"0","U")))</x:f>
        <x:v>U</x:v>
      </x:c>
      <x:c r="Q22" s="12" t="str">
        <x:f>IF(E22="FALLO","SIN_EJECUCION_DOMINIO",IF(E22&lt;&gt;"LEGIBLE","CAPTURA_MAL_FORMADA",IF(D22&lt;&gt;"COINCIDE","IDENTIDAD",IF(OR(T22="",C22&lt;&gt;T22),"PERFIL_NO_CONSTITUIDO",IF(K22&lt;&gt;V22,IF(V22="ORDEN_ACREDITADO","ORDEN_NO_ACREDITADO","CONTEXTO_NO_CONSTITUIDO"),IF(AND(G22="AUSENTE",H22="",I22=""),"DATO_AUSENTE",IF(AND(G22="CONFLICTO",H22="",I22=""),"CONFLICTO_OBSERVACIONAL",IF(G22&lt;&gt;"UNICA","OBSERVACION_MAL_FORMADA",IF(F22&lt;&gt;U22,"OBSERVACION_INSUFICIENTE",IF(W22="RESULTADO",IF(H22=X22,AA22,IF(OR(H22="orcSucceededWithErrors",H22="orcFailed",H22="orcAborted"),AB22,IF(OR(H22="orcNotStarted",H22="orcInProgress"),"RESULTADO_NO_TERMINAL","LEXEMA_O_FORMA"))),IF(W22="EVENTO_BOOT",IF(H22=X22,AA22,IF(OR(H22="NINGUNO",H22="SOLO_HIBRIDO"),IF(J22="COMPLETA",AB22,"COBERTURA_INSUFICIENTE"),"LEXEMA_O_FORMA")),IF(W22="REQUISITO_SOFT",IF(H22=X22,AA22,IF(H22=Z22,AB22,"LEXEMA_O_FORMA")),IF(W22="EVENTO_PROC",IF(H22=X22,AA22,IF(H22=Z22,IF(J22="COMPLETA",AB22,"COBERTURA_INSUFICIENTE"),"LEXEMA_O_FORMA")),IF(W22="IMAGEN",IF(AND(AND(ISTEXT(H22),LEN(("x"&amp;H22))=65,EXACT(("x"&amp;H22),LOWER(("x"&amp;H22))),ISERROR(SEARCH(" ",("x"&amp;H22))),ISERROR(SEARCH(CHAR(9),("x"&amp;H22))),ISERROR(SEARCH(CHAR(10),("x"&amp;H22))),ISERROR(SEARCH(CHAR(13),("x"&amp;H22))),IFERROR(HEX2DEC(MID(("x"&amp;H22),2,8))&gt;=0,FALSE),IFERROR(HEX2DEC(MID(("x"&amp;H22),10,8))&gt;=0,FALSE),IFERROR(HEX2DEC(MID(("x"&amp;H22),18,8))&gt;=0,FALSE),IFERROR(HEX2DEC(MID(("x"&amp;H22),26,8))&gt;=0,FALSE),IFERROR(HEX2DEC(MID(("x"&amp;H22),34,8))&gt;=0,FALSE),IFERROR(HEX2DEC(MID(("x"&amp;H22),42,8))&gt;=0,FALSE),IFERROR(HEX2DEC(MID(("x"&amp;H22),50,8))&gt;=0,FALSE),IFERROR(HEX2DEC(MID(("x"&amp;H22),58,8))&gt;=0,FALSE)),AND(ISTEXT(I22),LEN(("x"&amp;I22))=65,EXACT(("x"&amp;I22),LOWER(("x"&amp;I22))),ISERROR(SEARCH(" ",("x"&amp;I22))),ISERROR(SEARCH(CHAR(9),("x"&amp;I22))),ISERROR(SEARCH(CHAR(10),("x"&amp;I22))),ISERROR(SEARCH(CHAR(13),("x"&amp;I22))),IFERROR(HEX2DEC(MID(("x"&amp;I22),2,8))&gt;=0,FALSE),IFERROR(HEX2DEC(MID(("x"&amp;I22),10,8))&gt;=0,FALSE),IFERROR(HEX2DEC(MID(("x"&amp;I22),18,8))&gt;=0,FALSE),IFERROR(HEX2DEC(MID(("x"&amp;I22),26,8))&gt;=0,FALSE),IFERROR(HEX2DEC(MID(("x"&amp;I22),34,8))&gt;=0,FALSE),IFERROR(HEX2DEC(MID(("x"&amp;I22),42,8))&gt;=0,FALSE),IFERROR(HEX2DEC(MID(("x"&amp;I22),50,8))&gt;=0,FALSE),IFERROR(HEX2DEC(MID(("x"&amp;I22),58,8))&gt;=0,FALSE))),IF(EXACT("x"&amp;H22,"x"&amp;I22),AA22,AB22),"LEXEMA_O_FORMA"),IF(W22="PRUEBA",IF(H22=X22,AA22,IF(H22=Z22,AB22,"LEXEMA_O_FORMA")),IF(W22="RETIRADA",IF(AND(H22="NINGUNO",I22=""),IF(J22="COMPLETA",AB22,"COBERTURA_INSUFICIENTE"),IF(AND(OR(H22="uoInstallation",H22="uoUninstallation"),OR(I22="orcSucceeded",I22="orcSucceededWithErrors",I22="orcFailed",I22="orcAborted",I22="orcInProgress",I22="orcNotStarted")),IF(AND(H22=X22,I22=Y22),AA22,IF(AND(H22=X22,OR(I22="orcSucceededWithErrors",I22="orcInProgress",I22="orcNotStarted")),"RESULTADO_RETIRADA_INCIERTO",IF(J22="COMPLETA",AB22,"COBERTURA_INSUFICIENTE"))),"LEXEMA_O_FORMA")),IF(W22="CAMBIO",IF(OR(H22="CAMBIO",H22="CAMBIO_Y_RETORNO"),AA22,IF(OR(H22="NINGUNO",H22="SOLO_RENOMBRE"),IF(J22="COMPLETA",AB22,"COBERTURA_INSUFICIENTE"),"LEXEMA_O_FORMA")),IF(W22="RESTAURACION",IF(H22=X22,AA22,IF(OR(H22="NINGUNO",H22="RESTAURACION_POSTERIOR",H22="RESTAURACION_FALLIDA"),IF(J22="COMPLETA",AB22,"COBERTURA_INSUFICIENTE"),"LEXEMA_O_FORMA")),"PERFIL_NO_CONSTITUIDO"))))))))))))))))))</x:f>
        <x:v>CONFLICTO_OBSERVACIONAL</x:v>
      </x:c>
      <x:c r="R22" s="12" t="str">
        <x:f>IF(AND(L22=O22,M22=P22,N22=Q22),"PASA","NO_PASA")</x:f>
        <x:v>PASA</x:v>
      </x:c>
      <x:c r="S22" s="4" t="str">
        <x:v>Conflicto entre observaciones admitidas del mismo sujeto y corte.</x:v>
      </x:c>
      <x:c r="T22" s="12" t="str">
        <x:f>IFERROR(INDEX('55_Codificacion_ensayo'!$B$5:$B$13,MATCH(B22,'55_Codificacion_ensayo'!$A$5:$A$13,0)),"")</x:f>
        <x:v>EVENTO-REINICIO-COMPLETO-0.1</x:v>
      </x:c>
      <x:c r="U22" s="12" t="str">
        <x:f>IFERROR(INDEX('55_Codificacion_ensayo'!$C$5:$C$13,MATCH(B22,'55_Codificacion_ensayo'!$A$5:$A$13,0)),"")</x:f>
        <x:v>ARRANQUE_COMPLETO</x:v>
      </x:c>
      <x:c r="V22" s="12" t="str">
        <x:f>IFERROR(INDEX('55_Codificacion_ensayo'!$D$5:$D$13,MATCH(B22,'55_Codificacion_ensayo'!$A$5:$A$13,0)),"")</x:f>
        <x:v>ORDEN_ACREDITADO</x:v>
      </x:c>
      <x:c r="W22" s="12" t="str">
        <x:f>IFERROR(INDEX('55_Codificacion_ensayo'!$E$5:$E$13,MATCH(B22,'55_Codificacion_ensayo'!$A$5:$A$13,0)),"")</x:f>
        <x:v>EVENTO_BOOT</x:v>
      </x:c>
      <x:c r="X22" s="12" t="str">
        <x:f>IFERROR(INDEX('55_Codificacion_ensayo'!$F$5:$F$13,MATCH(B22,'55_Codificacion_ensayo'!$A$5:$A$13,0)),"")</x:f>
        <x:v>REINICIO_COMPLETO</x:v>
      </x:c>
      <x:c r="Y22" s="12" t="str">
        <x:f>IFERROR(INDEX('55_Codificacion_ensayo'!$G$5:$G$13,MATCH(B22,'55_Codificacion_ensayo'!$A$5:$A$13,0)),"")</x:f>
      </x:c>
      <x:c r="Z22" s="12" t="str">
        <x:f>IFERROR(INDEX('55_Codificacion_ensayo'!$H$5:$H$13,MATCH(B22,'55_Codificacion_ensayo'!$A$5:$A$13,0)),"")</x:f>
        <x:v>NINGUNO</x:v>
      </x:c>
      <x:c r="AA22" s="12" t="str">
        <x:f>IFERROR(INDEX('55_Codificacion_ensayo'!$I$5:$I$13,MATCH(B22,'55_Codificacion_ensayo'!$A$5:$A$13,0)),"")</x:f>
        <x:v>REINICIO_REALIZADO</x:v>
      </x:c>
      <x:c r="AB22" s="12" t="str">
        <x:f>IFERROR(INDEX('55_Codificacion_ensayo'!$J$5:$J$13,MATCH(B22,'55_Codificacion_ensayo'!$A$5:$A$13,0)),"")</x:f>
        <x:v>SIN_REINICIO_COMPLETO</x:v>
      </x:c>
    </x:row>
    <x:row r="23" ht="47" customHeight="1">
      <x:c r="A23" s="4" t="str">
        <x:v>L10-03-05</x:v>
      </x:c>
      <x:c r="B23" s="4" t="str">
        <x:v>PAR-CYB-REINICIO-SISTEMA-REALIZADO-001</x:v>
      </x:c>
      <x:c r="C23" s="4" t="str">
        <x:v>EVENTO-REINICIO-COMPLETO-0.1</x:v>
      </x:c>
      <x:c r="D23" s="4" t="str">
        <x:v>COINCIDE</x:v>
      </x:c>
      <x:c r="E23" s="4" t="str">
        <x:v>FALLO</x:v>
      </x:c>
      <x:c r="F23" s="4" t="str">
        <x:v>ARRANQUE_COMPLETO</x:v>
      </x:c>
      <x:c r="G23" s="4" t="str">
        <x:v>UNICA</x:v>
      </x:c>
      <x:c r="H23" s="4" t="str">
        <x:v>REINICIO_COMPLETO</x:v>
      </x:c>
      <x:c r="I23" s="4" t="str"/>
      <x:c r="J23" s="4" t="str">
        <x:v>COMPLETA</x:v>
      </x:c>
      <x:c r="K23" s="4" t="str">
        <x:v>ORDEN_ACREDITADO</x:v>
      </x:c>
      <x:c r="L23" s="4" t="str">
        <x:v>FALLO_CAPTURA</x:v>
      </x:c>
      <x:c r="M23" s="4" t="str"/>
      <x:c r="N23" s="4" t="str">
        <x:v>SIN_EJECUCION_DOMINIO</x:v>
      </x:c>
      <x:c r="O23" s="12" t="str">
        <x:f>IF(Q23="SIN_EJECUCION_DOMINIO","FALLO_CAPTURA",IF(OR(Q23="CAPTURA_MAL_FORMADA",Q23="IDENTIDAD",Q23="OBSERVACION_MAL_FORMADA",Q23="LEXEMA_O_FORMA"),"NO_ADMISION",IF(OR(Q23="PERFIL_NO_CONSTITUIDO",Q23="RESULTADO_NO_TERMINAL"),"FUERA_PERFIL",IF(Q23="CONTEXTO_NO_CONSTITUIDO","CONFIGURACION_PENDIENTE","VALIDA"))))</x:f>
        <x:v>FALLO_CAPTURA</x:v>
      </x:c>
      <x:c r="P23" s="12" t="str">
        <x:f>IF(O23&lt;&gt;"VALIDA","",IF(Q23=AA23,"1",IF(Q23=AB23,"0","U")))</x:f>
      </x:c>
      <x:c r="Q23" s="12" t="str">
        <x:f>IF(E23="FALLO","SIN_EJECUCION_DOMINIO",IF(E23&lt;&gt;"LEGIBLE","CAPTURA_MAL_FORMADA",IF(D23&lt;&gt;"COINCIDE","IDENTIDAD",IF(OR(T23="",C23&lt;&gt;T23),"PERFIL_NO_CONSTITUIDO",IF(K23&lt;&gt;V23,IF(V23="ORDEN_ACREDITADO","ORDEN_NO_ACREDITADO","CONTEXTO_NO_CONSTITUIDO"),IF(AND(G23="AUSENTE",H23="",I23=""),"DATO_AUSENTE",IF(AND(G23="CONFLICTO",H23="",I23=""),"CONFLICTO_OBSERVACIONAL",IF(G23&lt;&gt;"UNICA","OBSERVACION_MAL_FORMADA",IF(F23&lt;&gt;U23,"OBSERVACION_INSUFICIENTE",IF(W23="RESULTADO",IF(H23=X23,AA23,IF(OR(H23="orcSucceededWithErrors",H23="orcFailed",H23="orcAborted"),AB23,IF(OR(H23="orcNotStarted",H23="orcInProgress"),"RESULTADO_NO_TERMINAL","LEXEMA_O_FORMA"))),IF(W23="EVENTO_BOOT",IF(H23=X23,AA23,IF(OR(H23="NINGUNO",H23="SOLO_HIBRIDO"),IF(J23="COMPLETA",AB23,"COBERTURA_INSUFICIENTE"),"LEXEMA_O_FORMA")),IF(W23="REQUISITO_SOFT",IF(H23=X23,AA23,IF(H23=Z23,AB23,"LEXEMA_O_FORMA")),IF(W23="EVENTO_PROC",IF(H23=X23,AA23,IF(H23=Z23,IF(J23="COMPLETA",AB23,"COBERTURA_INSUFICIENTE"),"LEXEMA_O_FORMA")),IF(W23="IMAGEN",IF(AND(AND(ISTEXT(H23),LEN(("x"&amp;H23))=65,EXACT(("x"&amp;H23),LOWER(("x"&amp;H23))),ISERROR(SEARCH(" ",("x"&amp;H23))),ISERROR(SEARCH(CHAR(9),("x"&amp;H23))),ISERROR(SEARCH(CHAR(10),("x"&amp;H23))),ISERROR(SEARCH(CHAR(13),("x"&amp;H23))),IFERROR(HEX2DEC(MID(("x"&amp;H23),2,8))&gt;=0,FALSE),IFERROR(HEX2DEC(MID(("x"&amp;H23),10,8))&gt;=0,FALSE),IFERROR(HEX2DEC(MID(("x"&amp;H23),18,8))&gt;=0,FALSE),IFERROR(HEX2DEC(MID(("x"&amp;H23),26,8))&gt;=0,FALSE),IFERROR(HEX2DEC(MID(("x"&amp;H23),34,8))&gt;=0,FALSE),IFERROR(HEX2DEC(MID(("x"&amp;H23),42,8))&gt;=0,FALSE),IFERROR(HEX2DEC(MID(("x"&amp;H23),50,8))&gt;=0,FALSE),IFERROR(HEX2DEC(MID(("x"&amp;H23),58,8))&gt;=0,FALSE)),AND(ISTEXT(I23),LEN(("x"&amp;I23))=65,EXACT(("x"&amp;I23),LOWER(("x"&amp;I23))),ISERROR(SEARCH(" ",("x"&amp;I23))),ISERROR(SEARCH(CHAR(9),("x"&amp;I23))),ISERROR(SEARCH(CHAR(10),("x"&amp;I23))),ISERROR(SEARCH(CHAR(13),("x"&amp;I23))),IFERROR(HEX2DEC(MID(("x"&amp;I23),2,8))&gt;=0,FALSE),IFERROR(HEX2DEC(MID(("x"&amp;I23),10,8))&gt;=0,FALSE),IFERROR(HEX2DEC(MID(("x"&amp;I23),18,8))&gt;=0,FALSE),IFERROR(HEX2DEC(MID(("x"&amp;I23),26,8))&gt;=0,FALSE),IFERROR(HEX2DEC(MID(("x"&amp;I23),34,8))&gt;=0,FALSE),IFERROR(HEX2DEC(MID(("x"&amp;I23),42,8))&gt;=0,FALSE),IFERROR(HEX2DEC(MID(("x"&amp;I23),50,8))&gt;=0,FALSE),IFERROR(HEX2DEC(MID(("x"&amp;I23),58,8))&gt;=0,FALSE))),IF(EXACT("x"&amp;H23,"x"&amp;I23),AA23,AB23),"LEXEMA_O_FORMA"),IF(W23="PRUEBA",IF(H23=X23,AA23,IF(H23=Z23,AB23,"LEXEMA_O_FORMA")),IF(W23="RETIRADA",IF(AND(H23="NINGUNO",I23=""),IF(J23="COMPLETA",AB23,"COBERTURA_INSUFICIENTE"),IF(AND(OR(H23="uoInstallation",H23="uoUninstallation"),OR(I23="orcSucceeded",I23="orcSucceededWithErrors",I23="orcFailed",I23="orcAborted",I23="orcInProgress",I23="orcNotStarted")),IF(AND(H23=X23,I23=Y23),AA23,IF(AND(H23=X23,OR(I23="orcSucceededWithErrors",I23="orcInProgress",I23="orcNotStarted")),"RESULTADO_RETIRADA_INCIERTO",IF(J23="COMPLETA",AB23,"COBERTURA_INSUFICIENTE"))),"LEXEMA_O_FORMA")),IF(W23="CAMBIO",IF(OR(H23="CAMBIO",H23="CAMBIO_Y_RETORNO"),AA23,IF(OR(H23="NINGUNO",H23="SOLO_RENOMBRE"),IF(J23="COMPLETA",AB23,"COBERTURA_INSUFICIENTE"),"LEXEMA_O_FORMA")),IF(W23="RESTAURACION",IF(H23=X23,AA23,IF(OR(H23="NINGUNO",H23="RESTAURACION_POSTERIOR",H23="RESTAURACION_FALLIDA"),IF(J23="COMPLETA",AB23,"COBERTURA_INSUFICIENTE"),"LEXEMA_O_FORMA")),"PERFIL_NO_CONSTITUIDO"))))))))))))))))))</x:f>
        <x:v>SIN_EJECUCION_DOMINIO</x:v>
      </x:c>
      <x:c r="R23" s="12" t="str">
        <x:f>IF(AND(L23=O23,M23=P23,N23=Q23),"PASA","NO_PASA")</x:f>
        <x:v>PASA</x:v>
      </x:c>
      <x:c r="S23" s="4" t="str">
        <x:v>El observador falla; no existe ejecución de dominio ni Tri alternativo.</x:v>
      </x:c>
      <x:c r="T23" s="12" t="str">
        <x:f>IFERROR(INDEX('55_Codificacion_ensayo'!$B$5:$B$13,MATCH(B23,'55_Codificacion_ensayo'!$A$5:$A$13,0)),"")</x:f>
        <x:v>EVENTO-REINICIO-COMPLETO-0.1</x:v>
      </x:c>
      <x:c r="U23" s="12" t="str">
        <x:f>IFERROR(INDEX('55_Codificacion_ensayo'!$C$5:$C$13,MATCH(B23,'55_Codificacion_ensayo'!$A$5:$A$13,0)),"")</x:f>
        <x:v>ARRANQUE_COMPLETO</x:v>
      </x:c>
      <x:c r="V23" s="12" t="str">
        <x:f>IFERROR(INDEX('55_Codificacion_ensayo'!$D$5:$D$13,MATCH(B23,'55_Codificacion_ensayo'!$A$5:$A$13,0)),"")</x:f>
        <x:v>ORDEN_ACREDITADO</x:v>
      </x:c>
      <x:c r="W23" s="12" t="str">
        <x:f>IFERROR(INDEX('55_Codificacion_ensayo'!$E$5:$E$13,MATCH(B23,'55_Codificacion_ensayo'!$A$5:$A$13,0)),"")</x:f>
        <x:v>EVENTO_BOOT</x:v>
      </x:c>
      <x:c r="X23" s="12" t="str">
        <x:f>IFERROR(INDEX('55_Codificacion_ensayo'!$F$5:$F$13,MATCH(B23,'55_Codificacion_ensayo'!$A$5:$A$13,0)),"")</x:f>
        <x:v>REINICIO_COMPLETO</x:v>
      </x:c>
      <x:c r="Y23" s="12" t="str">
        <x:f>IFERROR(INDEX('55_Codificacion_ensayo'!$G$5:$G$13,MATCH(B23,'55_Codificacion_ensayo'!$A$5:$A$13,0)),"")</x:f>
      </x:c>
      <x:c r="Z23" s="12" t="str">
        <x:f>IFERROR(INDEX('55_Codificacion_ensayo'!$H$5:$H$13,MATCH(B23,'55_Codificacion_ensayo'!$A$5:$A$13,0)),"")</x:f>
        <x:v>NINGUNO</x:v>
      </x:c>
      <x:c r="AA23" s="12" t="str">
        <x:f>IFERROR(INDEX('55_Codificacion_ensayo'!$I$5:$I$13,MATCH(B23,'55_Codificacion_ensayo'!$A$5:$A$13,0)),"")</x:f>
        <x:v>REINICIO_REALIZADO</x:v>
      </x:c>
      <x:c r="AB23" s="12" t="str">
        <x:f>IFERROR(INDEX('55_Codificacion_ensayo'!$J$5:$J$13,MATCH(B23,'55_Codificacion_ensayo'!$A$5:$A$13,0)),"")</x:f>
        <x:v>SIN_REINICIO_COMPLETO</x:v>
      </x:c>
    </x:row>
    <x:row r="24" ht="47" customHeight="1">
      <x:c r="A24" s="4" t="str">
        <x:v>L10-03-06</x:v>
      </x:c>
      <x:c r="B24" s="4" t="str">
        <x:v>PAR-CYB-REINICIO-SISTEMA-REALIZADO-001</x:v>
      </x:c>
      <x:c r="C24" s="4" t="str">
        <x:v>EVENTO-REINICIO-COMPLETO-0.1</x:v>
      </x:c>
      <x:c r="D24" s="4" t="str">
        <x:v>OTRO</x:v>
      </x:c>
      <x:c r="E24" s="4" t="str">
        <x:v>LEGIBLE</x:v>
      </x:c>
      <x:c r="F24" s="4" t="str">
        <x:v>ARRANQUE_COMPLETO</x:v>
      </x:c>
      <x:c r="G24" s="4" t="str">
        <x:v>UNICA</x:v>
      </x:c>
      <x:c r="H24" s="4" t="str">
        <x:v>REINICIO_COMPLETO</x:v>
      </x:c>
      <x:c r="I24" s="4" t="str"/>
      <x:c r="J24" s="4" t="str">
        <x:v>COMPLETA</x:v>
      </x:c>
      <x:c r="K24" s="4" t="str">
        <x:v>ORDEN_ACREDITADO</x:v>
      </x:c>
      <x:c r="L24" s="4" t="str">
        <x:v>NO_ADMISION</x:v>
      </x:c>
      <x:c r="M24" s="4" t="str"/>
      <x:c r="N24" s="4" t="str">
        <x:v>IDENTIDAD</x:v>
      </x:c>
      <x:c r="O24" s="12" t="str">
        <x:f>IF(Q24="SIN_EJECUCION_DOMINIO","FALLO_CAPTURA",IF(OR(Q24="CAPTURA_MAL_FORMADA",Q24="IDENTIDAD",Q24="OBSERVACION_MAL_FORMADA",Q24="LEXEMA_O_FORMA"),"NO_ADMISION",IF(OR(Q24="PERFIL_NO_CONSTITUIDO",Q24="RESULTADO_NO_TERMINAL"),"FUERA_PERFIL",IF(Q24="CONTEXTO_NO_CONSTITUIDO","CONFIGURACION_PENDIENTE","VALIDA"))))</x:f>
        <x:v>NO_ADMISION</x:v>
      </x:c>
      <x:c r="P24" s="12" t="str">
        <x:f>IF(O24&lt;&gt;"VALIDA","",IF(Q24=AA24,"1",IF(Q24=AB24,"0","U")))</x:f>
      </x:c>
      <x:c r="Q24" s="12" t="str">
        <x:f>IF(E24="FALLO","SIN_EJECUCION_DOMINIO",IF(E24&lt;&gt;"LEGIBLE","CAPTURA_MAL_FORMADA",IF(D24&lt;&gt;"COINCIDE","IDENTIDAD",IF(OR(T24="",C24&lt;&gt;T24),"PERFIL_NO_CONSTITUIDO",IF(K24&lt;&gt;V24,IF(V24="ORDEN_ACREDITADO","ORDEN_NO_ACREDITADO","CONTEXTO_NO_CONSTITUIDO"),IF(AND(G24="AUSENTE",H24="",I24=""),"DATO_AUSENTE",IF(AND(G24="CONFLICTO",H24="",I24=""),"CONFLICTO_OBSERVACIONAL",IF(G24&lt;&gt;"UNICA","OBSERVACION_MAL_FORMADA",IF(F24&lt;&gt;U24,"OBSERVACION_INSUFICIENTE",IF(W24="RESULTADO",IF(H24=X24,AA24,IF(OR(H24="orcSucceededWithErrors",H24="orcFailed",H24="orcAborted"),AB24,IF(OR(H24="orcNotStarted",H24="orcInProgress"),"RESULTADO_NO_TERMINAL","LEXEMA_O_FORMA"))),IF(W24="EVENTO_BOOT",IF(H24=X24,AA24,IF(OR(H24="NINGUNO",H24="SOLO_HIBRIDO"),IF(J24="COMPLETA",AB24,"COBERTURA_INSUFICIENTE"),"LEXEMA_O_FORMA")),IF(W24="REQUISITO_SOFT",IF(H24=X24,AA24,IF(H24=Z24,AB24,"LEXEMA_O_FORMA")),IF(W24="EVENTO_PROC",IF(H24=X24,AA24,IF(H24=Z24,IF(J24="COMPLETA",AB24,"COBERTURA_INSUFICIENTE"),"LEXEMA_O_FORMA")),IF(W24="IMAGEN",IF(AND(AND(ISTEXT(H24),LEN(("x"&amp;H24))=65,EXACT(("x"&amp;H24),LOWER(("x"&amp;H24))),ISERROR(SEARCH(" ",("x"&amp;H24))),ISERROR(SEARCH(CHAR(9),("x"&amp;H24))),ISERROR(SEARCH(CHAR(10),("x"&amp;H24))),ISERROR(SEARCH(CHAR(13),("x"&amp;H24))),IFERROR(HEX2DEC(MID(("x"&amp;H24),2,8))&gt;=0,FALSE),IFERROR(HEX2DEC(MID(("x"&amp;H24),10,8))&gt;=0,FALSE),IFERROR(HEX2DEC(MID(("x"&amp;H24),18,8))&gt;=0,FALSE),IFERROR(HEX2DEC(MID(("x"&amp;H24),26,8))&gt;=0,FALSE),IFERROR(HEX2DEC(MID(("x"&amp;H24),34,8))&gt;=0,FALSE),IFERROR(HEX2DEC(MID(("x"&amp;H24),42,8))&gt;=0,FALSE),IFERROR(HEX2DEC(MID(("x"&amp;H24),50,8))&gt;=0,FALSE),IFERROR(HEX2DEC(MID(("x"&amp;H24),58,8))&gt;=0,FALSE)),AND(ISTEXT(I24),LEN(("x"&amp;I24))=65,EXACT(("x"&amp;I24),LOWER(("x"&amp;I24))),ISERROR(SEARCH(" ",("x"&amp;I24))),ISERROR(SEARCH(CHAR(9),("x"&amp;I24))),ISERROR(SEARCH(CHAR(10),("x"&amp;I24))),ISERROR(SEARCH(CHAR(13),("x"&amp;I24))),IFERROR(HEX2DEC(MID(("x"&amp;I24),2,8))&gt;=0,FALSE),IFERROR(HEX2DEC(MID(("x"&amp;I24),10,8))&gt;=0,FALSE),IFERROR(HEX2DEC(MID(("x"&amp;I24),18,8))&gt;=0,FALSE),IFERROR(HEX2DEC(MID(("x"&amp;I24),26,8))&gt;=0,FALSE),IFERROR(HEX2DEC(MID(("x"&amp;I24),34,8))&gt;=0,FALSE),IFERROR(HEX2DEC(MID(("x"&amp;I24),42,8))&gt;=0,FALSE),IFERROR(HEX2DEC(MID(("x"&amp;I24),50,8))&gt;=0,FALSE),IFERROR(HEX2DEC(MID(("x"&amp;I24),58,8))&gt;=0,FALSE))),IF(EXACT("x"&amp;H24,"x"&amp;I24),AA24,AB24),"LEXEMA_O_FORMA"),IF(W24="PRUEBA",IF(H24=X24,AA24,IF(H24=Z24,AB24,"LEXEMA_O_FORMA")),IF(W24="RETIRADA",IF(AND(H24="NINGUNO",I24=""),IF(J24="COMPLETA",AB24,"COBERTURA_INSUFICIENTE"),IF(AND(OR(H24="uoInstallation",H24="uoUninstallation"),OR(I24="orcSucceeded",I24="orcSucceededWithErrors",I24="orcFailed",I24="orcAborted",I24="orcInProgress",I24="orcNotStarted")),IF(AND(H24=X24,I24=Y24),AA24,IF(AND(H24=X24,OR(I24="orcSucceededWithErrors",I24="orcInProgress",I24="orcNotStarted")),"RESULTADO_RETIRADA_INCIERTO",IF(J24="COMPLETA",AB24,"COBERTURA_INSUFICIENTE"))),"LEXEMA_O_FORMA")),IF(W24="CAMBIO",IF(OR(H24="CAMBIO",H24="CAMBIO_Y_RETORNO"),AA24,IF(OR(H24="NINGUNO",H24="SOLO_RENOMBRE"),IF(J24="COMPLETA",AB24,"COBERTURA_INSUFICIENTE"),"LEXEMA_O_FORMA")),IF(W24="RESTAURACION",IF(H24=X24,AA24,IF(OR(H24="NINGUNO",H24="RESTAURACION_POSTERIOR",H24="RESTAURACION_FALLIDA"),IF(J24="COMPLETA",AB24,"COBERTURA_INSUFICIENTE"),"LEXEMA_O_FORMA")),"PERFIL_NO_CONSTITUIDO"))))))))))))))))))</x:f>
        <x:v>IDENTIDAD</x:v>
      </x:c>
      <x:c r="R24" s="12" t="str">
        <x:f>IF(AND(L24=O24,M24=P24,N24=Q24),"PASA","NO_PASA")</x:f>
        <x:v>PASA</x:v>
      </x:c>
      <x:c r="S24" s="4" t="str">
        <x:v>El testigo pertenece a otro sujeto; no se recicla su dato.</x:v>
      </x:c>
      <x:c r="T24" s="12" t="str">
        <x:f>IFERROR(INDEX('55_Codificacion_ensayo'!$B$5:$B$13,MATCH(B24,'55_Codificacion_ensayo'!$A$5:$A$13,0)),"")</x:f>
        <x:v>EVENTO-REINICIO-COMPLETO-0.1</x:v>
      </x:c>
      <x:c r="U24" s="12" t="str">
        <x:f>IFERROR(INDEX('55_Codificacion_ensayo'!$C$5:$C$13,MATCH(B24,'55_Codificacion_ensayo'!$A$5:$A$13,0)),"")</x:f>
        <x:v>ARRANQUE_COMPLETO</x:v>
      </x:c>
      <x:c r="V24" s="12" t="str">
        <x:f>IFERROR(INDEX('55_Codificacion_ensayo'!$D$5:$D$13,MATCH(B24,'55_Codificacion_ensayo'!$A$5:$A$13,0)),"")</x:f>
        <x:v>ORDEN_ACREDITADO</x:v>
      </x:c>
      <x:c r="W24" s="12" t="str">
        <x:f>IFERROR(INDEX('55_Codificacion_ensayo'!$E$5:$E$13,MATCH(B24,'55_Codificacion_ensayo'!$A$5:$A$13,0)),"")</x:f>
        <x:v>EVENTO_BOOT</x:v>
      </x:c>
      <x:c r="X24" s="12" t="str">
        <x:f>IFERROR(INDEX('55_Codificacion_ensayo'!$F$5:$F$13,MATCH(B24,'55_Codificacion_ensayo'!$A$5:$A$13,0)),"")</x:f>
        <x:v>REINICIO_COMPLETO</x:v>
      </x:c>
      <x:c r="Y24" s="12" t="str">
        <x:f>IFERROR(INDEX('55_Codificacion_ensayo'!$G$5:$G$13,MATCH(B24,'55_Codificacion_ensayo'!$A$5:$A$13,0)),"")</x:f>
      </x:c>
      <x:c r="Z24" s="12" t="str">
        <x:f>IFERROR(INDEX('55_Codificacion_ensayo'!$H$5:$H$13,MATCH(B24,'55_Codificacion_ensayo'!$A$5:$A$13,0)),"")</x:f>
        <x:v>NINGUNO</x:v>
      </x:c>
      <x:c r="AA24" s="12" t="str">
        <x:f>IFERROR(INDEX('55_Codificacion_ensayo'!$I$5:$I$13,MATCH(B24,'55_Codificacion_ensayo'!$A$5:$A$13,0)),"")</x:f>
        <x:v>REINICIO_REALIZADO</x:v>
      </x:c>
      <x:c r="AB24" s="12" t="str">
        <x:f>IFERROR(INDEX('55_Codificacion_ensayo'!$J$5:$J$13,MATCH(B24,'55_Codificacion_ensayo'!$A$5:$A$13,0)),"")</x:f>
        <x:v>SIN_REINICIO_COMPLETO</x:v>
      </x:c>
    </x:row>
    <x:row r="25" ht="47" customHeight="1">
      <x:c r="A25" s="4" t="str">
        <x:v>L10-03-07</x:v>
      </x:c>
      <x:c r="B25" s="4" t="str">
        <x:v>PAR-CYB-REINICIO-SISTEMA-REALIZADO-001</x:v>
      </x:c>
      <x:c r="C25" s="4" t="str">
        <x:v>EVENTO-REINICIO-COMPLETO-0.1</x:v>
      </x:c>
      <x:c r="D25" s="4" t="str">
        <x:v>COINCIDE</x:v>
      </x:c>
      <x:c r="E25" s="4" t="str">
        <x:v>LEGIBLE</x:v>
      </x:c>
      <x:c r="F25" s="4" t="str">
        <x:v>FUENTE_GENERAL</x:v>
      </x:c>
      <x:c r="G25" s="4" t="str">
        <x:v>UNICA</x:v>
      </x:c>
      <x:c r="H25" s="4" t="str">
        <x:v>REINICIO_COMPLETO</x:v>
      </x:c>
      <x:c r="I25" s="4" t="str"/>
      <x:c r="J25" s="4" t="str">
        <x:v>COMPLETA</x:v>
      </x:c>
      <x:c r="K25" s="4" t="str">
        <x:v>ORDEN_ACREDITADO</x:v>
      </x:c>
      <x:c r="L25" s="4" t="str">
        <x:v>VALIDA</x:v>
      </x:c>
      <x:c r="M25" s="4" t="str">
        <x:v>U</x:v>
      </x:c>
      <x:c r="N25" s="4" t="str">
        <x:v>OBSERVACION_INSUFICIENTE</x:v>
      </x:c>
      <x:c r="O25" s="12" t="str">
        <x:f>IF(Q25="SIN_EJECUCION_DOMINIO","FALLO_CAPTURA",IF(OR(Q25="CAPTURA_MAL_FORMADA",Q25="IDENTIDAD",Q25="OBSERVACION_MAL_FORMADA",Q25="LEXEMA_O_FORMA"),"NO_ADMISION",IF(OR(Q25="PERFIL_NO_CONSTITUIDO",Q25="RESULTADO_NO_TERMINAL"),"FUERA_PERFIL",IF(Q25="CONTEXTO_NO_CONSTITUIDO","CONFIGURACION_PENDIENTE","VALIDA"))))</x:f>
        <x:v>VALIDA</x:v>
      </x:c>
      <x:c r="P25" s="12" t="str">
        <x:f>IF(O25&lt;&gt;"VALIDA","",IF(Q25=AA25,"1",IF(Q25=AB25,"0","U")))</x:f>
        <x:v>U</x:v>
      </x:c>
      <x:c r="Q25" s="12" t="str">
        <x:f>IF(E25="FALLO","SIN_EJECUCION_DOMINIO",IF(E25&lt;&gt;"LEGIBLE","CAPTURA_MAL_FORMADA",IF(D25&lt;&gt;"COINCIDE","IDENTIDAD",IF(OR(T25="",C25&lt;&gt;T25),"PERFIL_NO_CONSTITUIDO",IF(K25&lt;&gt;V25,IF(V25="ORDEN_ACREDITADO","ORDEN_NO_ACREDITADO","CONTEXTO_NO_CONSTITUIDO"),IF(AND(G25="AUSENTE",H25="",I25=""),"DATO_AUSENTE",IF(AND(G25="CONFLICTO",H25="",I25=""),"CONFLICTO_OBSERVACIONAL",IF(G25&lt;&gt;"UNICA","OBSERVACION_MAL_FORMADA",IF(F25&lt;&gt;U25,"OBSERVACION_INSUFICIENTE",IF(W25="RESULTADO",IF(H25=X25,AA25,IF(OR(H25="orcSucceededWithErrors",H25="orcFailed",H25="orcAborted"),AB25,IF(OR(H25="orcNotStarted",H25="orcInProgress"),"RESULTADO_NO_TERMINAL","LEXEMA_O_FORMA"))),IF(W25="EVENTO_BOOT",IF(H25=X25,AA25,IF(OR(H25="NINGUNO",H25="SOLO_HIBRIDO"),IF(J25="COMPLETA",AB25,"COBERTURA_INSUFICIENTE"),"LEXEMA_O_FORMA")),IF(W25="REQUISITO_SOFT",IF(H25=X25,AA25,IF(H25=Z25,AB25,"LEXEMA_O_FORMA")),IF(W25="EVENTO_PROC",IF(H25=X25,AA25,IF(H25=Z25,IF(J25="COMPLETA",AB25,"COBERTURA_INSUFICIENTE"),"LEXEMA_O_FORMA")),IF(W25="IMAGEN",IF(AND(AND(ISTEXT(H25),LEN(("x"&amp;H25))=65,EXACT(("x"&amp;H25),LOWER(("x"&amp;H25))),ISERROR(SEARCH(" ",("x"&amp;H25))),ISERROR(SEARCH(CHAR(9),("x"&amp;H25))),ISERROR(SEARCH(CHAR(10),("x"&amp;H25))),ISERROR(SEARCH(CHAR(13),("x"&amp;H25))),IFERROR(HEX2DEC(MID(("x"&amp;H25),2,8))&gt;=0,FALSE),IFERROR(HEX2DEC(MID(("x"&amp;H25),10,8))&gt;=0,FALSE),IFERROR(HEX2DEC(MID(("x"&amp;H25),18,8))&gt;=0,FALSE),IFERROR(HEX2DEC(MID(("x"&amp;H25),26,8))&gt;=0,FALSE),IFERROR(HEX2DEC(MID(("x"&amp;H25),34,8))&gt;=0,FALSE),IFERROR(HEX2DEC(MID(("x"&amp;H25),42,8))&gt;=0,FALSE),IFERROR(HEX2DEC(MID(("x"&amp;H25),50,8))&gt;=0,FALSE),IFERROR(HEX2DEC(MID(("x"&amp;H25),58,8))&gt;=0,FALSE)),AND(ISTEXT(I25),LEN(("x"&amp;I25))=65,EXACT(("x"&amp;I25),LOWER(("x"&amp;I25))),ISERROR(SEARCH(" ",("x"&amp;I25))),ISERROR(SEARCH(CHAR(9),("x"&amp;I25))),ISERROR(SEARCH(CHAR(10),("x"&amp;I25))),ISERROR(SEARCH(CHAR(13),("x"&amp;I25))),IFERROR(HEX2DEC(MID(("x"&amp;I25),2,8))&gt;=0,FALSE),IFERROR(HEX2DEC(MID(("x"&amp;I25),10,8))&gt;=0,FALSE),IFERROR(HEX2DEC(MID(("x"&amp;I25),18,8))&gt;=0,FALSE),IFERROR(HEX2DEC(MID(("x"&amp;I25),26,8))&gt;=0,FALSE),IFERROR(HEX2DEC(MID(("x"&amp;I25),34,8))&gt;=0,FALSE),IFERROR(HEX2DEC(MID(("x"&amp;I25),42,8))&gt;=0,FALSE),IFERROR(HEX2DEC(MID(("x"&amp;I25),50,8))&gt;=0,FALSE),IFERROR(HEX2DEC(MID(("x"&amp;I25),58,8))&gt;=0,FALSE))),IF(EXACT("x"&amp;H25,"x"&amp;I25),AA25,AB25),"LEXEMA_O_FORMA"),IF(W25="PRUEBA",IF(H25=X25,AA25,IF(H25=Z25,AB25,"LEXEMA_O_FORMA")),IF(W25="RETIRADA",IF(AND(H25="NINGUNO",I25=""),IF(J25="COMPLETA",AB25,"COBERTURA_INSUFICIENTE"),IF(AND(OR(H25="uoInstallation",H25="uoUninstallation"),OR(I25="orcSucceeded",I25="orcSucceededWithErrors",I25="orcFailed",I25="orcAborted",I25="orcInProgress",I25="orcNotStarted")),IF(AND(H25=X25,I25=Y25),AA25,IF(AND(H25=X25,OR(I25="orcSucceededWithErrors",I25="orcInProgress",I25="orcNotStarted")),"RESULTADO_RETIRADA_INCIERTO",IF(J25="COMPLETA",AB25,"COBERTURA_INSUFICIENTE"))),"LEXEMA_O_FORMA")),IF(W25="CAMBIO",IF(OR(H25="CAMBIO",H25="CAMBIO_Y_RETORNO"),AA25,IF(OR(H25="NINGUNO",H25="SOLO_RENOMBRE"),IF(J25="COMPLETA",AB25,"COBERTURA_INSUFICIENTE"),"LEXEMA_O_FORMA")),IF(W25="RESTAURACION",IF(H25=X25,AA25,IF(OR(H25="NINGUNO",H25="RESTAURACION_POSTERIOR",H25="RESTAURACION_FALLIDA"),IF(J25="COMPLETA",AB25,"COBERTURA_INSUFICIENTE"),"LEXEMA_O_FORMA")),"PERFIL_NO_CONSTITUIDO"))))))))))))))))))</x:f>
        <x:v>OBSERVACION_INSUFICIENTE</x:v>
      </x:c>
      <x:c r="R25" s="12" t="str">
        <x:f>IF(AND(L25=O25,M25=P25,N25=Q25),"PASA","NO_PASA")</x:f>
        <x:v>PASA</x:v>
      </x:c>
      <x:c r="S25" s="4" t="str">
        <x:v>Una fuente del dominio no sustituye la observación específica del episodio.</x:v>
      </x:c>
      <x:c r="T25" s="12" t="str">
        <x:f>IFERROR(INDEX('55_Codificacion_ensayo'!$B$5:$B$13,MATCH(B25,'55_Codificacion_ensayo'!$A$5:$A$13,0)),"")</x:f>
        <x:v>EVENTO-REINICIO-COMPLETO-0.1</x:v>
      </x:c>
      <x:c r="U25" s="12" t="str">
        <x:f>IFERROR(INDEX('55_Codificacion_ensayo'!$C$5:$C$13,MATCH(B25,'55_Codificacion_ensayo'!$A$5:$A$13,0)),"")</x:f>
        <x:v>ARRANQUE_COMPLETO</x:v>
      </x:c>
      <x:c r="V25" s="12" t="str">
        <x:f>IFERROR(INDEX('55_Codificacion_ensayo'!$D$5:$D$13,MATCH(B25,'55_Codificacion_ensayo'!$A$5:$A$13,0)),"")</x:f>
        <x:v>ORDEN_ACREDITADO</x:v>
      </x:c>
      <x:c r="W25" s="12" t="str">
        <x:f>IFERROR(INDEX('55_Codificacion_ensayo'!$E$5:$E$13,MATCH(B25,'55_Codificacion_ensayo'!$A$5:$A$13,0)),"")</x:f>
        <x:v>EVENTO_BOOT</x:v>
      </x:c>
      <x:c r="X25" s="12" t="str">
        <x:f>IFERROR(INDEX('55_Codificacion_ensayo'!$F$5:$F$13,MATCH(B25,'55_Codificacion_ensayo'!$A$5:$A$13,0)),"")</x:f>
        <x:v>REINICIO_COMPLETO</x:v>
      </x:c>
      <x:c r="Y25" s="12" t="str">
        <x:f>IFERROR(INDEX('55_Codificacion_ensayo'!$G$5:$G$13,MATCH(B25,'55_Codificacion_ensayo'!$A$5:$A$13,0)),"")</x:f>
      </x:c>
      <x:c r="Z25" s="12" t="str">
        <x:f>IFERROR(INDEX('55_Codificacion_ensayo'!$H$5:$H$13,MATCH(B25,'55_Codificacion_ensayo'!$A$5:$A$13,0)),"")</x:f>
        <x:v>NINGUNO</x:v>
      </x:c>
      <x:c r="AA25" s="12" t="str">
        <x:f>IFERROR(INDEX('55_Codificacion_ensayo'!$I$5:$I$13,MATCH(B25,'55_Codificacion_ensayo'!$A$5:$A$13,0)),"")</x:f>
        <x:v>REINICIO_REALIZADO</x:v>
      </x:c>
      <x:c r="AB25" s="12" t="str">
        <x:f>IFERROR(INDEX('55_Codificacion_ensayo'!$J$5:$J$13,MATCH(B25,'55_Codificacion_ensayo'!$A$5:$A$13,0)),"")</x:f>
        <x:v>SIN_REINICIO_COMPLETO</x:v>
      </x:c>
    </x:row>
    <x:row r="26" ht="47" customHeight="1">
      <x:c r="A26" s="4" t="str">
        <x:v>L10-03-08</x:v>
      </x:c>
      <x:c r="B26" s="4" t="str">
        <x:v>PAR-CYB-REINICIO-SISTEMA-REALIZADO-001</x:v>
      </x:c>
      <x:c r="C26" s="4" t="str">
        <x:v>OTRO_PERFIL</x:v>
      </x:c>
      <x:c r="D26" s="4" t="str">
        <x:v>COINCIDE</x:v>
      </x:c>
      <x:c r="E26" s="4" t="str">
        <x:v>LEGIBLE</x:v>
      </x:c>
      <x:c r="F26" s="4" t="str">
        <x:v>ARRANQUE_COMPLETO</x:v>
      </x:c>
      <x:c r="G26" s="4" t="str">
        <x:v>UNICA</x:v>
      </x:c>
      <x:c r="H26" s="4" t="str">
        <x:v>REINICIO_COMPLETO</x:v>
      </x:c>
      <x:c r="I26" s="4" t="str"/>
      <x:c r="J26" s="4" t="str">
        <x:v>COMPLETA</x:v>
      </x:c>
      <x:c r="K26" s="4" t="str">
        <x:v>ORDEN_ACREDITADO</x:v>
      </x:c>
      <x:c r="L26" s="4" t="str">
        <x:v>FUERA_PERFIL</x:v>
      </x:c>
      <x:c r="M26" s="4" t="str"/>
      <x:c r="N26" s="4" t="str">
        <x:v>PERFIL_NO_CONSTITUIDO</x:v>
      </x:c>
      <x:c r="O26" s="12" t="str">
        <x:f>IF(Q26="SIN_EJECUCION_DOMINIO","FALLO_CAPTURA",IF(OR(Q26="CAPTURA_MAL_FORMADA",Q26="IDENTIDAD",Q26="OBSERVACION_MAL_FORMADA",Q26="LEXEMA_O_FORMA"),"NO_ADMISION",IF(OR(Q26="PERFIL_NO_CONSTITUIDO",Q26="RESULTADO_NO_TERMINAL"),"FUERA_PERFIL",IF(Q26="CONTEXTO_NO_CONSTITUIDO","CONFIGURACION_PENDIENTE","VALIDA"))))</x:f>
        <x:v>FUERA_PERFIL</x:v>
      </x:c>
      <x:c r="P26" s="12" t="str">
        <x:f>IF(O26&lt;&gt;"VALIDA","",IF(Q26=AA26,"1",IF(Q26=AB26,"0","U")))</x:f>
      </x:c>
      <x:c r="Q26" s="12" t="str">
        <x:f>IF(E26="FALLO","SIN_EJECUCION_DOMINIO",IF(E26&lt;&gt;"LEGIBLE","CAPTURA_MAL_FORMADA",IF(D26&lt;&gt;"COINCIDE","IDENTIDAD",IF(OR(T26="",C26&lt;&gt;T26),"PERFIL_NO_CONSTITUIDO",IF(K26&lt;&gt;V26,IF(V26="ORDEN_ACREDITADO","ORDEN_NO_ACREDITADO","CONTEXTO_NO_CONSTITUIDO"),IF(AND(G26="AUSENTE",H26="",I26=""),"DATO_AUSENTE",IF(AND(G26="CONFLICTO",H26="",I26=""),"CONFLICTO_OBSERVACIONAL",IF(G26&lt;&gt;"UNICA","OBSERVACION_MAL_FORMADA",IF(F26&lt;&gt;U26,"OBSERVACION_INSUFICIENTE",IF(W26="RESULTADO",IF(H26=X26,AA26,IF(OR(H26="orcSucceededWithErrors",H26="orcFailed",H26="orcAborted"),AB26,IF(OR(H26="orcNotStarted",H26="orcInProgress"),"RESULTADO_NO_TERMINAL","LEXEMA_O_FORMA"))),IF(W26="EVENTO_BOOT",IF(H26=X26,AA26,IF(OR(H26="NINGUNO",H26="SOLO_HIBRIDO"),IF(J26="COMPLETA",AB26,"COBERTURA_INSUFICIENTE"),"LEXEMA_O_FORMA")),IF(W26="REQUISITO_SOFT",IF(H26=X26,AA26,IF(H26=Z26,AB26,"LEXEMA_O_FORMA")),IF(W26="EVENTO_PROC",IF(H26=X26,AA26,IF(H26=Z26,IF(J26="COMPLETA",AB26,"COBERTURA_INSUFICIENTE"),"LEXEMA_O_FORMA")),IF(W26="IMAGEN",IF(AND(AND(ISTEXT(H26),LEN(("x"&amp;H26))=65,EXACT(("x"&amp;H26),LOWER(("x"&amp;H26))),ISERROR(SEARCH(" ",("x"&amp;H26))),ISERROR(SEARCH(CHAR(9),("x"&amp;H26))),ISERROR(SEARCH(CHAR(10),("x"&amp;H26))),ISERROR(SEARCH(CHAR(13),("x"&amp;H26))),IFERROR(HEX2DEC(MID(("x"&amp;H26),2,8))&gt;=0,FALSE),IFERROR(HEX2DEC(MID(("x"&amp;H26),10,8))&gt;=0,FALSE),IFERROR(HEX2DEC(MID(("x"&amp;H26),18,8))&gt;=0,FALSE),IFERROR(HEX2DEC(MID(("x"&amp;H26),26,8))&gt;=0,FALSE),IFERROR(HEX2DEC(MID(("x"&amp;H26),34,8))&gt;=0,FALSE),IFERROR(HEX2DEC(MID(("x"&amp;H26),42,8))&gt;=0,FALSE),IFERROR(HEX2DEC(MID(("x"&amp;H26),50,8))&gt;=0,FALSE),IFERROR(HEX2DEC(MID(("x"&amp;H26),58,8))&gt;=0,FALSE)),AND(ISTEXT(I26),LEN(("x"&amp;I26))=65,EXACT(("x"&amp;I26),LOWER(("x"&amp;I26))),ISERROR(SEARCH(" ",("x"&amp;I26))),ISERROR(SEARCH(CHAR(9),("x"&amp;I26))),ISERROR(SEARCH(CHAR(10),("x"&amp;I26))),ISERROR(SEARCH(CHAR(13),("x"&amp;I26))),IFERROR(HEX2DEC(MID(("x"&amp;I26),2,8))&gt;=0,FALSE),IFERROR(HEX2DEC(MID(("x"&amp;I26),10,8))&gt;=0,FALSE),IFERROR(HEX2DEC(MID(("x"&amp;I26),18,8))&gt;=0,FALSE),IFERROR(HEX2DEC(MID(("x"&amp;I26),26,8))&gt;=0,FALSE),IFERROR(HEX2DEC(MID(("x"&amp;I26),34,8))&gt;=0,FALSE),IFERROR(HEX2DEC(MID(("x"&amp;I26),42,8))&gt;=0,FALSE),IFERROR(HEX2DEC(MID(("x"&amp;I26),50,8))&gt;=0,FALSE),IFERROR(HEX2DEC(MID(("x"&amp;I26),58,8))&gt;=0,FALSE))),IF(EXACT("x"&amp;H26,"x"&amp;I26),AA26,AB26),"LEXEMA_O_FORMA"),IF(W26="PRUEBA",IF(H26=X26,AA26,IF(H26=Z26,AB26,"LEXEMA_O_FORMA")),IF(W26="RETIRADA",IF(AND(H26="NINGUNO",I26=""),IF(J26="COMPLETA",AB26,"COBERTURA_INSUFICIENTE"),IF(AND(OR(H26="uoInstallation",H26="uoUninstallation"),OR(I26="orcSucceeded",I26="orcSucceededWithErrors",I26="orcFailed",I26="orcAborted",I26="orcInProgress",I26="orcNotStarted")),IF(AND(H26=X26,I26=Y26),AA26,IF(AND(H26=X26,OR(I26="orcSucceededWithErrors",I26="orcInProgress",I26="orcNotStarted")),"RESULTADO_RETIRADA_INCIERTO",IF(J26="COMPLETA",AB26,"COBERTURA_INSUFICIENTE"))),"LEXEMA_O_FORMA")),IF(W26="CAMBIO",IF(OR(H26="CAMBIO",H26="CAMBIO_Y_RETORNO"),AA26,IF(OR(H26="NINGUNO",H26="SOLO_RENOMBRE"),IF(J26="COMPLETA",AB26,"COBERTURA_INSUFICIENTE"),"LEXEMA_O_FORMA")),IF(W26="RESTAURACION",IF(H26=X26,AA26,IF(OR(H26="NINGUNO",H26="RESTAURACION_POSTERIOR",H26="RESTAURACION_FALLIDA"),IF(J26="COMPLETA",AB26,"COBERTURA_INSUFICIENTE"),"LEXEMA_O_FORMA")),"PERFIL_NO_CONSTITUIDO"))))))))))))))))))</x:f>
        <x:v>PERFIL_NO_CONSTITUIDO</x:v>
      </x:c>
      <x:c r="R26" s="12" t="str">
        <x:f>IF(AND(L26=O26,M26=P26,N26=Q26),"PASA","NO_PASA")</x:f>
        <x:v>PASA</x:v>
      </x:c>
      <x:c r="S26" s="4" t="str">
        <x:v>Perfil de otro producto no se normaliza por analogía.</x:v>
      </x:c>
      <x:c r="T26" s="12" t="str">
        <x:f>IFERROR(INDEX('55_Codificacion_ensayo'!$B$5:$B$13,MATCH(B26,'55_Codificacion_ensayo'!$A$5:$A$13,0)),"")</x:f>
        <x:v>EVENTO-REINICIO-COMPLETO-0.1</x:v>
      </x:c>
      <x:c r="U26" s="12" t="str">
        <x:f>IFERROR(INDEX('55_Codificacion_ensayo'!$C$5:$C$13,MATCH(B26,'55_Codificacion_ensayo'!$A$5:$A$13,0)),"")</x:f>
        <x:v>ARRANQUE_COMPLETO</x:v>
      </x:c>
      <x:c r="V26" s="12" t="str">
        <x:f>IFERROR(INDEX('55_Codificacion_ensayo'!$D$5:$D$13,MATCH(B26,'55_Codificacion_ensayo'!$A$5:$A$13,0)),"")</x:f>
        <x:v>ORDEN_ACREDITADO</x:v>
      </x:c>
      <x:c r="W26" s="12" t="str">
        <x:f>IFERROR(INDEX('55_Codificacion_ensayo'!$E$5:$E$13,MATCH(B26,'55_Codificacion_ensayo'!$A$5:$A$13,0)),"")</x:f>
        <x:v>EVENTO_BOOT</x:v>
      </x:c>
      <x:c r="X26" s="12" t="str">
        <x:f>IFERROR(INDEX('55_Codificacion_ensayo'!$F$5:$F$13,MATCH(B26,'55_Codificacion_ensayo'!$A$5:$A$13,0)),"")</x:f>
        <x:v>REINICIO_COMPLETO</x:v>
      </x:c>
      <x:c r="Y26" s="12" t="str">
        <x:f>IFERROR(INDEX('55_Codificacion_ensayo'!$G$5:$G$13,MATCH(B26,'55_Codificacion_ensayo'!$A$5:$A$13,0)),"")</x:f>
      </x:c>
      <x:c r="Z26" s="12" t="str">
        <x:f>IFERROR(INDEX('55_Codificacion_ensayo'!$H$5:$H$13,MATCH(B26,'55_Codificacion_ensayo'!$A$5:$A$13,0)),"")</x:f>
        <x:v>NINGUNO</x:v>
      </x:c>
      <x:c r="AA26" s="12" t="str">
        <x:f>IFERROR(INDEX('55_Codificacion_ensayo'!$I$5:$I$13,MATCH(B26,'55_Codificacion_ensayo'!$A$5:$A$13,0)),"")</x:f>
        <x:v>REINICIO_REALIZADO</x:v>
      </x:c>
      <x:c r="AB26" s="12" t="str">
        <x:f>IFERROR(INDEX('55_Codificacion_ensayo'!$J$5:$J$13,MATCH(B26,'55_Codificacion_ensayo'!$A$5:$A$13,0)),"")</x:f>
        <x:v>SIN_REINICIO_COMPLETO</x:v>
      </x:c>
    </x:row>
    <x:row r="27" ht="47" customHeight="1">
      <x:c r="A27" s="4" t="str">
        <x:v>L10-03-09</x:v>
      </x:c>
      <x:c r="B27" s="4" t="str">
        <x:v>PAR-CYB-REINICIO-SISTEMA-REALIZADO-001</x:v>
      </x:c>
      <x:c r="C27" s="4" t="str">
        <x:v>EVENTO-REINICIO-COMPLETO-0.1</x:v>
      </x:c>
      <x:c r="D27" s="4" t="str">
        <x:v>COINCIDE</x:v>
      </x:c>
      <x:c r="E27" s="4" t="str">
        <x:v>LEGIBLE</x:v>
      </x:c>
      <x:c r="F27" s="4" t="str">
        <x:v>ARRANQUE_COMPLETO</x:v>
      </x:c>
      <x:c r="G27" s="4" t="str">
        <x:v>UNICA</x:v>
      </x:c>
      <x:c r="H27" s="4" t="str">
        <x:v>true false desconocido</x:v>
      </x:c>
      <x:c r="I27" s="4" t="str"/>
      <x:c r="J27" s="4" t="str">
        <x:v>COMPLETA</x:v>
      </x:c>
      <x:c r="K27" s="4" t="str">
        <x:v>ORDEN_ACREDITADO</x:v>
      </x:c>
      <x:c r="L27" s="4" t="str">
        <x:v>NO_ADMISION</x:v>
      </x:c>
      <x:c r="M27" s="4" t="str"/>
      <x:c r="N27" s="4" t="str">
        <x:v>LEXEMA_O_FORMA</x:v>
      </x:c>
      <x:c r="O27" s="12" t="str">
        <x:f>IF(Q27="SIN_EJECUCION_DOMINIO","FALLO_CAPTURA",IF(OR(Q27="CAPTURA_MAL_FORMADA",Q27="IDENTIDAD",Q27="OBSERVACION_MAL_FORMADA",Q27="LEXEMA_O_FORMA"),"NO_ADMISION",IF(OR(Q27="PERFIL_NO_CONSTITUIDO",Q27="RESULTADO_NO_TERMINAL"),"FUERA_PERFIL",IF(Q27="CONTEXTO_NO_CONSTITUIDO","CONFIGURACION_PENDIENTE","VALIDA"))))</x:f>
        <x:v>NO_ADMISION</x:v>
      </x:c>
      <x:c r="P27" s="12" t="str">
        <x:f>IF(O27&lt;&gt;"VALIDA","",IF(Q27=AA27,"1",IF(Q27=AB27,"0","U")))</x:f>
      </x:c>
      <x:c r="Q27" s="12" t="str">
        <x:f>IF(E27="FALLO","SIN_EJECUCION_DOMINIO",IF(E27&lt;&gt;"LEGIBLE","CAPTURA_MAL_FORMADA",IF(D27&lt;&gt;"COINCIDE","IDENTIDAD",IF(OR(T27="",C27&lt;&gt;T27),"PERFIL_NO_CONSTITUIDO",IF(K27&lt;&gt;V27,IF(V27="ORDEN_ACREDITADO","ORDEN_NO_ACREDITADO","CONTEXTO_NO_CONSTITUIDO"),IF(AND(G27="AUSENTE",H27="",I27=""),"DATO_AUSENTE",IF(AND(G27="CONFLICTO",H27="",I27=""),"CONFLICTO_OBSERVACIONAL",IF(G27&lt;&gt;"UNICA","OBSERVACION_MAL_FORMADA",IF(F27&lt;&gt;U27,"OBSERVACION_INSUFICIENTE",IF(W27="RESULTADO",IF(H27=X27,AA27,IF(OR(H27="orcSucceededWithErrors",H27="orcFailed",H27="orcAborted"),AB27,IF(OR(H27="orcNotStarted",H27="orcInProgress"),"RESULTADO_NO_TERMINAL","LEXEMA_O_FORMA"))),IF(W27="EVENTO_BOOT",IF(H27=X27,AA27,IF(OR(H27="NINGUNO",H27="SOLO_HIBRIDO"),IF(J27="COMPLETA",AB27,"COBERTURA_INSUFICIENTE"),"LEXEMA_O_FORMA")),IF(W27="REQUISITO_SOFT",IF(H27=X27,AA27,IF(H27=Z27,AB27,"LEXEMA_O_FORMA")),IF(W27="EVENTO_PROC",IF(H27=X27,AA27,IF(H27=Z27,IF(J27="COMPLETA",AB27,"COBERTURA_INSUFICIENTE"),"LEXEMA_O_FORMA")),IF(W27="IMAGEN",IF(AND(AND(ISTEXT(H27),LEN(("x"&amp;H27))=65,EXACT(("x"&amp;H27),LOWER(("x"&amp;H27))),ISERROR(SEARCH(" ",("x"&amp;H27))),ISERROR(SEARCH(CHAR(9),("x"&amp;H27))),ISERROR(SEARCH(CHAR(10),("x"&amp;H27))),ISERROR(SEARCH(CHAR(13),("x"&amp;H27))),IFERROR(HEX2DEC(MID(("x"&amp;H27),2,8))&gt;=0,FALSE),IFERROR(HEX2DEC(MID(("x"&amp;H27),10,8))&gt;=0,FALSE),IFERROR(HEX2DEC(MID(("x"&amp;H27),18,8))&gt;=0,FALSE),IFERROR(HEX2DEC(MID(("x"&amp;H27),26,8))&gt;=0,FALSE),IFERROR(HEX2DEC(MID(("x"&amp;H27),34,8))&gt;=0,FALSE),IFERROR(HEX2DEC(MID(("x"&amp;H27),42,8))&gt;=0,FALSE),IFERROR(HEX2DEC(MID(("x"&amp;H27),50,8))&gt;=0,FALSE),IFERROR(HEX2DEC(MID(("x"&amp;H27),58,8))&gt;=0,FALSE)),AND(ISTEXT(I27),LEN(("x"&amp;I27))=65,EXACT(("x"&amp;I27),LOWER(("x"&amp;I27))),ISERROR(SEARCH(" ",("x"&amp;I27))),ISERROR(SEARCH(CHAR(9),("x"&amp;I27))),ISERROR(SEARCH(CHAR(10),("x"&amp;I27))),ISERROR(SEARCH(CHAR(13),("x"&amp;I27))),IFERROR(HEX2DEC(MID(("x"&amp;I27),2,8))&gt;=0,FALSE),IFERROR(HEX2DEC(MID(("x"&amp;I27),10,8))&gt;=0,FALSE),IFERROR(HEX2DEC(MID(("x"&amp;I27),18,8))&gt;=0,FALSE),IFERROR(HEX2DEC(MID(("x"&amp;I27),26,8))&gt;=0,FALSE),IFERROR(HEX2DEC(MID(("x"&amp;I27),34,8))&gt;=0,FALSE),IFERROR(HEX2DEC(MID(("x"&amp;I27),42,8))&gt;=0,FALSE),IFERROR(HEX2DEC(MID(("x"&amp;I27),50,8))&gt;=0,FALSE),IFERROR(HEX2DEC(MID(("x"&amp;I27),58,8))&gt;=0,FALSE))),IF(EXACT("x"&amp;H27,"x"&amp;I27),AA27,AB27),"LEXEMA_O_FORMA"),IF(W27="PRUEBA",IF(H27=X27,AA27,IF(H27=Z27,AB27,"LEXEMA_O_FORMA")),IF(W27="RETIRADA",IF(AND(H27="NINGUNO",I27=""),IF(J27="COMPLETA",AB27,"COBERTURA_INSUFICIENTE"),IF(AND(OR(H27="uoInstallation",H27="uoUninstallation"),OR(I27="orcSucceeded",I27="orcSucceededWithErrors",I27="orcFailed",I27="orcAborted",I27="orcInProgress",I27="orcNotStarted")),IF(AND(H27=X27,I27=Y27),AA27,IF(AND(H27=X27,OR(I27="orcSucceededWithErrors",I27="orcInProgress",I27="orcNotStarted")),"RESULTADO_RETIRADA_INCIERTO",IF(J27="COMPLETA",AB27,"COBERTURA_INSUFICIENTE"))),"LEXEMA_O_FORMA")),IF(W27="CAMBIO",IF(OR(H27="CAMBIO",H27="CAMBIO_Y_RETORNO"),AA27,IF(OR(H27="NINGUNO",H27="SOLO_RENOMBRE"),IF(J27="COMPLETA",AB27,"COBERTURA_INSUFICIENTE"),"LEXEMA_O_FORMA")),IF(W27="RESTAURACION",IF(H27=X27,AA27,IF(OR(H27="NINGUNO",H27="RESTAURACION_POSTERIOR",H27="RESTAURACION_FALLIDA"),IF(J27="COMPLETA",AB27,"COBERTURA_INSUFICIENTE"),"LEXEMA_O_FORMA")),"PERFIL_NO_CONSTITUIDO"))))))))))))))))))</x:f>
        <x:v>LEXEMA_O_FORMA</x:v>
      </x:c>
      <x:c r="R27" s="12" t="str">
        <x:f>IF(AND(L27=O27,M27=P27,N27=Q27),"PASA","NO_PASA")</x:f>
        <x:v>PASA</x:v>
      </x:c>
      <x:c r="S27" s="4" t="str">
        <x:v>La observación usa un lexema ajeno al contrato.</x:v>
      </x:c>
      <x:c r="T27" s="12" t="str">
        <x:f>IFERROR(INDEX('55_Codificacion_ensayo'!$B$5:$B$13,MATCH(B27,'55_Codificacion_ensayo'!$A$5:$A$13,0)),"")</x:f>
        <x:v>EVENTO-REINICIO-COMPLETO-0.1</x:v>
      </x:c>
      <x:c r="U27" s="12" t="str">
        <x:f>IFERROR(INDEX('55_Codificacion_ensayo'!$C$5:$C$13,MATCH(B27,'55_Codificacion_ensayo'!$A$5:$A$13,0)),"")</x:f>
        <x:v>ARRANQUE_COMPLETO</x:v>
      </x:c>
      <x:c r="V27" s="12" t="str">
        <x:f>IFERROR(INDEX('55_Codificacion_ensayo'!$D$5:$D$13,MATCH(B27,'55_Codificacion_ensayo'!$A$5:$A$13,0)),"")</x:f>
        <x:v>ORDEN_ACREDITADO</x:v>
      </x:c>
      <x:c r="W27" s="12" t="str">
        <x:f>IFERROR(INDEX('55_Codificacion_ensayo'!$E$5:$E$13,MATCH(B27,'55_Codificacion_ensayo'!$A$5:$A$13,0)),"")</x:f>
        <x:v>EVENTO_BOOT</x:v>
      </x:c>
      <x:c r="X27" s="12" t="str">
        <x:f>IFERROR(INDEX('55_Codificacion_ensayo'!$F$5:$F$13,MATCH(B27,'55_Codificacion_ensayo'!$A$5:$A$13,0)),"")</x:f>
        <x:v>REINICIO_COMPLETO</x:v>
      </x:c>
      <x:c r="Y27" s="12" t="str">
        <x:f>IFERROR(INDEX('55_Codificacion_ensayo'!$G$5:$G$13,MATCH(B27,'55_Codificacion_ensayo'!$A$5:$A$13,0)),"")</x:f>
      </x:c>
      <x:c r="Z27" s="12" t="str">
        <x:f>IFERROR(INDEX('55_Codificacion_ensayo'!$H$5:$H$13,MATCH(B27,'55_Codificacion_ensayo'!$A$5:$A$13,0)),"")</x:f>
        <x:v>NINGUNO</x:v>
      </x:c>
      <x:c r="AA27" s="12" t="str">
        <x:f>IFERROR(INDEX('55_Codificacion_ensayo'!$I$5:$I$13,MATCH(B27,'55_Codificacion_ensayo'!$A$5:$A$13,0)),"")</x:f>
        <x:v>REINICIO_REALIZADO</x:v>
      </x:c>
      <x:c r="AB27" s="12" t="str">
        <x:f>IFERROR(INDEX('55_Codificacion_ensayo'!$J$5:$J$13,MATCH(B27,'55_Codificacion_ensayo'!$A$5:$A$13,0)),"")</x:f>
        <x:v>SIN_REINICIO_COMPLETO</x:v>
      </x:c>
    </x:row>
    <x:row r="28" ht="47" customHeight="1">
      <x:c r="A28" s="4" t="str">
        <x:v>L10-03-10</x:v>
      </x:c>
      <x:c r="B28" s="4" t="str">
        <x:v>PAR-CYB-REINICIO-SISTEMA-REALIZADO-001</x:v>
      </x:c>
      <x:c r="C28" s="4" t="str">
        <x:v>EVENTO-REINICIO-COMPLETO-0.1</x:v>
      </x:c>
      <x:c r="D28" s="4" t="str">
        <x:v>COINCIDE</x:v>
      </x:c>
      <x:c r="E28" s="4" t="str">
        <x:v>LEGIBLE</x:v>
      </x:c>
      <x:c r="F28" s="4" t="str">
        <x:v>ARRANQUE_COMPLETO</x:v>
      </x:c>
      <x:c r="G28" s="4" t="str">
        <x:v>UNICA</x:v>
      </x:c>
      <x:c r="H28" s="4" t="str">
        <x:v>NINGUNO</x:v>
      </x:c>
      <x:c r="I28" s="4" t="str"/>
      <x:c r="J28" s="4" t="str">
        <x:v>PARCIAL</x:v>
      </x:c>
      <x:c r="K28" s="4" t="str">
        <x:v>ORDEN_ACREDITADO</x:v>
      </x:c>
      <x:c r="L28" s="4" t="str">
        <x:v>VALIDA</x:v>
      </x:c>
      <x:c r="M28" s="4" t="str">
        <x:v>U</x:v>
      </x:c>
      <x:c r="N28" s="4" t="str">
        <x:v>COBERTURA_INSUFICIENTE</x:v>
      </x:c>
      <x:c r="O28" s="12" t="str">
        <x:f>IF(Q28="SIN_EJECUCION_DOMINIO","FALLO_CAPTURA",IF(OR(Q28="CAPTURA_MAL_FORMADA",Q28="IDENTIDAD",Q28="OBSERVACION_MAL_FORMADA",Q28="LEXEMA_O_FORMA"),"NO_ADMISION",IF(OR(Q28="PERFIL_NO_CONSTITUIDO",Q28="RESULTADO_NO_TERMINAL"),"FUERA_PERFIL",IF(Q28="CONTEXTO_NO_CONSTITUIDO","CONFIGURACION_PENDIENTE","VALIDA"))))</x:f>
        <x:v>VALIDA</x:v>
      </x:c>
      <x:c r="P28" s="12" t="str">
        <x:f>IF(O28&lt;&gt;"VALIDA","",IF(Q28=AA28,"1",IF(Q28=AB28,"0","U")))</x:f>
        <x:v>U</x:v>
      </x:c>
      <x:c r="Q28" s="12" t="str">
        <x:f>IF(E28="FALLO","SIN_EJECUCION_DOMINIO",IF(E28&lt;&gt;"LEGIBLE","CAPTURA_MAL_FORMADA",IF(D28&lt;&gt;"COINCIDE","IDENTIDAD",IF(OR(T28="",C28&lt;&gt;T28),"PERFIL_NO_CONSTITUIDO",IF(K28&lt;&gt;V28,IF(V28="ORDEN_ACREDITADO","ORDEN_NO_ACREDITADO","CONTEXTO_NO_CONSTITUIDO"),IF(AND(G28="AUSENTE",H28="",I28=""),"DATO_AUSENTE",IF(AND(G28="CONFLICTO",H28="",I28=""),"CONFLICTO_OBSERVACIONAL",IF(G28&lt;&gt;"UNICA","OBSERVACION_MAL_FORMADA",IF(F28&lt;&gt;U28,"OBSERVACION_INSUFICIENTE",IF(W28="RESULTADO",IF(H28=X28,AA28,IF(OR(H28="orcSucceededWithErrors",H28="orcFailed",H28="orcAborted"),AB28,IF(OR(H28="orcNotStarted",H28="orcInProgress"),"RESULTADO_NO_TERMINAL","LEXEMA_O_FORMA"))),IF(W28="EVENTO_BOOT",IF(H28=X28,AA28,IF(OR(H28="NINGUNO",H28="SOLO_HIBRIDO"),IF(J28="COMPLETA",AB28,"COBERTURA_INSUFICIENTE"),"LEXEMA_O_FORMA")),IF(W28="REQUISITO_SOFT",IF(H28=X28,AA28,IF(H28=Z28,AB28,"LEXEMA_O_FORMA")),IF(W28="EVENTO_PROC",IF(H28=X28,AA28,IF(H28=Z28,IF(J28="COMPLETA",AB28,"COBERTURA_INSUFICIENTE"),"LEXEMA_O_FORMA")),IF(W28="IMAGEN",IF(AND(AND(ISTEXT(H28),LEN(("x"&amp;H28))=65,EXACT(("x"&amp;H28),LOWER(("x"&amp;H28))),ISERROR(SEARCH(" ",("x"&amp;H28))),ISERROR(SEARCH(CHAR(9),("x"&amp;H28))),ISERROR(SEARCH(CHAR(10),("x"&amp;H28))),ISERROR(SEARCH(CHAR(13),("x"&amp;H28))),IFERROR(HEX2DEC(MID(("x"&amp;H28),2,8))&gt;=0,FALSE),IFERROR(HEX2DEC(MID(("x"&amp;H28),10,8))&gt;=0,FALSE),IFERROR(HEX2DEC(MID(("x"&amp;H28),18,8))&gt;=0,FALSE),IFERROR(HEX2DEC(MID(("x"&amp;H28),26,8))&gt;=0,FALSE),IFERROR(HEX2DEC(MID(("x"&amp;H28),34,8))&gt;=0,FALSE),IFERROR(HEX2DEC(MID(("x"&amp;H28),42,8))&gt;=0,FALSE),IFERROR(HEX2DEC(MID(("x"&amp;H28),50,8))&gt;=0,FALSE),IFERROR(HEX2DEC(MID(("x"&amp;H28),58,8))&gt;=0,FALSE)),AND(ISTEXT(I28),LEN(("x"&amp;I28))=65,EXACT(("x"&amp;I28),LOWER(("x"&amp;I28))),ISERROR(SEARCH(" ",("x"&amp;I28))),ISERROR(SEARCH(CHAR(9),("x"&amp;I28))),ISERROR(SEARCH(CHAR(10),("x"&amp;I28))),ISERROR(SEARCH(CHAR(13),("x"&amp;I28))),IFERROR(HEX2DEC(MID(("x"&amp;I28),2,8))&gt;=0,FALSE),IFERROR(HEX2DEC(MID(("x"&amp;I28),10,8))&gt;=0,FALSE),IFERROR(HEX2DEC(MID(("x"&amp;I28),18,8))&gt;=0,FALSE),IFERROR(HEX2DEC(MID(("x"&amp;I28),26,8))&gt;=0,FALSE),IFERROR(HEX2DEC(MID(("x"&amp;I28),34,8))&gt;=0,FALSE),IFERROR(HEX2DEC(MID(("x"&amp;I28),42,8))&gt;=0,FALSE),IFERROR(HEX2DEC(MID(("x"&amp;I28),50,8))&gt;=0,FALSE),IFERROR(HEX2DEC(MID(("x"&amp;I28),58,8))&gt;=0,FALSE))),IF(EXACT("x"&amp;H28,"x"&amp;I28),AA28,AB28),"LEXEMA_O_FORMA"),IF(W28="PRUEBA",IF(H28=X28,AA28,IF(H28=Z28,AB28,"LEXEMA_O_FORMA")),IF(W28="RETIRADA",IF(AND(H28="NINGUNO",I28=""),IF(J28="COMPLETA",AB28,"COBERTURA_INSUFICIENTE"),IF(AND(OR(H28="uoInstallation",H28="uoUninstallation"),OR(I28="orcSucceeded",I28="orcSucceededWithErrors",I28="orcFailed",I28="orcAborted",I28="orcInProgress",I28="orcNotStarted")),IF(AND(H28=X28,I28=Y28),AA28,IF(AND(H28=X28,OR(I28="orcSucceededWithErrors",I28="orcInProgress",I28="orcNotStarted")),"RESULTADO_RETIRADA_INCIERTO",IF(J28="COMPLETA",AB28,"COBERTURA_INSUFICIENTE"))),"LEXEMA_O_FORMA")),IF(W28="CAMBIO",IF(OR(H28="CAMBIO",H28="CAMBIO_Y_RETORNO"),AA28,IF(OR(H28="NINGUNO",H28="SOLO_RENOMBRE"),IF(J28="COMPLETA",AB28,"COBERTURA_INSUFICIENTE"),"LEXEMA_O_FORMA")),IF(W28="RESTAURACION",IF(H28=X28,AA28,IF(OR(H28="NINGUNO",H28="RESTAURACION_POSTERIOR",H28="RESTAURACION_FALLIDA"),IF(J28="COMPLETA",AB28,"COBERTURA_INSUFICIENTE"),"LEXEMA_O_FORMA")),"PERFIL_NO_CONSTITUIDO"))))))))))))))))))</x:f>
        <x:v>COBERTURA_INSUFICIENTE</x:v>
      </x:c>
      <x:c r="R28" s="12" t="str">
        <x:f>IF(AND(L28=O28,M28=P28,N28=Q28),"PASA","NO_PASA")</x:f>
        <x:v>PASA</x:v>
      </x:c>
      <x:c r="S28" s="4" t="str">
        <x:v>Ningún evento encontrado en cobertura parcial: U, no 0.</x:v>
      </x:c>
      <x:c r="T28" s="12" t="str">
        <x:f>IFERROR(INDEX('55_Codificacion_ensayo'!$B$5:$B$13,MATCH(B28,'55_Codificacion_ensayo'!$A$5:$A$13,0)),"")</x:f>
        <x:v>EVENTO-REINICIO-COMPLETO-0.1</x:v>
      </x:c>
      <x:c r="U28" s="12" t="str">
        <x:f>IFERROR(INDEX('55_Codificacion_ensayo'!$C$5:$C$13,MATCH(B28,'55_Codificacion_ensayo'!$A$5:$A$13,0)),"")</x:f>
        <x:v>ARRANQUE_COMPLETO</x:v>
      </x:c>
      <x:c r="V28" s="12" t="str">
        <x:f>IFERROR(INDEX('55_Codificacion_ensayo'!$D$5:$D$13,MATCH(B28,'55_Codificacion_ensayo'!$A$5:$A$13,0)),"")</x:f>
        <x:v>ORDEN_ACREDITADO</x:v>
      </x:c>
      <x:c r="W28" s="12" t="str">
        <x:f>IFERROR(INDEX('55_Codificacion_ensayo'!$E$5:$E$13,MATCH(B28,'55_Codificacion_ensayo'!$A$5:$A$13,0)),"")</x:f>
        <x:v>EVENTO_BOOT</x:v>
      </x:c>
      <x:c r="X28" s="12" t="str">
        <x:f>IFERROR(INDEX('55_Codificacion_ensayo'!$F$5:$F$13,MATCH(B28,'55_Codificacion_ensayo'!$A$5:$A$13,0)),"")</x:f>
        <x:v>REINICIO_COMPLETO</x:v>
      </x:c>
      <x:c r="Y28" s="12" t="str">
        <x:f>IFERROR(INDEX('55_Codificacion_ensayo'!$G$5:$G$13,MATCH(B28,'55_Codificacion_ensayo'!$A$5:$A$13,0)),"")</x:f>
      </x:c>
      <x:c r="Z28" s="12" t="str">
        <x:f>IFERROR(INDEX('55_Codificacion_ensayo'!$H$5:$H$13,MATCH(B28,'55_Codificacion_ensayo'!$A$5:$A$13,0)),"")</x:f>
        <x:v>NINGUNO</x:v>
      </x:c>
      <x:c r="AA28" s="12" t="str">
        <x:f>IFERROR(INDEX('55_Codificacion_ensayo'!$I$5:$I$13,MATCH(B28,'55_Codificacion_ensayo'!$A$5:$A$13,0)),"")</x:f>
        <x:v>REINICIO_REALIZADO</x:v>
      </x:c>
      <x:c r="AB28" s="12" t="str">
        <x:f>IFERROR(INDEX('55_Codificacion_ensayo'!$J$5:$J$13,MATCH(B28,'55_Codificacion_ensayo'!$A$5:$A$13,0)),"")</x:f>
        <x:v>SIN_REINICIO_COMPLETO</x:v>
      </x:c>
    </x:row>
    <x:row r="29" ht="47" customHeight="1">
      <x:c r="A29" s="4" t="str">
        <x:v>L10-03-11</x:v>
      </x:c>
      <x:c r="B29" s="4" t="str">
        <x:v>PAR-CYB-REINICIO-SISTEMA-REALIZADO-001</x:v>
      </x:c>
      <x:c r="C29" s="4" t="str">
        <x:v>EVENTO-REINICIO-COMPLETO-0.1</x:v>
      </x:c>
      <x:c r="D29" s="4" t="str">
        <x:v>COINCIDE</x:v>
      </x:c>
      <x:c r="E29" s="4" t="str">
        <x:v>LEGIBLE</x:v>
      </x:c>
      <x:c r="F29" s="4" t="str">
        <x:v>ARRANQUE_COMPLETO</x:v>
      </x:c>
      <x:c r="G29" s="4" t="str">
        <x:v>UNICA</x:v>
      </x:c>
      <x:c r="H29" s="4" t="str">
        <x:v>REINICIO_COMPLETO</x:v>
      </x:c>
      <x:c r="I29" s="4" t="str"/>
      <x:c r="J29" s="4" t="str">
        <x:v>PARCIAL</x:v>
      </x:c>
      <x:c r="K29" s="4" t="str">
        <x:v>ORDEN_ACREDITADO</x:v>
      </x:c>
      <x:c r="L29" s="4" t="str">
        <x:v>VALIDA</x:v>
      </x:c>
      <x:c r="M29" s="4" t="str">
        <x:v>1</x:v>
      </x:c>
      <x:c r="N29" s="4" t="str">
        <x:v>REINICIO_REALIZADO</x:v>
      </x:c>
      <x:c r="O29" s="12" t="str">
        <x:f>IF(Q29="SIN_EJECUCION_DOMINIO","FALLO_CAPTURA",IF(OR(Q29="CAPTURA_MAL_FORMADA",Q29="IDENTIDAD",Q29="OBSERVACION_MAL_FORMADA",Q29="LEXEMA_O_FORMA"),"NO_ADMISION",IF(OR(Q29="PERFIL_NO_CONSTITUIDO",Q29="RESULTADO_NO_TERMINAL"),"FUERA_PERFIL",IF(Q29="CONTEXTO_NO_CONSTITUIDO","CONFIGURACION_PENDIENTE","VALIDA"))))</x:f>
        <x:v>VALIDA</x:v>
      </x:c>
      <x:c r="P29" s="12" t="str">
        <x:f>IF(O29&lt;&gt;"VALIDA","",IF(Q29=AA29,"1",IF(Q29=AB29,"0","U")))</x:f>
        <x:v>1</x:v>
      </x:c>
      <x:c r="Q29" s="12" t="str">
        <x:f>IF(E29="FALLO","SIN_EJECUCION_DOMINIO",IF(E29&lt;&gt;"LEGIBLE","CAPTURA_MAL_FORMADA",IF(D29&lt;&gt;"COINCIDE","IDENTIDAD",IF(OR(T29="",C29&lt;&gt;T29),"PERFIL_NO_CONSTITUIDO",IF(K29&lt;&gt;V29,IF(V29="ORDEN_ACREDITADO","ORDEN_NO_ACREDITADO","CONTEXTO_NO_CONSTITUIDO"),IF(AND(G29="AUSENTE",H29="",I29=""),"DATO_AUSENTE",IF(AND(G29="CONFLICTO",H29="",I29=""),"CONFLICTO_OBSERVACIONAL",IF(G29&lt;&gt;"UNICA","OBSERVACION_MAL_FORMADA",IF(F29&lt;&gt;U29,"OBSERVACION_INSUFICIENTE",IF(W29="RESULTADO",IF(H29=X29,AA29,IF(OR(H29="orcSucceededWithErrors",H29="orcFailed",H29="orcAborted"),AB29,IF(OR(H29="orcNotStarted",H29="orcInProgress"),"RESULTADO_NO_TERMINAL","LEXEMA_O_FORMA"))),IF(W29="EVENTO_BOOT",IF(H29=X29,AA29,IF(OR(H29="NINGUNO",H29="SOLO_HIBRIDO"),IF(J29="COMPLETA",AB29,"COBERTURA_INSUFICIENTE"),"LEXEMA_O_FORMA")),IF(W29="REQUISITO_SOFT",IF(H29=X29,AA29,IF(H29=Z29,AB29,"LEXEMA_O_FORMA")),IF(W29="EVENTO_PROC",IF(H29=X29,AA29,IF(H29=Z29,IF(J29="COMPLETA",AB29,"COBERTURA_INSUFICIENTE"),"LEXEMA_O_FORMA")),IF(W29="IMAGEN",IF(AND(AND(ISTEXT(H29),LEN(("x"&amp;H29))=65,EXACT(("x"&amp;H29),LOWER(("x"&amp;H29))),ISERROR(SEARCH(" ",("x"&amp;H29))),ISERROR(SEARCH(CHAR(9),("x"&amp;H29))),ISERROR(SEARCH(CHAR(10),("x"&amp;H29))),ISERROR(SEARCH(CHAR(13),("x"&amp;H29))),IFERROR(HEX2DEC(MID(("x"&amp;H29),2,8))&gt;=0,FALSE),IFERROR(HEX2DEC(MID(("x"&amp;H29),10,8))&gt;=0,FALSE),IFERROR(HEX2DEC(MID(("x"&amp;H29),18,8))&gt;=0,FALSE),IFERROR(HEX2DEC(MID(("x"&amp;H29),26,8))&gt;=0,FALSE),IFERROR(HEX2DEC(MID(("x"&amp;H29),34,8))&gt;=0,FALSE),IFERROR(HEX2DEC(MID(("x"&amp;H29),42,8))&gt;=0,FALSE),IFERROR(HEX2DEC(MID(("x"&amp;H29),50,8))&gt;=0,FALSE),IFERROR(HEX2DEC(MID(("x"&amp;H29),58,8))&gt;=0,FALSE)),AND(ISTEXT(I29),LEN(("x"&amp;I29))=65,EXACT(("x"&amp;I29),LOWER(("x"&amp;I29))),ISERROR(SEARCH(" ",("x"&amp;I29))),ISERROR(SEARCH(CHAR(9),("x"&amp;I29))),ISERROR(SEARCH(CHAR(10),("x"&amp;I29))),ISERROR(SEARCH(CHAR(13),("x"&amp;I29))),IFERROR(HEX2DEC(MID(("x"&amp;I29),2,8))&gt;=0,FALSE),IFERROR(HEX2DEC(MID(("x"&amp;I29),10,8))&gt;=0,FALSE),IFERROR(HEX2DEC(MID(("x"&amp;I29),18,8))&gt;=0,FALSE),IFERROR(HEX2DEC(MID(("x"&amp;I29),26,8))&gt;=0,FALSE),IFERROR(HEX2DEC(MID(("x"&amp;I29),34,8))&gt;=0,FALSE),IFERROR(HEX2DEC(MID(("x"&amp;I29),42,8))&gt;=0,FALSE),IFERROR(HEX2DEC(MID(("x"&amp;I29),50,8))&gt;=0,FALSE),IFERROR(HEX2DEC(MID(("x"&amp;I29),58,8))&gt;=0,FALSE))),IF(EXACT("x"&amp;H29,"x"&amp;I29),AA29,AB29),"LEXEMA_O_FORMA"),IF(W29="PRUEBA",IF(H29=X29,AA29,IF(H29=Z29,AB29,"LEXEMA_O_FORMA")),IF(W29="RETIRADA",IF(AND(H29="NINGUNO",I29=""),IF(J29="COMPLETA",AB29,"COBERTURA_INSUFICIENTE"),IF(AND(OR(H29="uoInstallation",H29="uoUninstallation"),OR(I29="orcSucceeded",I29="orcSucceededWithErrors",I29="orcFailed",I29="orcAborted",I29="orcInProgress",I29="orcNotStarted")),IF(AND(H29=X29,I29=Y29),AA29,IF(AND(H29=X29,OR(I29="orcSucceededWithErrors",I29="orcInProgress",I29="orcNotStarted")),"RESULTADO_RETIRADA_INCIERTO",IF(J29="COMPLETA",AB29,"COBERTURA_INSUFICIENTE"))),"LEXEMA_O_FORMA")),IF(W29="CAMBIO",IF(OR(H29="CAMBIO",H29="CAMBIO_Y_RETORNO"),AA29,IF(OR(H29="NINGUNO",H29="SOLO_RENOMBRE"),IF(J29="COMPLETA",AB29,"COBERTURA_INSUFICIENTE"),"LEXEMA_O_FORMA")),IF(W29="RESTAURACION",IF(H29=X29,AA29,IF(OR(H29="NINGUNO",H29="RESTAURACION_POSTERIOR",H29="RESTAURACION_FALLIDA"),IF(J29="COMPLETA",AB29,"COBERTURA_INSUFICIENTE"),"LEXEMA_O_FORMA")),"PERFIL_NO_CONSTITUIDO"))))))))))))))))))</x:f>
        <x:v>REINICIO_REALIZADO</x:v>
      </x:c>
      <x:c r="R29" s="12" t="str">
        <x:f>IF(AND(L29=O29,M29=P29,N29=Q29),"PASA","NO_PASA")</x:f>
        <x:v>PASA</x:v>
      </x:c>
      <x:c r="S29" s="4" t="str">
        <x:v>Un testigo positivo acredita existencia aunque la historia restante sea parcial.</x:v>
      </x:c>
      <x:c r="T29" s="12" t="str">
        <x:f>IFERROR(INDEX('55_Codificacion_ensayo'!$B$5:$B$13,MATCH(B29,'55_Codificacion_ensayo'!$A$5:$A$13,0)),"")</x:f>
        <x:v>EVENTO-REINICIO-COMPLETO-0.1</x:v>
      </x:c>
      <x:c r="U29" s="12" t="str">
        <x:f>IFERROR(INDEX('55_Codificacion_ensayo'!$C$5:$C$13,MATCH(B29,'55_Codificacion_ensayo'!$A$5:$A$13,0)),"")</x:f>
        <x:v>ARRANQUE_COMPLETO</x:v>
      </x:c>
      <x:c r="V29" s="12" t="str">
        <x:f>IFERROR(INDEX('55_Codificacion_ensayo'!$D$5:$D$13,MATCH(B29,'55_Codificacion_ensayo'!$A$5:$A$13,0)),"")</x:f>
        <x:v>ORDEN_ACREDITADO</x:v>
      </x:c>
      <x:c r="W29" s="12" t="str">
        <x:f>IFERROR(INDEX('55_Codificacion_ensayo'!$E$5:$E$13,MATCH(B29,'55_Codificacion_ensayo'!$A$5:$A$13,0)),"")</x:f>
        <x:v>EVENTO_BOOT</x:v>
      </x:c>
      <x:c r="X29" s="12" t="str">
        <x:f>IFERROR(INDEX('55_Codificacion_ensayo'!$F$5:$F$13,MATCH(B29,'55_Codificacion_ensayo'!$A$5:$A$13,0)),"")</x:f>
        <x:v>REINICIO_COMPLETO</x:v>
      </x:c>
      <x:c r="Y29" s="12" t="str">
        <x:f>IFERROR(INDEX('55_Codificacion_ensayo'!$G$5:$G$13,MATCH(B29,'55_Codificacion_ensayo'!$A$5:$A$13,0)),"")</x:f>
      </x:c>
      <x:c r="Z29" s="12" t="str">
        <x:f>IFERROR(INDEX('55_Codificacion_ensayo'!$H$5:$H$13,MATCH(B29,'55_Codificacion_ensayo'!$A$5:$A$13,0)),"")</x:f>
        <x:v>NINGUNO</x:v>
      </x:c>
      <x:c r="AA29" s="12" t="str">
        <x:f>IFERROR(INDEX('55_Codificacion_ensayo'!$I$5:$I$13,MATCH(B29,'55_Codificacion_ensayo'!$A$5:$A$13,0)),"")</x:f>
        <x:v>REINICIO_REALIZADO</x:v>
      </x:c>
      <x:c r="AB29" s="12" t="str">
        <x:f>IFERROR(INDEX('55_Codificacion_ensayo'!$J$5:$J$13,MATCH(B29,'55_Codificacion_ensayo'!$A$5:$A$13,0)),"")</x:f>
        <x:v>SIN_REINICIO_COMPLETO</x:v>
      </x:c>
    </x:row>
    <x:row r="30" ht="47" customHeight="1">
      <x:c r="A30" s="4" t="str">
        <x:v>L10-03-12</x:v>
      </x:c>
      <x:c r="B30" s="4" t="str">
        <x:v>PAR-CYB-REINICIO-SISTEMA-REALIZADO-001</x:v>
      </x:c>
      <x:c r="C30" s="4" t="str">
        <x:v>EVENTO-REINICIO-COMPLETO-0.1</x:v>
      </x:c>
      <x:c r="D30" s="4" t="str">
        <x:v>COINCIDE</x:v>
      </x:c>
      <x:c r="E30" s="4" t="str">
        <x:v>LEGIBLE</x:v>
      </x:c>
      <x:c r="F30" s="4" t="str">
        <x:v>ARRANQUE_COMPLETO</x:v>
      </x:c>
      <x:c r="G30" s="4" t="str">
        <x:v>UNICA</x:v>
      </x:c>
      <x:c r="H30" s="4" t="str">
        <x:v>REINICIO_COMPLETO</x:v>
      </x:c>
      <x:c r="I30" s="4" t="str"/>
      <x:c r="J30" s="4" t="str">
        <x:v>COMPLETA</x:v>
      </x:c>
      <x:c r="K30" s="4" t="str">
        <x:v>ORDEN_INCIERTO</x:v>
      </x:c>
      <x:c r="L30" s="4" t="str">
        <x:v>VALIDA</x:v>
      </x:c>
      <x:c r="M30" s="4" t="str">
        <x:v>U</x:v>
      </x:c>
      <x:c r="N30" s="4" t="str">
        <x:v>ORDEN_NO_ACREDITADO</x:v>
      </x:c>
      <x:c r="O30" s="12" t="str">
        <x:f>IF(Q30="SIN_EJECUCION_DOMINIO","FALLO_CAPTURA",IF(OR(Q30="CAPTURA_MAL_FORMADA",Q30="IDENTIDAD",Q30="OBSERVACION_MAL_FORMADA",Q30="LEXEMA_O_FORMA"),"NO_ADMISION",IF(OR(Q30="PERFIL_NO_CONSTITUIDO",Q30="RESULTADO_NO_TERMINAL"),"FUERA_PERFIL",IF(Q30="CONTEXTO_NO_CONSTITUIDO","CONFIGURACION_PENDIENTE","VALIDA"))))</x:f>
        <x:v>VALIDA</x:v>
      </x:c>
      <x:c r="P30" s="12" t="str">
        <x:f>IF(O30&lt;&gt;"VALIDA","",IF(Q30=AA30,"1",IF(Q30=AB30,"0","U")))</x:f>
        <x:v>U</x:v>
      </x:c>
      <x:c r="Q30" s="12" t="str">
        <x:f>IF(E30="FALLO","SIN_EJECUCION_DOMINIO",IF(E30&lt;&gt;"LEGIBLE","CAPTURA_MAL_FORMADA",IF(D30&lt;&gt;"COINCIDE","IDENTIDAD",IF(OR(T30="",C30&lt;&gt;T30),"PERFIL_NO_CONSTITUIDO",IF(K30&lt;&gt;V30,IF(V30="ORDEN_ACREDITADO","ORDEN_NO_ACREDITADO","CONTEXTO_NO_CONSTITUIDO"),IF(AND(G30="AUSENTE",H30="",I30=""),"DATO_AUSENTE",IF(AND(G30="CONFLICTO",H30="",I30=""),"CONFLICTO_OBSERVACIONAL",IF(G30&lt;&gt;"UNICA","OBSERVACION_MAL_FORMADA",IF(F30&lt;&gt;U30,"OBSERVACION_INSUFICIENTE",IF(W30="RESULTADO",IF(H30=X30,AA30,IF(OR(H30="orcSucceededWithErrors",H30="orcFailed",H30="orcAborted"),AB30,IF(OR(H30="orcNotStarted",H30="orcInProgress"),"RESULTADO_NO_TERMINAL","LEXEMA_O_FORMA"))),IF(W30="EVENTO_BOOT",IF(H30=X30,AA30,IF(OR(H30="NINGUNO",H30="SOLO_HIBRIDO"),IF(J30="COMPLETA",AB30,"COBERTURA_INSUFICIENTE"),"LEXEMA_O_FORMA")),IF(W30="REQUISITO_SOFT",IF(H30=X30,AA30,IF(H30=Z30,AB30,"LEXEMA_O_FORMA")),IF(W30="EVENTO_PROC",IF(H30=X30,AA30,IF(H30=Z30,IF(J30="COMPLETA",AB30,"COBERTURA_INSUFICIENTE"),"LEXEMA_O_FORMA")),IF(W30="IMAGEN",IF(AND(AND(ISTEXT(H30),LEN(("x"&amp;H30))=65,EXACT(("x"&amp;H30),LOWER(("x"&amp;H30))),ISERROR(SEARCH(" ",("x"&amp;H30))),ISERROR(SEARCH(CHAR(9),("x"&amp;H30))),ISERROR(SEARCH(CHAR(10),("x"&amp;H30))),ISERROR(SEARCH(CHAR(13),("x"&amp;H30))),IFERROR(HEX2DEC(MID(("x"&amp;H30),2,8))&gt;=0,FALSE),IFERROR(HEX2DEC(MID(("x"&amp;H30),10,8))&gt;=0,FALSE),IFERROR(HEX2DEC(MID(("x"&amp;H30),18,8))&gt;=0,FALSE),IFERROR(HEX2DEC(MID(("x"&amp;H30),26,8))&gt;=0,FALSE),IFERROR(HEX2DEC(MID(("x"&amp;H30),34,8))&gt;=0,FALSE),IFERROR(HEX2DEC(MID(("x"&amp;H30),42,8))&gt;=0,FALSE),IFERROR(HEX2DEC(MID(("x"&amp;H30),50,8))&gt;=0,FALSE),IFERROR(HEX2DEC(MID(("x"&amp;H30),58,8))&gt;=0,FALSE)),AND(ISTEXT(I30),LEN(("x"&amp;I30))=65,EXACT(("x"&amp;I30),LOWER(("x"&amp;I30))),ISERROR(SEARCH(" ",("x"&amp;I30))),ISERROR(SEARCH(CHAR(9),("x"&amp;I30))),ISERROR(SEARCH(CHAR(10),("x"&amp;I30))),ISERROR(SEARCH(CHAR(13),("x"&amp;I30))),IFERROR(HEX2DEC(MID(("x"&amp;I30),2,8))&gt;=0,FALSE),IFERROR(HEX2DEC(MID(("x"&amp;I30),10,8))&gt;=0,FALSE),IFERROR(HEX2DEC(MID(("x"&amp;I30),18,8))&gt;=0,FALSE),IFERROR(HEX2DEC(MID(("x"&amp;I30),26,8))&gt;=0,FALSE),IFERROR(HEX2DEC(MID(("x"&amp;I30),34,8))&gt;=0,FALSE),IFERROR(HEX2DEC(MID(("x"&amp;I30),42,8))&gt;=0,FALSE),IFERROR(HEX2DEC(MID(("x"&amp;I30),50,8))&gt;=0,FALSE),IFERROR(HEX2DEC(MID(("x"&amp;I30),58,8))&gt;=0,FALSE))),IF(EXACT("x"&amp;H30,"x"&amp;I30),AA30,AB30),"LEXEMA_O_FORMA"),IF(W30="PRUEBA",IF(H30=X30,AA30,IF(H30=Z30,AB30,"LEXEMA_O_FORMA")),IF(W30="RETIRADA",IF(AND(H30="NINGUNO",I30=""),IF(J30="COMPLETA",AB30,"COBERTURA_INSUFICIENTE"),IF(AND(OR(H30="uoInstallation",H30="uoUninstallation"),OR(I30="orcSucceeded",I30="orcSucceededWithErrors",I30="orcFailed",I30="orcAborted",I30="orcInProgress",I30="orcNotStarted")),IF(AND(H30=X30,I30=Y30),AA30,IF(AND(H30=X30,OR(I30="orcSucceededWithErrors",I30="orcInProgress",I30="orcNotStarted")),"RESULTADO_RETIRADA_INCIERTO",IF(J30="COMPLETA",AB30,"COBERTURA_INSUFICIENTE"))),"LEXEMA_O_FORMA")),IF(W30="CAMBIO",IF(OR(H30="CAMBIO",H30="CAMBIO_Y_RETORNO"),AA30,IF(OR(H30="NINGUNO",H30="SOLO_RENOMBRE"),IF(J30="COMPLETA",AB30,"COBERTURA_INSUFICIENTE"),"LEXEMA_O_FORMA")),IF(W30="RESTAURACION",IF(H30=X30,AA30,IF(OR(H30="NINGUNO",H30="RESTAURACION_POSTERIOR",H30="RESTAURACION_FALLIDA"),IF(J30="COMPLETA",AB30,"COBERTURA_INSUFICIENTE"),"LEXEMA_O_FORMA")),"PERFIL_NO_CONSTITUIDO"))))))))))))))))))</x:f>
        <x:v>ORDEN_NO_ACREDITADO</x:v>
      </x:c>
      <x:c r="R30" s="12" t="str">
        <x:f>IF(AND(L30=O30,M30=P30,N30=Q30),"PASA","NO_PASA")</x:f>
        <x:v>PASA</x:v>
      </x:c>
      <x:c r="S30" s="4" t="str">
        <x:v>El orden no está acreditado; la mera fecha no prueba posterioridad.</x:v>
      </x:c>
      <x:c r="T30" s="12" t="str">
        <x:f>IFERROR(INDEX('55_Codificacion_ensayo'!$B$5:$B$13,MATCH(B30,'55_Codificacion_ensayo'!$A$5:$A$13,0)),"")</x:f>
        <x:v>EVENTO-REINICIO-COMPLETO-0.1</x:v>
      </x:c>
      <x:c r="U30" s="12" t="str">
        <x:f>IFERROR(INDEX('55_Codificacion_ensayo'!$C$5:$C$13,MATCH(B30,'55_Codificacion_ensayo'!$A$5:$A$13,0)),"")</x:f>
        <x:v>ARRANQUE_COMPLETO</x:v>
      </x:c>
      <x:c r="V30" s="12" t="str">
        <x:f>IFERROR(INDEX('55_Codificacion_ensayo'!$D$5:$D$13,MATCH(B30,'55_Codificacion_ensayo'!$A$5:$A$13,0)),"")</x:f>
        <x:v>ORDEN_ACREDITADO</x:v>
      </x:c>
      <x:c r="W30" s="12" t="str">
        <x:f>IFERROR(INDEX('55_Codificacion_ensayo'!$E$5:$E$13,MATCH(B30,'55_Codificacion_ensayo'!$A$5:$A$13,0)),"")</x:f>
        <x:v>EVENTO_BOOT</x:v>
      </x:c>
      <x:c r="X30" s="12" t="str">
        <x:f>IFERROR(INDEX('55_Codificacion_ensayo'!$F$5:$F$13,MATCH(B30,'55_Codificacion_ensayo'!$A$5:$A$13,0)),"")</x:f>
        <x:v>REINICIO_COMPLETO</x:v>
      </x:c>
      <x:c r="Y30" s="12" t="str">
        <x:f>IFERROR(INDEX('55_Codificacion_ensayo'!$G$5:$G$13,MATCH(B30,'55_Codificacion_ensayo'!$A$5:$A$13,0)),"")</x:f>
      </x:c>
      <x:c r="Z30" s="12" t="str">
        <x:f>IFERROR(INDEX('55_Codificacion_ensayo'!$H$5:$H$13,MATCH(B30,'55_Codificacion_ensayo'!$A$5:$A$13,0)),"")</x:f>
        <x:v>NINGUNO</x:v>
      </x:c>
      <x:c r="AA30" s="12" t="str">
        <x:f>IFERROR(INDEX('55_Codificacion_ensayo'!$I$5:$I$13,MATCH(B30,'55_Codificacion_ensayo'!$A$5:$A$13,0)),"")</x:f>
        <x:v>REINICIO_REALIZADO</x:v>
      </x:c>
      <x:c r="AB30" s="12" t="str">
        <x:f>IFERROR(INDEX('55_Codificacion_ensayo'!$J$5:$J$13,MATCH(B30,'55_Codificacion_ensayo'!$A$5:$A$13,0)),"")</x:f>
        <x:v>SIN_REINICIO_COMPLETO</x:v>
      </x:c>
    </x:row>
    <x:row r="31" ht="47" customHeight="1">
      <x:c r="A31" s="4" t="str">
        <x:v>L10-03-13</x:v>
      </x:c>
      <x:c r="B31" s="4" t="str">
        <x:v>PAR-CYB-REINICIO-SISTEMA-REALIZADO-001</x:v>
      </x:c>
      <x:c r="C31" s="4" t="str">
        <x:v>EVENTO-REINICIO-COMPLETO-0.1</x:v>
      </x:c>
      <x:c r="D31" s="4" t="str">
        <x:v>COINCIDE</x:v>
      </x:c>
      <x:c r="E31" s="4" t="str">
        <x:v>LEGIBLE</x:v>
      </x:c>
      <x:c r="F31" s="4" t="str">
        <x:v>ARRANQUE_COMPLETO</x:v>
      </x:c>
      <x:c r="G31" s="4" t="str">
        <x:v>UNICA</x:v>
      </x:c>
      <x:c r="H31" s="4" t="str">
        <x:v>SOLO_HIBRIDO</x:v>
      </x:c>
      <x:c r="I31" s="4" t="str"/>
      <x:c r="J31" s="4" t="str">
        <x:v>COMPLETA</x:v>
      </x:c>
      <x:c r="K31" s="4" t="str">
        <x:v>ORDEN_ACREDITADO</x:v>
      </x:c>
      <x:c r="L31" s="4" t="str">
        <x:v>VALIDA</x:v>
      </x:c>
      <x:c r="M31" s="4" t="str">
        <x:v>0</x:v>
      </x:c>
      <x:c r="N31" s="4" t="str">
        <x:v>SIN_REINICIO_COMPLETO</x:v>
      </x:c>
      <x:c r="O31" s="12" t="str">
        <x:f>IF(Q31="SIN_EJECUCION_DOMINIO","FALLO_CAPTURA",IF(OR(Q31="CAPTURA_MAL_FORMADA",Q31="IDENTIDAD",Q31="OBSERVACION_MAL_FORMADA",Q31="LEXEMA_O_FORMA"),"NO_ADMISION",IF(OR(Q31="PERFIL_NO_CONSTITUIDO",Q31="RESULTADO_NO_TERMINAL"),"FUERA_PERFIL",IF(Q31="CONTEXTO_NO_CONSTITUIDO","CONFIGURACION_PENDIENTE","VALIDA"))))</x:f>
        <x:v>VALIDA</x:v>
      </x:c>
      <x:c r="P31" s="12" t="str">
        <x:f>IF(O31&lt;&gt;"VALIDA","",IF(Q31=AA31,"1",IF(Q31=AB31,"0","U")))</x:f>
        <x:v>0</x:v>
      </x:c>
      <x:c r="Q31" s="12" t="str">
        <x:f>IF(E31="FALLO","SIN_EJECUCION_DOMINIO",IF(E31&lt;&gt;"LEGIBLE","CAPTURA_MAL_FORMADA",IF(D31&lt;&gt;"COINCIDE","IDENTIDAD",IF(OR(T31="",C31&lt;&gt;T31),"PERFIL_NO_CONSTITUIDO",IF(K31&lt;&gt;V31,IF(V31="ORDEN_ACREDITADO","ORDEN_NO_ACREDITADO","CONTEXTO_NO_CONSTITUIDO"),IF(AND(G31="AUSENTE",H31="",I31=""),"DATO_AUSENTE",IF(AND(G31="CONFLICTO",H31="",I31=""),"CONFLICTO_OBSERVACIONAL",IF(G31&lt;&gt;"UNICA","OBSERVACION_MAL_FORMADA",IF(F31&lt;&gt;U31,"OBSERVACION_INSUFICIENTE",IF(W31="RESULTADO",IF(H31=X31,AA31,IF(OR(H31="orcSucceededWithErrors",H31="orcFailed",H31="orcAborted"),AB31,IF(OR(H31="orcNotStarted",H31="orcInProgress"),"RESULTADO_NO_TERMINAL","LEXEMA_O_FORMA"))),IF(W31="EVENTO_BOOT",IF(H31=X31,AA31,IF(OR(H31="NINGUNO",H31="SOLO_HIBRIDO"),IF(J31="COMPLETA",AB31,"COBERTURA_INSUFICIENTE"),"LEXEMA_O_FORMA")),IF(W31="REQUISITO_SOFT",IF(H31=X31,AA31,IF(H31=Z31,AB31,"LEXEMA_O_FORMA")),IF(W31="EVENTO_PROC",IF(H31=X31,AA31,IF(H31=Z31,IF(J31="COMPLETA",AB31,"COBERTURA_INSUFICIENTE"),"LEXEMA_O_FORMA")),IF(W31="IMAGEN",IF(AND(AND(ISTEXT(H31),LEN(("x"&amp;H31))=65,EXACT(("x"&amp;H31),LOWER(("x"&amp;H31))),ISERROR(SEARCH(" ",("x"&amp;H31))),ISERROR(SEARCH(CHAR(9),("x"&amp;H31))),ISERROR(SEARCH(CHAR(10),("x"&amp;H31))),ISERROR(SEARCH(CHAR(13),("x"&amp;H31))),IFERROR(HEX2DEC(MID(("x"&amp;H31),2,8))&gt;=0,FALSE),IFERROR(HEX2DEC(MID(("x"&amp;H31),10,8))&gt;=0,FALSE),IFERROR(HEX2DEC(MID(("x"&amp;H31),18,8))&gt;=0,FALSE),IFERROR(HEX2DEC(MID(("x"&amp;H31),26,8))&gt;=0,FALSE),IFERROR(HEX2DEC(MID(("x"&amp;H31),34,8))&gt;=0,FALSE),IFERROR(HEX2DEC(MID(("x"&amp;H31),42,8))&gt;=0,FALSE),IFERROR(HEX2DEC(MID(("x"&amp;H31),50,8))&gt;=0,FALSE),IFERROR(HEX2DEC(MID(("x"&amp;H31),58,8))&gt;=0,FALSE)),AND(ISTEXT(I31),LEN(("x"&amp;I31))=65,EXACT(("x"&amp;I31),LOWER(("x"&amp;I31))),ISERROR(SEARCH(" ",("x"&amp;I31))),ISERROR(SEARCH(CHAR(9),("x"&amp;I31))),ISERROR(SEARCH(CHAR(10),("x"&amp;I31))),ISERROR(SEARCH(CHAR(13),("x"&amp;I31))),IFERROR(HEX2DEC(MID(("x"&amp;I31),2,8))&gt;=0,FALSE),IFERROR(HEX2DEC(MID(("x"&amp;I31),10,8))&gt;=0,FALSE),IFERROR(HEX2DEC(MID(("x"&amp;I31),18,8))&gt;=0,FALSE),IFERROR(HEX2DEC(MID(("x"&amp;I31),26,8))&gt;=0,FALSE),IFERROR(HEX2DEC(MID(("x"&amp;I31),34,8))&gt;=0,FALSE),IFERROR(HEX2DEC(MID(("x"&amp;I31),42,8))&gt;=0,FALSE),IFERROR(HEX2DEC(MID(("x"&amp;I31),50,8))&gt;=0,FALSE),IFERROR(HEX2DEC(MID(("x"&amp;I31),58,8))&gt;=0,FALSE))),IF(EXACT("x"&amp;H31,"x"&amp;I31),AA31,AB31),"LEXEMA_O_FORMA"),IF(W31="PRUEBA",IF(H31=X31,AA31,IF(H31=Z31,AB31,"LEXEMA_O_FORMA")),IF(W31="RETIRADA",IF(AND(H31="NINGUNO",I31=""),IF(J31="COMPLETA",AB31,"COBERTURA_INSUFICIENTE"),IF(AND(OR(H31="uoInstallation",H31="uoUninstallation"),OR(I31="orcSucceeded",I31="orcSucceededWithErrors",I31="orcFailed",I31="orcAborted",I31="orcInProgress",I31="orcNotStarted")),IF(AND(H31=X31,I31=Y31),AA31,IF(AND(H31=X31,OR(I31="orcSucceededWithErrors",I31="orcInProgress",I31="orcNotStarted")),"RESULTADO_RETIRADA_INCIERTO",IF(J31="COMPLETA",AB31,"COBERTURA_INSUFICIENTE"))),"LEXEMA_O_FORMA")),IF(W31="CAMBIO",IF(OR(H31="CAMBIO",H31="CAMBIO_Y_RETORNO"),AA31,IF(OR(H31="NINGUNO",H31="SOLO_RENOMBRE"),IF(J31="COMPLETA",AB31,"COBERTURA_INSUFICIENTE"),"LEXEMA_O_FORMA")),IF(W31="RESTAURACION",IF(H31=X31,AA31,IF(OR(H31="NINGUNO",H31="RESTAURACION_POSTERIOR",H31="RESTAURACION_FALLIDA"),IF(J31="COMPLETA",AB31,"COBERTURA_INSUFICIENTE"),"LEXEMA_O_FORMA")),"PERFIL_NO_CONSTITUIDO"))))))))))))))))))</x:f>
        <x:v>SIN_REINICIO_COMPLETO</x:v>
      </x:c>
      <x:c r="R31" s="12" t="str">
        <x:f>IF(AND(L31=O31,M31=P31,N31=Q31),"PASA","NO_PASA")</x:f>
        <x:v>PASA</x:v>
      </x:c>
      <x:c r="S31" s="4" t="str">
        <x:v>Sólo Fast Startup en una historia completa no constituye reinicio íntegro.</x:v>
      </x:c>
      <x:c r="T31" s="12" t="str">
        <x:f>IFERROR(INDEX('55_Codificacion_ensayo'!$B$5:$B$13,MATCH(B31,'55_Codificacion_ensayo'!$A$5:$A$13,0)),"")</x:f>
        <x:v>EVENTO-REINICIO-COMPLETO-0.1</x:v>
      </x:c>
      <x:c r="U31" s="12" t="str">
        <x:f>IFERROR(INDEX('55_Codificacion_ensayo'!$C$5:$C$13,MATCH(B31,'55_Codificacion_ensayo'!$A$5:$A$13,0)),"")</x:f>
        <x:v>ARRANQUE_COMPLETO</x:v>
      </x:c>
      <x:c r="V31" s="12" t="str">
        <x:f>IFERROR(INDEX('55_Codificacion_ensayo'!$D$5:$D$13,MATCH(B31,'55_Codificacion_ensayo'!$A$5:$A$13,0)),"")</x:f>
        <x:v>ORDEN_ACREDITADO</x:v>
      </x:c>
      <x:c r="W31" s="12" t="str">
        <x:f>IFERROR(INDEX('55_Codificacion_ensayo'!$E$5:$E$13,MATCH(B31,'55_Codificacion_ensayo'!$A$5:$A$13,0)),"")</x:f>
        <x:v>EVENTO_BOOT</x:v>
      </x:c>
      <x:c r="X31" s="12" t="str">
        <x:f>IFERROR(INDEX('55_Codificacion_ensayo'!$F$5:$F$13,MATCH(B31,'55_Codificacion_ensayo'!$A$5:$A$13,0)),"")</x:f>
        <x:v>REINICIO_COMPLETO</x:v>
      </x:c>
      <x:c r="Y31" s="12" t="str">
        <x:f>IFERROR(INDEX('55_Codificacion_ensayo'!$G$5:$G$13,MATCH(B31,'55_Codificacion_ensayo'!$A$5:$A$13,0)),"")</x:f>
      </x:c>
      <x:c r="Z31" s="12" t="str">
        <x:f>IFERROR(INDEX('55_Codificacion_ensayo'!$H$5:$H$13,MATCH(B31,'55_Codificacion_ensayo'!$A$5:$A$13,0)),"")</x:f>
        <x:v>NINGUNO</x:v>
      </x:c>
      <x:c r="AA31" s="12" t="str">
        <x:f>IFERROR(INDEX('55_Codificacion_ensayo'!$I$5:$I$13,MATCH(B31,'55_Codificacion_ensayo'!$A$5:$A$13,0)),"")</x:f>
        <x:v>REINICIO_REALIZADO</x:v>
      </x:c>
      <x:c r="AB31" s="12" t="str">
        <x:f>IFERROR(INDEX('55_Codificacion_ensayo'!$J$5:$J$13,MATCH(B31,'55_Codificacion_ensayo'!$A$5:$A$13,0)),"")</x:f>
        <x:v>SIN_REINICIO_COMPLETO</x:v>
      </x:c>
    </x:row>
    <x:row r="32" ht="47" customHeight="1">
      <x:c r="A32" s="4" t="str">
        <x:v>L10-03-14</x:v>
      </x:c>
      <x:c r="B32" s="4" t="str">
        <x:v>PAR-CYB-REINICIO-SISTEMA-REALIZADO-001</x:v>
      </x:c>
      <x:c r="C32" s="4" t="str">
        <x:v>EVENTO-REINICIO-COMPLETO-0.1</x:v>
      </x:c>
      <x:c r="D32" s="4" t="str">
        <x:v>COINCIDE</x:v>
      </x:c>
      <x:c r="E32" s="4" t="str">
        <x:v>LEGIBLE</x:v>
      </x:c>
      <x:c r="F32" s="4" t="str">
        <x:v>SOLICITUD_REINICIO</x:v>
      </x:c>
      <x:c r="G32" s="4" t="str">
        <x:v>UNICA</x:v>
      </x:c>
      <x:c r="H32" s="4" t="str">
        <x:v>REINICIO_COMPLETO</x:v>
      </x:c>
      <x:c r="I32" s="4" t="str"/>
      <x:c r="J32" s="4" t="str">
        <x:v>COMPLETA</x:v>
      </x:c>
      <x:c r="K32" s="4" t="str">
        <x:v>ORDEN_ACREDITADO</x:v>
      </x:c>
      <x:c r="L32" s="4" t="str">
        <x:v>VALIDA</x:v>
      </x:c>
      <x:c r="M32" s="4" t="str">
        <x:v>U</x:v>
      </x:c>
      <x:c r="N32" s="4" t="str">
        <x:v>OBSERVACION_INSUFICIENTE</x:v>
      </x:c>
      <x:c r="O32" s="12" t="str">
        <x:f>IF(Q32="SIN_EJECUCION_DOMINIO","FALLO_CAPTURA",IF(OR(Q32="CAPTURA_MAL_FORMADA",Q32="IDENTIDAD",Q32="OBSERVACION_MAL_FORMADA",Q32="LEXEMA_O_FORMA"),"NO_ADMISION",IF(OR(Q32="PERFIL_NO_CONSTITUIDO",Q32="RESULTADO_NO_TERMINAL"),"FUERA_PERFIL",IF(Q32="CONTEXTO_NO_CONSTITUIDO","CONFIGURACION_PENDIENTE","VALIDA"))))</x:f>
        <x:v>VALIDA</x:v>
      </x:c>
      <x:c r="P32" s="12" t="str">
        <x:f>IF(O32&lt;&gt;"VALIDA","",IF(Q32=AA32,"1",IF(Q32=AB32,"0","U")))</x:f>
        <x:v>U</x:v>
      </x:c>
      <x:c r="Q32" s="12" t="str">
        <x:f>IF(E32="FALLO","SIN_EJECUCION_DOMINIO",IF(E32&lt;&gt;"LEGIBLE","CAPTURA_MAL_FORMADA",IF(D32&lt;&gt;"COINCIDE","IDENTIDAD",IF(OR(T32="",C32&lt;&gt;T32),"PERFIL_NO_CONSTITUIDO",IF(K32&lt;&gt;V32,IF(V32="ORDEN_ACREDITADO","ORDEN_NO_ACREDITADO","CONTEXTO_NO_CONSTITUIDO"),IF(AND(G32="AUSENTE",H32="",I32=""),"DATO_AUSENTE",IF(AND(G32="CONFLICTO",H32="",I32=""),"CONFLICTO_OBSERVACIONAL",IF(G32&lt;&gt;"UNICA","OBSERVACION_MAL_FORMADA",IF(F32&lt;&gt;U32,"OBSERVACION_INSUFICIENTE",IF(W32="RESULTADO",IF(H32=X32,AA32,IF(OR(H32="orcSucceededWithErrors",H32="orcFailed",H32="orcAborted"),AB32,IF(OR(H32="orcNotStarted",H32="orcInProgress"),"RESULTADO_NO_TERMINAL","LEXEMA_O_FORMA"))),IF(W32="EVENTO_BOOT",IF(H32=X32,AA32,IF(OR(H32="NINGUNO",H32="SOLO_HIBRIDO"),IF(J32="COMPLETA",AB32,"COBERTURA_INSUFICIENTE"),"LEXEMA_O_FORMA")),IF(W32="REQUISITO_SOFT",IF(H32=X32,AA32,IF(H32=Z32,AB32,"LEXEMA_O_FORMA")),IF(W32="EVENTO_PROC",IF(H32=X32,AA32,IF(H32=Z32,IF(J32="COMPLETA",AB32,"COBERTURA_INSUFICIENTE"),"LEXEMA_O_FORMA")),IF(W32="IMAGEN",IF(AND(AND(ISTEXT(H32),LEN(("x"&amp;H32))=65,EXACT(("x"&amp;H32),LOWER(("x"&amp;H32))),ISERROR(SEARCH(" ",("x"&amp;H32))),ISERROR(SEARCH(CHAR(9),("x"&amp;H32))),ISERROR(SEARCH(CHAR(10),("x"&amp;H32))),ISERROR(SEARCH(CHAR(13),("x"&amp;H32))),IFERROR(HEX2DEC(MID(("x"&amp;H32),2,8))&gt;=0,FALSE),IFERROR(HEX2DEC(MID(("x"&amp;H32),10,8))&gt;=0,FALSE),IFERROR(HEX2DEC(MID(("x"&amp;H32),18,8))&gt;=0,FALSE),IFERROR(HEX2DEC(MID(("x"&amp;H32),26,8))&gt;=0,FALSE),IFERROR(HEX2DEC(MID(("x"&amp;H32),34,8))&gt;=0,FALSE),IFERROR(HEX2DEC(MID(("x"&amp;H32),42,8))&gt;=0,FALSE),IFERROR(HEX2DEC(MID(("x"&amp;H32),50,8))&gt;=0,FALSE),IFERROR(HEX2DEC(MID(("x"&amp;H32),58,8))&gt;=0,FALSE)),AND(ISTEXT(I32),LEN(("x"&amp;I32))=65,EXACT(("x"&amp;I32),LOWER(("x"&amp;I32))),ISERROR(SEARCH(" ",("x"&amp;I32))),ISERROR(SEARCH(CHAR(9),("x"&amp;I32))),ISERROR(SEARCH(CHAR(10),("x"&amp;I32))),ISERROR(SEARCH(CHAR(13),("x"&amp;I32))),IFERROR(HEX2DEC(MID(("x"&amp;I32),2,8))&gt;=0,FALSE),IFERROR(HEX2DEC(MID(("x"&amp;I32),10,8))&gt;=0,FALSE),IFERROR(HEX2DEC(MID(("x"&amp;I32),18,8))&gt;=0,FALSE),IFERROR(HEX2DEC(MID(("x"&amp;I32),26,8))&gt;=0,FALSE),IFERROR(HEX2DEC(MID(("x"&amp;I32),34,8))&gt;=0,FALSE),IFERROR(HEX2DEC(MID(("x"&amp;I32),42,8))&gt;=0,FALSE),IFERROR(HEX2DEC(MID(("x"&amp;I32),50,8))&gt;=0,FALSE),IFERROR(HEX2DEC(MID(("x"&amp;I32),58,8))&gt;=0,FALSE))),IF(EXACT("x"&amp;H32,"x"&amp;I32),AA32,AB32),"LEXEMA_O_FORMA"),IF(W32="PRUEBA",IF(H32=X32,AA32,IF(H32=Z32,AB32,"LEXEMA_O_FORMA")),IF(W32="RETIRADA",IF(AND(H32="NINGUNO",I32=""),IF(J32="COMPLETA",AB32,"COBERTURA_INSUFICIENTE"),IF(AND(OR(H32="uoInstallation",H32="uoUninstallation"),OR(I32="orcSucceeded",I32="orcSucceededWithErrors",I32="orcFailed",I32="orcAborted",I32="orcInProgress",I32="orcNotStarted")),IF(AND(H32=X32,I32=Y32),AA32,IF(AND(H32=X32,OR(I32="orcSucceededWithErrors",I32="orcInProgress",I32="orcNotStarted")),"RESULTADO_RETIRADA_INCIERTO",IF(J32="COMPLETA",AB32,"COBERTURA_INSUFICIENTE"))),"LEXEMA_O_FORMA")),IF(W32="CAMBIO",IF(OR(H32="CAMBIO",H32="CAMBIO_Y_RETORNO"),AA32,IF(OR(H32="NINGUNO",H32="SOLO_RENOMBRE"),IF(J32="COMPLETA",AB32,"COBERTURA_INSUFICIENTE"),"LEXEMA_O_FORMA")),IF(W32="RESTAURACION",IF(H32=X32,AA32,IF(OR(H32="NINGUNO",H32="RESTAURACION_POSTERIOR",H32="RESTAURACION_FALLIDA"),IF(J32="COMPLETA",AB32,"COBERTURA_INSUFICIENTE"),"LEXEMA_O_FORMA")),"PERFIL_NO_CONSTITUIDO"))))))))))))))))))</x:f>
        <x:v>OBSERVACION_INSUFICIENTE</x:v>
      </x:c>
      <x:c r="R32" s="12" t="str">
        <x:f>IF(AND(L32=O32,M32=P32,N32=Q32),"PASA","NO_PASA")</x:f>
        <x:v>PASA</x:v>
      </x:c>
      <x:c r="S32" s="4" t="str">
        <x:v>Solicitud de reinicio no prueba arranque completado.</x:v>
      </x:c>
      <x:c r="T32" s="12" t="str">
        <x:f>IFERROR(INDEX('55_Codificacion_ensayo'!$B$5:$B$13,MATCH(B32,'55_Codificacion_ensayo'!$A$5:$A$13,0)),"")</x:f>
        <x:v>EVENTO-REINICIO-COMPLETO-0.1</x:v>
      </x:c>
      <x:c r="U32" s="12" t="str">
        <x:f>IFERROR(INDEX('55_Codificacion_ensayo'!$C$5:$C$13,MATCH(B32,'55_Codificacion_ensayo'!$A$5:$A$13,0)),"")</x:f>
        <x:v>ARRANQUE_COMPLETO</x:v>
      </x:c>
      <x:c r="V32" s="12" t="str">
        <x:f>IFERROR(INDEX('55_Codificacion_ensayo'!$D$5:$D$13,MATCH(B32,'55_Codificacion_ensayo'!$A$5:$A$13,0)),"")</x:f>
        <x:v>ORDEN_ACREDITADO</x:v>
      </x:c>
      <x:c r="W32" s="12" t="str">
        <x:f>IFERROR(INDEX('55_Codificacion_ensayo'!$E$5:$E$13,MATCH(B32,'55_Codificacion_ensayo'!$A$5:$A$13,0)),"")</x:f>
        <x:v>EVENTO_BOOT</x:v>
      </x:c>
      <x:c r="X32" s="12" t="str">
        <x:f>IFERROR(INDEX('55_Codificacion_ensayo'!$F$5:$F$13,MATCH(B32,'55_Codificacion_ensayo'!$A$5:$A$13,0)),"")</x:f>
        <x:v>REINICIO_COMPLETO</x:v>
      </x:c>
      <x:c r="Y32" s="12" t="str">
        <x:f>IFERROR(INDEX('55_Codificacion_ensayo'!$G$5:$G$13,MATCH(B32,'55_Codificacion_ensayo'!$A$5:$A$13,0)),"")</x:f>
      </x:c>
      <x:c r="Z32" s="12" t="str">
        <x:f>IFERROR(INDEX('55_Codificacion_ensayo'!$H$5:$H$13,MATCH(B32,'55_Codificacion_ensayo'!$A$5:$A$13,0)),"")</x:f>
        <x:v>NINGUNO</x:v>
      </x:c>
      <x:c r="AA32" s="12" t="str">
        <x:f>IFERROR(INDEX('55_Codificacion_ensayo'!$I$5:$I$13,MATCH(B32,'55_Codificacion_ensayo'!$A$5:$A$13,0)),"")</x:f>
        <x:v>REINICIO_REALIZADO</x:v>
      </x:c>
      <x:c r="AB32" s="12" t="str">
        <x:f>IFERROR(INDEX('55_Codificacion_ensayo'!$J$5:$J$13,MATCH(B32,'55_Codificacion_ensayo'!$A$5:$A$13,0)),"")</x:f>
        <x:v>SIN_REINICIO_COMPLETO</x:v>
      </x:c>
    </x:row>
    <x:row r="33" ht="47" customHeight="1">
      <x:c r="A33" s="4" t="str">
        <x:v>L10-04-01</x:v>
      </x:c>
      <x:c r="B33" s="4" t="str">
        <x:v>PAR-CYB-REINICIO-SOFTWARE-REQUERIDO-001</x:v>
      </x:c>
      <x:c r="C33" s="4" t="str">
        <x:v>REQUISITO-SOFTWARE-INDIVIDUAL-0.1</x:v>
      </x:c>
      <x:c r="D33" s="4" t="str">
        <x:v>COINCIDE</x:v>
      </x:c>
      <x:c r="E33" s="4" t="str">
        <x:v>LEGIBLE</x:v>
      </x:c>
      <x:c r="F33" s="4" t="str">
        <x:v>INSTRUCCION_ESPECIFICA</x:v>
      </x:c>
      <x:c r="G33" s="4" t="str">
        <x:v>UNICA</x:v>
      </x:c>
      <x:c r="H33" s="4" t="str">
        <x:v>true</x:v>
      </x:c>
      <x:c r="I33" s="4" t="str"/>
      <x:c r="J33" s="4" t="str">
        <x:v>COMPLETA</x:v>
      </x:c>
      <x:c r="K33" s="4" t="str">
        <x:v>UN_SOFTWARE</x:v>
      </x:c>
      <x:c r="L33" s="4" t="str">
        <x:v>VALIDA</x:v>
      </x:c>
      <x:c r="M33" s="4" t="str">
        <x:v>1</x:v>
      </x:c>
      <x:c r="N33" s="4" t="str">
        <x:v>REQUISITO_SOFTWARE_SI</x:v>
      </x:c>
      <x:c r="O33" s="12" t="str">
        <x:f>IF(Q33="SIN_EJECUCION_DOMINIO","FALLO_CAPTURA",IF(OR(Q33="CAPTURA_MAL_FORMADA",Q33="IDENTIDAD",Q33="OBSERVACION_MAL_FORMADA",Q33="LEXEMA_O_FORMA"),"NO_ADMISION",IF(OR(Q33="PERFIL_NO_CONSTITUIDO",Q33="RESULTADO_NO_TERMINAL"),"FUERA_PERFIL",IF(Q33="CONTEXTO_NO_CONSTITUIDO","CONFIGURACION_PENDIENTE","VALIDA"))))</x:f>
        <x:v>VALIDA</x:v>
      </x:c>
      <x:c r="P33" s="12" t="str">
        <x:f>IF(O33&lt;&gt;"VALIDA","",IF(Q33=AA33,"1",IF(Q33=AB33,"0","U")))</x:f>
        <x:v>1</x:v>
      </x:c>
      <x:c r="Q33" s="12" t="str">
        <x:f>IF(E33="FALLO","SIN_EJECUCION_DOMINIO",IF(E33&lt;&gt;"LEGIBLE","CAPTURA_MAL_FORMADA",IF(D33&lt;&gt;"COINCIDE","IDENTIDAD",IF(OR(T33="",C33&lt;&gt;T33),"PERFIL_NO_CONSTITUIDO",IF(K33&lt;&gt;V33,IF(V33="ORDEN_ACREDITADO","ORDEN_NO_ACREDITADO","CONTEXTO_NO_CONSTITUIDO"),IF(AND(G33="AUSENTE",H33="",I33=""),"DATO_AUSENTE",IF(AND(G33="CONFLICTO",H33="",I33=""),"CONFLICTO_OBSERVACIONAL",IF(G33&lt;&gt;"UNICA","OBSERVACION_MAL_FORMADA",IF(F33&lt;&gt;U33,"OBSERVACION_INSUFICIENTE",IF(W33="RESULTADO",IF(H33=X33,AA33,IF(OR(H33="orcSucceededWithErrors",H33="orcFailed",H33="orcAborted"),AB33,IF(OR(H33="orcNotStarted",H33="orcInProgress"),"RESULTADO_NO_TERMINAL","LEXEMA_O_FORMA"))),IF(W33="EVENTO_BOOT",IF(H33=X33,AA33,IF(OR(H33="NINGUNO",H33="SOLO_HIBRIDO"),IF(J33="COMPLETA",AB33,"COBERTURA_INSUFICIENTE"),"LEXEMA_O_FORMA")),IF(W33="REQUISITO_SOFT",IF(H33=X33,AA33,IF(H33=Z33,AB33,"LEXEMA_O_FORMA")),IF(W33="EVENTO_PROC",IF(H33=X33,AA33,IF(H33=Z33,IF(J33="COMPLETA",AB33,"COBERTURA_INSUFICIENTE"),"LEXEMA_O_FORMA")),IF(W33="IMAGEN",IF(AND(AND(ISTEXT(H33),LEN(("x"&amp;H33))=65,EXACT(("x"&amp;H33),LOWER(("x"&amp;H33))),ISERROR(SEARCH(" ",("x"&amp;H33))),ISERROR(SEARCH(CHAR(9),("x"&amp;H33))),ISERROR(SEARCH(CHAR(10),("x"&amp;H33))),ISERROR(SEARCH(CHAR(13),("x"&amp;H33))),IFERROR(HEX2DEC(MID(("x"&amp;H33),2,8))&gt;=0,FALSE),IFERROR(HEX2DEC(MID(("x"&amp;H33),10,8))&gt;=0,FALSE),IFERROR(HEX2DEC(MID(("x"&amp;H33),18,8))&gt;=0,FALSE),IFERROR(HEX2DEC(MID(("x"&amp;H33),26,8))&gt;=0,FALSE),IFERROR(HEX2DEC(MID(("x"&amp;H33),34,8))&gt;=0,FALSE),IFERROR(HEX2DEC(MID(("x"&amp;H33),42,8))&gt;=0,FALSE),IFERROR(HEX2DEC(MID(("x"&amp;H33),50,8))&gt;=0,FALSE),IFERROR(HEX2DEC(MID(("x"&amp;H33),58,8))&gt;=0,FALSE)),AND(ISTEXT(I33),LEN(("x"&amp;I33))=65,EXACT(("x"&amp;I33),LOWER(("x"&amp;I33))),ISERROR(SEARCH(" ",("x"&amp;I33))),ISERROR(SEARCH(CHAR(9),("x"&amp;I33))),ISERROR(SEARCH(CHAR(10),("x"&amp;I33))),ISERROR(SEARCH(CHAR(13),("x"&amp;I33))),IFERROR(HEX2DEC(MID(("x"&amp;I33),2,8))&gt;=0,FALSE),IFERROR(HEX2DEC(MID(("x"&amp;I33),10,8))&gt;=0,FALSE),IFERROR(HEX2DEC(MID(("x"&amp;I33),18,8))&gt;=0,FALSE),IFERROR(HEX2DEC(MID(("x"&amp;I33),26,8))&gt;=0,FALSE),IFERROR(HEX2DEC(MID(("x"&amp;I33),34,8))&gt;=0,FALSE),IFERROR(HEX2DEC(MID(("x"&amp;I33),42,8))&gt;=0,FALSE),IFERROR(HEX2DEC(MID(("x"&amp;I33),50,8))&gt;=0,FALSE),IFERROR(HEX2DEC(MID(("x"&amp;I33),58,8))&gt;=0,FALSE))),IF(EXACT("x"&amp;H33,"x"&amp;I33),AA33,AB33),"LEXEMA_O_FORMA"),IF(W33="PRUEBA",IF(H33=X33,AA33,IF(H33=Z33,AB33,"LEXEMA_O_FORMA")),IF(W33="RETIRADA",IF(AND(H33="NINGUNO",I33=""),IF(J33="COMPLETA",AB33,"COBERTURA_INSUFICIENTE"),IF(AND(OR(H33="uoInstallation",H33="uoUninstallation"),OR(I33="orcSucceeded",I33="orcSucceededWithErrors",I33="orcFailed",I33="orcAborted",I33="orcInProgress",I33="orcNotStarted")),IF(AND(H33=X33,I33=Y33),AA33,IF(AND(H33=X33,OR(I33="orcSucceededWithErrors",I33="orcInProgress",I33="orcNotStarted")),"RESULTADO_RETIRADA_INCIERTO",IF(J33="COMPLETA",AB33,"COBERTURA_INSUFICIENTE"))),"LEXEMA_O_FORMA")),IF(W33="CAMBIO",IF(OR(H33="CAMBIO",H33="CAMBIO_Y_RETORNO"),AA33,IF(OR(H33="NINGUNO",H33="SOLO_RENOMBRE"),IF(J33="COMPLETA",AB33,"COBERTURA_INSUFICIENTE"),"LEXEMA_O_FORMA")),IF(W33="RESTAURACION",IF(H33=X33,AA33,IF(OR(H33="NINGUNO",H33="RESTAURACION_POSTERIOR",H33="RESTAURACION_FALLIDA"),IF(J33="COMPLETA",AB33,"COBERTURA_INSUFICIENTE"),"LEXEMA_O_FORMA")),"PERFIL_NO_CONSTITUIDO"))))))))))))))))))</x:f>
        <x:v>REQUISITO_SOFTWARE_SI</x:v>
      </x:c>
      <x:c r="R33" s="12" t="str">
        <x:f>IF(AND(L33=O33,M33=P33,N33=Q33),"PASA","NO_PASA")</x:f>
        <x:v>PASA</x:v>
      </x:c>
      <x:c r="S33" s="4" t="str">
        <x:v>Testigo positivo de la proposición; no licencia ninguna conclusión más amplia.</x:v>
      </x:c>
      <x:c r="T33" s="12" t="str">
        <x:f>IFERROR(INDEX('55_Codificacion_ensayo'!$B$5:$B$13,MATCH(B33,'55_Codificacion_ensayo'!$A$5:$A$13,0)),"")</x:f>
        <x:v>REQUISITO-SOFTWARE-INDIVIDUAL-0.1</x:v>
      </x:c>
      <x:c r="U33" s="12" t="str">
        <x:f>IFERROR(INDEX('55_Codificacion_ensayo'!$C$5:$C$13,MATCH(B33,'55_Codificacion_ensayo'!$A$5:$A$13,0)),"")</x:f>
        <x:v>INSTRUCCION_ESPECIFICA</x:v>
      </x:c>
      <x:c r="V33" s="12" t="str">
        <x:f>IFERROR(INDEX('55_Codificacion_ensayo'!$D$5:$D$13,MATCH(B33,'55_Codificacion_ensayo'!$A$5:$A$13,0)),"")</x:f>
        <x:v>UN_SOFTWARE</x:v>
      </x:c>
      <x:c r="W33" s="12" t="str">
        <x:f>IFERROR(INDEX('55_Codificacion_ensayo'!$E$5:$E$13,MATCH(B33,'55_Codificacion_ensayo'!$A$5:$A$13,0)),"")</x:f>
        <x:v>REQUISITO_SOFT</x:v>
      </x:c>
      <x:c r="X33" s="12" t="str">
        <x:f>IFERROR(INDEX('55_Codificacion_ensayo'!$F$5:$F$13,MATCH(B33,'55_Codificacion_ensayo'!$A$5:$A$13,0)),"")</x:f>
        <x:v>true</x:v>
      </x:c>
      <x:c r="Y33" s="12" t="str">
        <x:f>IFERROR(INDEX('55_Codificacion_ensayo'!$G$5:$G$13,MATCH(B33,'55_Codificacion_ensayo'!$A$5:$A$13,0)),"")</x:f>
      </x:c>
      <x:c r="Z33" s="12" t="str">
        <x:f>IFERROR(INDEX('55_Codificacion_ensayo'!$H$5:$H$13,MATCH(B33,'55_Codificacion_ensayo'!$A$5:$A$13,0)),"")</x:f>
        <x:v>false</x:v>
      </x:c>
      <x:c r="AA33" s="12" t="str">
        <x:f>IFERROR(INDEX('55_Codificacion_ensayo'!$I$5:$I$13,MATCH(B33,'55_Codificacion_ensayo'!$A$5:$A$13,0)),"")</x:f>
        <x:v>REQUISITO_SOFTWARE_SI</x:v>
      </x:c>
      <x:c r="AB33" s="12" t="str">
        <x:f>IFERROR(INDEX('55_Codificacion_ensayo'!$J$5:$J$13,MATCH(B33,'55_Codificacion_ensayo'!$A$5:$A$13,0)),"")</x:f>
        <x:v>REQUISITO_SOFTWARE_NO</x:v>
      </x:c>
    </x:row>
    <x:row r="34" ht="47" customHeight="1">
      <x:c r="A34" s="4" t="str">
        <x:v>L10-04-02</x:v>
      </x:c>
      <x:c r="B34" s="4" t="str">
        <x:v>PAR-CYB-REINICIO-SOFTWARE-REQUERIDO-001</x:v>
      </x:c>
      <x:c r="C34" s="4" t="str">
        <x:v>REQUISITO-SOFTWARE-INDIVIDUAL-0.1</x:v>
      </x:c>
      <x:c r="D34" s="4" t="str">
        <x:v>COINCIDE</x:v>
      </x:c>
      <x:c r="E34" s="4" t="str">
        <x:v>LEGIBLE</x:v>
      </x:c>
      <x:c r="F34" s="4" t="str">
        <x:v>INSTRUCCION_ESPECIFICA</x:v>
      </x:c>
      <x:c r="G34" s="4" t="str">
        <x:v>UNICA</x:v>
      </x:c>
      <x:c r="H34" s="4" t="str">
        <x:v>false</x:v>
      </x:c>
      <x:c r="I34" s="4" t="str"/>
      <x:c r="J34" s="4" t="str">
        <x:v>COMPLETA</x:v>
      </x:c>
      <x:c r="K34" s="4" t="str">
        <x:v>UN_SOFTWARE</x:v>
      </x:c>
      <x:c r="L34" s="4" t="str">
        <x:v>VALIDA</x:v>
      </x:c>
      <x:c r="M34" s="4" t="str">
        <x:v>0</x:v>
      </x:c>
      <x:c r="N34" s="4" t="str">
        <x:v>REQUISITO_SOFTWARE_NO</x:v>
      </x:c>
      <x:c r="O34" s="12" t="str">
        <x:f>IF(Q34="SIN_EJECUCION_DOMINIO","FALLO_CAPTURA",IF(OR(Q34="CAPTURA_MAL_FORMADA",Q34="IDENTIDAD",Q34="OBSERVACION_MAL_FORMADA",Q34="LEXEMA_O_FORMA"),"NO_ADMISION",IF(OR(Q34="PERFIL_NO_CONSTITUIDO",Q34="RESULTADO_NO_TERMINAL"),"FUERA_PERFIL",IF(Q34="CONTEXTO_NO_CONSTITUIDO","CONFIGURACION_PENDIENTE","VALIDA"))))</x:f>
        <x:v>VALIDA</x:v>
      </x:c>
      <x:c r="P34" s="12" t="str">
        <x:f>IF(O34&lt;&gt;"VALIDA","",IF(Q34=AA34,"1",IF(Q34=AB34,"0","U")))</x:f>
        <x:v>0</x:v>
      </x:c>
      <x:c r="Q34" s="12" t="str">
        <x:f>IF(E34="FALLO","SIN_EJECUCION_DOMINIO",IF(E34&lt;&gt;"LEGIBLE","CAPTURA_MAL_FORMADA",IF(D34&lt;&gt;"COINCIDE","IDENTIDAD",IF(OR(T34="",C34&lt;&gt;T34),"PERFIL_NO_CONSTITUIDO",IF(K34&lt;&gt;V34,IF(V34="ORDEN_ACREDITADO","ORDEN_NO_ACREDITADO","CONTEXTO_NO_CONSTITUIDO"),IF(AND(G34="AUSENTE",H34="",I34=""),"DATO_AUSENTE",IF(AND(G34="CONFLICTO",H34="",I34=""),"CONFLICTO_OBSERVACIONAL",IF(G34&lt;&gt;"UNICA","OBSERVACION_MAL_FORMADA",IF(F34&lt;&gt;U34,"OBSERVACION_INSUFICIENTE",IF(W34="RESULTADO",IF(H34=X34,AA34,IF(OR(H34="orcSucceededWithErrors",H34="orcFailed",H34="orcAborted"),AB34,IF(OR(H34="orcNotStarted",H34="orcInProgress"),"RESULTADO_NO_TERMINAL","LEXEMA_O_FORMA"))),IF(W34="EVENTO_BOOT",IF(H34=X34,AA34,IF(OR(H34="NINGUNO",H34="SOLO_HIBRIDO"),IF(J34="COMPLETA",AB34,"COBERTURA_INSUFICIENTE"),"LEXEMA_O_FORMA")),IF(W34="REQUISITO_SOFT",IF(H34=X34,AA34,IF(H34=Z34,AB34,"LEXEMA_O_FORMA")),IF(W34="EVENTO_PROC",IF(H34=X34,AA34,IF(H34=Z34,IF(J34="COMPLETA",AB34,"COBERTURA_INSUFICIENTE"),"LEXEMA_O_FORMA")),IF(W34="IMAGEN",IF(AND(AND(ISTEXT(H34),LEN(("x"&amp;H34))=65,EXACT(("x"&amp;H34),LOWER(("x"&amp;H34))),ISERROR(SEARCH(" ",("x"&amp;H34))),ISERROR(SEARCH(CHAR(9),("x"&amp;H34))),ISERROR(SEARCH(CHAR(10),("x"&amp;H34))),ISERROR(SEARCH(CHAR(13),("x"&amp;H34))),IFERROR(HEX2DEC(MID(("x"&amp;H34),2,8))&gt;=0,FALSE),IFERROR(HEX2DEC(MID(("x"&amp;H34),10,8))&gt;=0,FALSE),IFERROR(HEX2DEC(MID(("x"&amp;H34),18,8))&gt;=0,FALSE),IFERROR(HEX2DEC(MID(("x"&amp;H34),26,8))&gt;=0,FALSE),IFERROR(HEX2DEC(MID(("x"&amp;H34),34,8))&gt;=0,FALSE),IFERROR(HEX2DEC(MID(("x"&amp;H34),42,8))&gt;=0,FALSE),IFERROR(HEX2DEC(MID(("x"&amp;H34),50,8))&gt;=0,FALSE),IFERROR(HEX2DEC(MID(("x"&amp;H34),58,8))&gt;=0,FALSE)),AND(ISTEXT(I34),LEN(("x"&amp;I34))=65,EXACT(("x"&amp;I34),LOWER(("x"&amp;I34))),ISERROR(SEARCH(" ",("x"&amp;I34))),ISERROR(SEARCH(CHAR(9),("x"&amp;I34))),ISERROR(SEARCH(CHAR(10),("x"&amp;I34))),ISERROR(SEARCH(CHAR(13),("x"&amp;I34))),IFERROR(HEX2DEC(MID(("x"&amp;I34),2,8))&gt;=0,FALSE),IFERROR(HEX2DEC(MID(("x"&amp;I34),10,8))&gt;=0,FALSE),IFERROR(HEX2DEC(MID(("x"&amp;I34),18,8))&gt;=0,FALSE),IFERROR(HEX2DEC(MID(("x"&amp;I34),26,8))&gt;=0,FALSE),IFERROR(HEX2DEC(MID(("x"&amp;I34),34,8))&gt;=0,FALSE),IFERROR(HEX2DEC(MID(("x"&amp;I34),42,8))&gt;=0,FALSE),IFERROR(HEX2DEC(MID(("x"&amp;I34),50,8))&gt;=0,FALSE),IFERROR(HEX2DEC(MID(("x"&amp;I34),58,8))&gt;=0,FALSE))),IF(EXACT("x"&amp;H34,"x"&amp;I34),AA34,AB34),"LEXEMA_O_FORMA"),IF(W34="PRUEBA",IF(H34=X34,AA34,IF(H34=Z34,AB34,"LEXEMA_O_FORMA")),IF(W34="RETIRADA",IF(AND(H34="NINGUNO",I34=""),IF(J34="COMPLETA",AB34,"COBERTURA_INSUFICIENTE"),IF(AND(OR(H34="uoInstallation",H34="uoUninstallation"),OR(I34="orcSucceeded",I34="orcSucceededWithErrors",I34="orcFailed",I34="orcAborted",I34="orcInProgress",I34="orcNotStarted")),IF(AND(H34=X34,I34=Y34),AA34,IF(AND(H34=X34,OR(I34="orcSucceededWithErrors",I34="orcInProgress",I34="orcNotStarted")),"RESULTADO_RETIRADA_INCIERTO",IF(J34="COMPLETA",AB34,"COBERTURA_INSUFICIENTE"))),"LEXEMA_O_FORMA")),IF(W34="CAMBIO",IF(OR(H34="CAMBIO",H34="CAMBIO_Y_RETORNO"),AA34,IF(OR(H34="NINGUNO",H34="SOLO_RENOMBRE"),IF(J34="COMPLETA",AB34,"COBERTURA_INSUFICIENTE"),"LEXEMA_O_FORMA")),IF(W34="RESTAURACION",IF(H34=X34,AA34,IF(OR(H34="NINGUNO",H34="RESTAURACION_POSTERIOR",H34="RESTAURACION_FALLIDA"),IF(J34="COMPLETA",AB34,"COBERTURA_INSUFICIENTE"),"LEXEMA_O_FORMA")),"PERFIL_NO_CONSTITUIDO"))))))))))))))))))</x:f>
        <x:v>REQUISITO_SOFTWARE_NO</x:v>
      </x:c>
      <x:c r="R34" s="12" t="str">
        <x:f>IF(AND(L34=O34,M34=P34,N34=Q34),"PASA","NO_PASA")</x:f>
        <x:v>PASA</x:v>
      </x:c>
      <x:c r="S34" s="4" t="str">
        <x:v>Negativo explícito; en eventos exige cobertura del intervalo.</x:v>
      </x:c>
      <x:c r="T34" s="12" t="str">
        <x:f>IFERROR(INDEX('55_Codificacion_ensayo'!$B$5:$B$13,MATCH(B34,'55_Codificacion_ensayo'!$A$5:$A$13,0)),"")</x:f>
        <x:v>REQUISITO-SOFTWARE-INDIVIDUAL-0.1</x:v>
      </x:c>
      <x:c r="U34" s="12" t="str">
        <x:f>IFERROR(INDEX('55_Codificacion_ensayo'!$C$5:$C$13,MATCH(B34,'55_Codificacion_ensayo'!$A$5:$A$13,0)),"")</x:f>
        <x:v>INSTRUCCION_ESPECIFICA</x:v>
      </x:c>
      <x:c r="V34" s="12" t="str">
        <x:f>IFERROR(INDEX('55_Codificacion_ensayo'!$D$5:$D$13,MATCH(B34,'55_Codificacion_ensayo'!$A$5:$A$13,0)),"")</x:f>
        <x:v>UN_SOFTWARE</x:v>
      </x:c>
      <x:c r="W34" s="12" t="str">
        <x:f>IFERROR(INDEX('55_Codificacion_ensayo'!$E$5:$E$13,MATCH(B34,'55_Codificacion_ensayo'!$A$5:$A$13,0)),"")</x:f>
        <x:v>REQUISITO_SOFT</x:v>
      </x:c>
      <x:c r="X34" s="12" t="str">
        <x:f>IFERROR(INDEX('55_Codificacion_ensayo'!$F$5:$F$13,MATCH(B34,'55_Codificacion_ensayo'!$A$5:$A$13,0)),"")</x:f>
        <x:v>true</x:v>
      </x:c>
      <x:c r="Y34" s="12" t="str">
        <x:f>IFERROR(INDEX('55_Codificacion_ensayo'!$G$5:$G$13,MATCH(B34,'55_Codificacion_ensayo'!$A$5:$A$13,0)),"")</x:f>
      </x:c>
      <x:c r="Z34" s="12" t="str">
        <x:f>IFERROR(INDEX('55_Codificacion_ensayo'!$H$5:$H$13,MATCH(B34,'55_Codificacion_ensayo'!$A$5:$A$13,0)),"")</x:f>
        <x:v>false</x:v>
      </x:c>
      <x:c r="AA34" s="12" t="str">
        <x:f>IFERROR(INDEX('55_Codificacion_ensayo'!$I$5:$I$13,MATCH(B34,'55_Codificacion_ensayo'!$A$5:$A$13,0)),"")</x:f>
        <x:v>REQUISITO_SOFTWARE_SI</x:v>
      </x:c>
      <x:c r="AB34" s="12" t="str">
        <x:f>IFERROR(INDEX('55_Codificacion_ensayo'!$J$5:$J$13,MATCH(B34,'55_Codificacion_ensayo'!$A$5:$A$13,0)),"")</x:f>
        <x:v>REQUISITO_SOFTWARE_NO</x:v>
      </x:c>
    </x:row>
    <x:row r="35" ht="47" customHeight="1">
      <x:c r="A35" s="4" t="str">
        <x:v>L10-04-03</x:v>
      </x:c>
      <x:c r="B35" s="4" t="str">
        <x:v>PAR-CYB-REINICIO-SOFTWARE-REQUERIDO-001</x:v>
      </x:c>
      <x:c r="C35" s="4" t="str">
        <x:v>REQUISITO-SOFTWARE-INDIVIDUAL-0.1</x:v>
      </x:c>
      <x:c r="D35" s="4" t="str">
        <x:v>COINCIDE</x:v>
      </x:c>
      <x:c r="E35" s="4" t="str">
        <x:v>LEGIBLE</x:v>
      </x:c>
      <x:c r="F35" s="4" t="str">
        <x:v>INSTRUCCION_ESPECIFICA</x:v>
      </x:c>
      <x:c r="G35" s="4" t="str">
        <x:v>AUSENTE</x:v>
      </x:c>
      <x:c r="H35" s="4" t="str"/>
      <x:c r="I35" s="4" t="str"/>
      <x:c r="J35" s="4" t="str">
        <x:v>COMPLETA</x:v>
      </x:c>
      <x:c r="K35" s="4" t="str">
        <x:v>UN_SOFTWARE</x:v>
      </x:c>
      <x:c r="L35" s="4" t="str">
        <x:v>VALIDA</x:v>
      </x:c>
      <x:c r="M35" s="4" t="str">
        <x:v>U</x:v>
      </x:c>
      <x:c r="N35" s="4" t="str">
        <x:v>DATO_AUSENTE</x:v>
      </x:c>
      <x:c r="O35" s="12" t="str">
        <x:f>IF(Q35="SIN_EJECUCION_DOMINIO","FALLO_CAPTURA",IF(OR(Q35="CAPTURA_MAL_FORMADA",Q35="IDENTIDAD",Q35="OBSERVACION_MAL_FORMADA",Q35="LEXEMA_O_FORMA"),"NO_ADMISION",IF(OR(Q35="PERFIL_NO_CONSTITUIDO",Q35="RESULTADO_NO_TERMINAL"),"FUERA_PERFIL",IF(Q35="CONTEXTO_NO_CONSTITUIDO","CONFIGURACION_PENDIENTE","VALIDA"))))</x:f>
        <x:v>VALIDA</x:v>
      </x:c>
      <x:c r="P35" s="12" t="str">
        <x:f>IF(O35&lt;&gt;"VALIDA","",IF(Q35=AA35,"1",IF(Q35=AB35,"0","U")))</x:f>
        <x:v>U</x:v>
      </x:c>
      <x:c r="Q35" s="12" t="str">
        <x:f>IF(E35="FALLO","SIN_EJECUCION_DOMINIO",IF(E35&lt;&gt;"LEGIBLE","CAPTURA_MAL_FORMADA",IF(D35&lt;&gt;"COINCIDE","IDENTIDAD",IF(OR(T35="",C35&lt;&gt;T35),"PERFIL_NO_CONSTITUIDO",IF(K35&lt;&gt;V35,IF(V35="ORDEN_ACREDITADO","ORDEN_NO_ACREDITADO","CONTEXTO_NO_CONSTITUIDO"),IF(AND(G35="AUSENTE",H35="",I35=""),"DATO_AUSENTE",IF(AND(G35="CONFLICTO",H35="",I35=""),"CONFLICTO_OBSERVACIONAL",IF(G35&lt;&gt;"UNICA","OBSERVACION_MAL_FORMADA",IF(F35&lt;&gt;U35,"OBSERVACION_INSUFICIENTE",IF(W35="RESULTADO",IF(H35=X35,AA35,IF(OR(H35="orcSucceededWithErrors",H35="orcFailed",H35="orcAborted"),AB35,IF(OR(H35="orcNotStarted",H35="orcInProgress"),"RESULTADO_NO_TERMINAL","LEXEMA_O_FORMA"))),IF(W35="EVENTO_BOOT",IF(H35=X35,AA35,IF(OR(H35="NINGUNO",H35="SOLO_HIBRIDO"),IF(J35="COMPLETA",AB35,"COBERTURA_INSUFICIENTE"),"LEXEMA_O_FORMA")),IF(W35="REQUISITO_SOFT",IF(H35=X35,AA35,IF(H35=Z35,AB35,"LEXEMA_O_FORMA")),IF(W35="EVENTO_PROC",IF(H35=X35,AA35,IF(H35=Z35,IF(J35="COMPLETA",AB35,"COBERTURA_INSUFICIENTE"),"LEXEMA_O_FORMA")),IF(W35="IMAGEN",IF(AND(AND(ISTEXT(H35),LEN(("x"&amp;H35))=65,EXACT(("x"&amp;H35),LOWER(("x"&amp;H35))),ISERROR(SEARCH(" ",("x"&amp;H35))),ISERROR(SEARCH(CHAR(9),("x"&amp;H35))),ISERROR(SEARCH(CHAR(10),("x"&amp;H35))),ISERROR(SEARCH(CHAR(13),("x"&amp;H35))),IFERROR(HEX2DEC(MID(("x"&amp;H35),2,8))&gt;=0,FALSE),IFERROR(HEX2DEC(MID(("x"&amp;H35),10,8))&gt;=0,FALSE),IFERROR(HEX2DEC(MID(("x"&amp;H35),18,8))&gt;=0,FALSE),IFERROR(HEX2DEC(MID(("x"&amp;H35),26,8))&gt;=0,FALSE),IFERROR(HEX2DEC(MID(("x"&amp;H35),34,8))&gt;=0,FALSE),IFERROR(HEX2DEC(MID(("x"&amp;H35),42,8))&gt;=0,FALSE),IFERROR(HEX2DEC(MID(("x"&amp;H35),50,8))&gt;=0,FALSE),IFERROR(HEX2DEC(MID(("x"&amp;H35),58,8))&gt;=0,FALSE)),AND(ISTEXT(I35),LEN(("x"&amp;I35))=65,EXACT(("x"&amp;I35),LOWER(("x"&amp;I35))),ISERROR(SEARCH(" ",("x"&amp;I35))),ISERROR(SEARCH(CHAR(9),("x"&amp;I35))),ISERROR(SEARCH(CHAR(10),("x"&amp;I35))),ISERROR(SEARCH(CHAR(13),("x"&amp;I35))),IFERROR(HEX2DEC(MID(("x"&amp;I35),2,8))&gt;=0,FALSE),IFERROR(HEX2DEC(MID(("x"&amp;I35),10,8))&gt;=0,FALSE),IFERROR(HEX2DEC(MID(("x"&amp;I35),18,8))&gt;=0,FALSE),IFERROR(HEX2DEC(MID(("x"&amp;I35),26,8))&gt;=0,FALSE),IFERROR(HEX2DEC(MID(("x"&amp;I35),34,8))&gt;=0,FALSE),IFERROR(HEX2DEC(MID(("x"&amp;I35),42,8))&gt;=0,FALSE),IFERROR(HEX2DEC(MID(("x"&amp;I35),50,8))&gt;=0,FALSE),IFERROR(HEX2DEC(MID(("x"&amp;I35),58,8))&gt;=0,FALSE))),IF(EXACT("x"&amp;H35,"x"&amp;I35),AA35,AB35),"LEXEMA_O_FORMA"),IF(W35="PRUEBA",IF(H35=X35,AA35,IF(H35=Z35,AB35,"LEXEMA_O_FORMA")),IF(W35="RETIRADA",IF(AND(H35="NINGUNO",I35=""),IF(J35="COMPLETA",AB35,"COBERTURA_INSUFICIENTE"),IF(AND(OR(H35="uoInstallation",H35="uoUninstallation"),OR(I35="orcSucceeded",I35="orcSucceededWithErrors",I35="orcFailed",I35="orcAborted",I35="orcInProgress",I35="orcNotStarted")),IF(AND(H35=X35,I35=Y35),AA35,IF(AND(H35=X35,OR(I35="orcSucceededWithErrors",I35="orcInProgress",I35="orcNotStarted")),"RESULTADO_RETIRADA_INCIERTO",IF(J35="COMPLETA",AB35,"COBERTURA_INSUFICIENTE"))),"LEXEMA_O_FORMA")),IF(W35="CAMBIO",IF(OR(H35="CAMBIO",H35="CAMBIO_Y_RETORNO"),AA35,IF(OR(H35="NINGUNO",H35="SOLO_RENOMBRE"),IF(J35="COMPLETA",AB35,"COBERTURA_INSUFICIENTE"),"LEXEMA_O_FORMA")),IF(W35="RESTAURACION",IF(H35=X35,AA35,IF(OR(H35="NINGUNO",H35="RESTAURACION_POSTERIOR",H35="RESTAURACION_FALLIDA"),IF(J35="COMPLETA",AB35,"COBERTURA_INSUFICIENTE"),"LEXEMA_O_FORMA")),"PERFIL_NO_CONSTITUIDO"))))))))))))))))))</x:f>
        <x:v>DATO_AUSENTE</x:v>
      </x:c>
      <x:c r="R35" s="12" t="str">
        <x:f>IF(AND(L35=O35,M35=P35,N35=Q35),"PASA","NO_PASA")</x:f>
        <x:v>PASA</x:v>
      </x:c>
      <x:c r="S35" s="4" t="str">
        <x:v>Documento declara que falta la observación, sin convertir ausencia en 0.</x:v>
      </x:c>
      <x:c r="T35" s="12" t="str">
        <x:f>IFERROR(INDEX('55_Codificacion_ensayo'!$B$5:$B$13,MATCH(B35,'55_Codificacion_ensayo'!$A$5:$A$13,0)),"")</x:f>
        <x:v>REQUISITO-SOFTWARE-INDIVIDUAL-0.1</x:v>
      </x:c>
      <x:c r="U35" s="12" t="str">
        <x:f>IFERROR(INDEX('55_Codificacion_ensayo'!$C$5:$C$13,MATCH(B35,'55_Codificacion_ensayo'!$A$5:$A$13,0)),"")</x:f>
        <x:v>INSTRUCCION_ESPECIFICA</x:v>
      </x:c>
      <x:c r="V35" s="12" t="str">
        <x:f>IFERROR(INDEX('55_Codificacion_ensayo'!$D$5:$D$13,MATCH(B35,'55_Codificacion_ensayo'!$A$5:$A$13,0)),"")</x:f>
        <x:v>UN_SOFTWARE</x:v>
      </x:c>
      <x:c r="W35" s="12" t="str">
        <x:f>IFERROR(INDEX('55_Codificacion_ensayo'!$E$5:$E$13,MATCH(B35,'55_Codificacion_ensayo'!$A$5:$A$13,0)),"")</x:f>
        <x:v>REQUISITO_SOFT</x:v>
      </x:c>
      <x:c r="X35" s="12" t="str">
        <x:f>IFERROR(INDEX('55_Codificacion_ensayo'!$F$5:$F$13,MATCH(B35,'55_Codificacion_ensayo'!$A$5:$A$13,0)),"")</x:f>
        <x:v>true</x:v>
      </x:c>
      <x:c r="Y35" s="12" t="str">
        <x:f>IFERROR(INDEX('55_Codificacion_ensayo'!$G$5:$G$13,MATCH(B35,'55_Codificacion_ensayo'!$A$5:$A$13,0)),"")</x:f>
      </x:c>
      <x:c r="Z35" s="12" t="str">
        <x:f>IFERROR(INDEX('55_Codificacion_ensayo'!$H$5:$H$13,MATCH(B35,'55_Codificacion_ensayo'!$A$5:$A$13,0)),"")</x:f>
        <x:v>false</x:v>
      </x:c>
      <x:c r="AA35" s="12" t="str">
        <x:f>IFERROR(INDEX('55_Codificacion_ensayo'!$I$5:$I$13,MATCH(B35,'55_Codificacion_ensayo'!$A$5:$A$13,0)),"")</x:f>
        <x:v>REQUISITO_SOFTWARE_SI</x:v>
      </x:c>
      <x:c r="AB35" s="12" t="str">
        <x:f>IFERROR(INDEX('55_Codificacion_ensayo'!$J$5:$J$13,MATCH(B35,'55_Codificacion_ensayo'!$A$5:$A$13,0)),"")</x:f>
        <x:v>REQUISITO_SOFTWARE_NO</x:v>
      </x:c>
    </x:row>
    <x:row r="36" ht="47" customHeight="1">
      <x:c r="A36" s="4" t="str">
        <x:v>L10-04-04</x:v>
      </x:c>
      <x:c r="B36" s="4" t="str">
        <x:v>PAR-CYB-REINICIO-SOFTWARE-REQUERIDO-001</x:v>
      </x:c>
      <x:c r="C36" s="4" t="str">
        <x:v>REQUISITO-SOFTWARE-INDIVIDUAL-0.1</x:v>
      </x:c>
      <x:c r="D36" s="4" t="str">
        <x:v>COINCIDE</x:v>
      </x:c>
      <x:c r="E36" s="4" t="str">
        <x:v>LEGIBLE</x:v>
      </x:c>
      <x:c r="F36" s="4" t="str">
        <x:v>INSTRUCCION_ESPECIFICA</x:v>
      </x:c>
      <x:c r="G36" s="4" t="str">
        <x:v>CONFLICTO</x:v>
      </x:c>
      <x:c r="H36" s="4" t="str"/>
      <x:c r="I36" s="4" t="str"/>
      <x:c r="J36" s="4" t="str">
        <x:v>COMPLETA</x:v>
      </x:c>
      <x:c r="K36" s="4" t="str">
        <x:v>UN_SOFTWARE</x:v>
      </x:c>
      <x:c r="L36" s="4" t="str">
        <x:v>VALIDA</x:v>
      </x:c>
      <x:c r="M36" s="4" t="str">
        <x:v>U</x:v>
      </x:c>
      <x:c r="N36" s="4" t="str">
        <x:v>CONFLICTO_OBSERVACIONAL</x:v>
      </x:c>
      <x:c r="O36" s="12" t="str">
        <x:f>IF(Q36="SIN_EJECUCION_DOMINIO","FALLO_CAPTURA",IF(OR(Q36="CAPTURA_MAL_FORMADA",Q36="IDENTIDAD",Q36="OBSERVACION_MAL_FORMADA",Q36="LEXEMA_O_FORMA"),"NO_ADMISION",IF(OR(Q36="PERFIL_NO_CONSTITUIDO",Q36="RESULTADO_NO_TERMINAL"),"FUERA_PERFIL",IF(Q36="CONTEXTO_NO_CONSTITUIDO","CONFIGURACION_PENDIENTE","VALIDA"))))</x:f>
        <x:v>VALIDA</x:v>
      </x:c>
      <x:c r="P36" s="12" t="str">
        <x:f>IF(O36&lt;&gt;"VALIDA","",IF(Q36=AA36,"1",IF(Q36=AB36,"0","U")))</x:f>
        <x:v>U</x:v>
      </x:c>
      <x:c r="Q36" s="12" t="str">
        <x:f>IF(E36="FALLO","SIN_EJECUCION_DOMINIO",IF(E36&lt;&gt;"LEGIBLE","CAPTURA_MAL_FORMADA",IF(D36&lt;&gt;"COINCIDE","IDENTIDAD",IF(OR(T36="",C36&lt;&gt;T36),"PERFIL_NO_CONSTITUIDO",IF(K36&lt;&gt;V36,IF(V36="ORDEN_ACREDITADO","ORDEN_NO_ACREDITADO","CONTEXTO_NO_CONSTITUIDO"),IF(AND(G36="AUSENTE",H36="",I36=""),"DATO_AUSENTE",IF(AND(G36="CONFLICTO",H36="",I36=""),"CONFLICTO_OBSERVACIONAL",IF(G36&lt;&gt;"UNICA","OBSERVACION_MAL_FORMADA",IF(F36&lt;&gt;U36,"OBSERVACION_INSUFICIENTE",IF(W36="RESULTADO",IF(H36=X36,AA36,IF(OR(H36="orcSucceededWithErrors",H36="orcFailed",H36="orcAborted"),AB36,IF(OR(H36="orcNotStarted",H36="orcInProgress"),"RESULTADO_NO_TERMINAL","LEXEMA_O_FORMA"))),IF(W36="EVENTO_BOOT",IF(H36=X36,AA36,IF(OR(H36="NINGUNO",H36="SOLO_HIBRIDO"),IF(J36="COMPLETA",AB36,"COBERTURA_INSUFICIENTE"),"LEXEMA_O_FORMA")),IF(W36="REQUISITO_SOFT",IF(H36=X36,AA36,IF(H36=Z36,AB36,"LEXEMA_O_FORMA")),IF(W36="EVENTO_PROC",IF(H36=X36,AA36,IF(H36=Z36,IF(J36="COMPLETA",AB36,"COBERTURA_INSUFICIENTE"),"LEXEMA_O_FORMA")),IF(W36="IMAGEN",IF(AND(AND(ISTEXT(H36),LEN(("x"&amp;H36))=65,EXACT(("x"&amp;H36),LOWER(("x"&amp;H36))),ISERROR(SEARCH(" ",("x"&amp;H36))),ISERROR(SEARCH(CHAR(9),("x"&amp;H36))),ISERROR(SEARCH(CHAR(10),("x"&amp;H36))),ISERROR(SEARCH(CHAR(13),("x"&amp;H36))),IFERROR(HEX2DEC(MID(("x"&amp;H36),2,8))&gt;=0,FALSE),IFERROR(HEX2DEC(MID(("x"&amp;H36),10,8))&gt;=0,FALSE),IFERROR(HEX2DEC(MID(("x"&amp;H36),18,8))&gt;=0,FALSE),IFERROR(HEX2DEC(MID(("x"&amp;H36),26,8))&gt;=0,FALSE),IFERROR(HEX2DEC(MID(("x"&amp;H36),34,8))&gt;=0,FALSE),IFERROR(HEX2DEC(MID(("x"&amp;H36),42,8))&gt;=0,FALSE),IFERROR(HEX2DEC(MID(("x"&amp;H36),50,8))&gt;=0,FALSE),IFERROR(HEX2DEC(MID(("x"&amp;H36),58,8))&gt;=0,FALSE)),AND(ISTEXT(I36),LEN(("x"&amp;I36))=65,EXACT(("x"&amp;I36),LOWER(("x"&amp;I36))),ISERROR(SEARCH(" ",("x"&amp;I36))),ISERROR(SEARCH(CHAR(9),("x"&amp;I36))),ISERROR(SEARCH(CHAR(10),("x"&amp;I36))),ISERROR(SEARCH(CHAR(13),("x"&amp;I36))),IFERROR(HEX2DEC(MID(("x"&amp;I36),2,8))&gt;=0,FALSE),IFERROR(HEX2DEC(MID(("x"&amp;I36),10,8))&gt;=0,FALSE),IFERROR(HEX2DEC(MID(("x"&amp;I36),18,8))&gt;=0,FALSE),IFERROR(HEX2DEC(MID(("x"&amp;I36),26,8))&gt;=0,FALSE),IFERROR(HEX2DEC(MID(("x"&amp;I36),34,8))&gt;=0,FALSE),IFERROR(HEX2DEC(MID(("x"&amp;I36),42,8))&gt;=0,FALSE),IFERROR(HEX2DEC(MID(("x"&amp;I36),50,8))&gt;=0,FALSE),IFERROR(HEX2DEC(MID(("x"&amp;I36),58,8))&gt;=0,FALSE))),IF(EXACT("x"&amp;H36,"x"&amp;I36),AA36,AB36),"LEXEMA_O_FORMA"),IF(W36="PRUEBA",IF(H36=X36,AA36,IF(H36=Z36,AB36,"LEXEMA_O_FORMA")),IF(W36="RETIRADA",IF(AND(H36="NINGUNO",I36=""),IF(J36="COMPLETA",AB36,"COBERTURA_INSUFICIENTE"),IF(AND(OR(H36="uoInstallation",H36="uoUninstallation"),OR(I36="orcSucceeded",I36="orcSucceededWithErrors",I36="orcFailed",I36="orcAborted",I36="orcInProgress",I36="orcNotStarted")),IF(AND(H36=X36,I36=Y36),AA36,IF(AND(H36=X36,OR(I36="orcSucceededWithErrors",I36="orcInProgress",I36="orcNotStarted")),"RESULTADO_RETIRADA_INCIERTO",IF(J36="COMPLETA",AB36,"COBERTURA_INSUFICIENTE"))),"LEXEMA_O_FORMA")),IF(W36="CAMBIO",IF(OR(H36="CAMBIO",H36="CAMBIO_Y_RETORNO"),AA36,IF(OR(H36="NINGUNO",H36="SOLO_RENOMBRE"),IF(J36="COMPLETA",AB36,"COBERTURA_INSUFICIENTE"),"LEXEMA_O_FORMA")),IF(W36="RESTAURACION",IF(H36=X36,AA36,IF(OR(H36="NINGUNO",H36="RESTAURACION_POSTERIOR",H36="RESTAURACION_FALLIDA"),IF(J36="COMPLETA",AB36,"COBERTURA_INSUFICIENTE"),"LEXEMA_O_FORMA")),"PERFIL_NO_CONSTITUIDO"))))))))))))))))))</x:f>
        <x:v>CONFLICTO_OBSERVACIONAL</x:v>
      </x:c>
      <x:c r="R36" s="12" t="str">
        <x:f>IF(AND(L36=O36,M36=P36,N36=Q36),"PASA","NO_PASA")</x:f>
        <x:v>PASA</x:v>
      </x:c>
      <x:c r="S36" s="4" t="str">
        <x:v>Conflicto entre observaciones admitidas del mismo sujeto y corte.</x:v>
      </x:c>
      <x:c r="T36" s="12" t="str">
        <x:f>IFERROR(INDEX('55_Codificacion_ensayo'!$B$5:$B$13,MATCH(B36,'55_Codificacion_ensayo'!$A$5:$A$13,0)),"")</x:f>
        <x:v>REQUISITO-SOFTWARE-INDIVIDUAL-0.1</x:v>
      </x:c>
      <x:c r="U36" s="12" t="str">
        <x:f>IFERROR(INDEX('55_Codificacion_ensayo'!$C$5:$C$13,MATCH(B36,'55_Codificacion_ensayo'!$A$5:$A$13,0)),"")</x:f>
        <x:v>INSTRUCCION_ESPECIFICA</x:v>
      </x:c>
      <x:c r="V36" s="12" t="str">
        <x:f>IFERROR(INDEX('55_Codificacion_ensayo'!$D$5:$D$13,MATCH(B36,'55_Codificacion_ensayo'!$A$5:$A$13,0)),"")</x:f>
        <x:v>UN_SOFTWARE</x:v>
      </x:c>
      <x:c r="W36" s="12" t="str">
        <x:f>IFERROR(INDEX('55_Codificacion_ensayo'!$E$5:$E$13,MATCH(B36,'55_Codificacion_ensayo'!$A$5:$A$13,0)),"")</x:f>
        <x:v>REQUISITO_SOFT</x:v>
      </x:c>
      <x:c r="X36" s="12" t="str">
        <x:f>IFERROR(INDEX('55_Codificacion_ensayo'!$F$5:$F$13,MATCH(B36,'55_Codificacion_ensayo'!$A$5:$A$13,0)),"")</x:f>
        <x:v>true</x:v>
      </x:c>
      <x:c r="Y36" s="12" t="str">
        <x:f>IFERROR(INDEX('55_Codificacion_ensayo'!$G$5:$G$13,MATCH(B36,'55_Codificacion_ensayo'!$A$5:$A$13,0)),"")</x:f>
      </x:c>
      <x:c r="Z36" s="12" t="str">
        <x:f>IFERROR(INDEX('55_Codificacion_ensayo'!$H$5:$H$13,MATCH(B36,'55_Codificacion_ensayo'!$A$5:$A$13,0)),"")</x:f>
        <x:v>false</x:v>
      </x:c>
      <x:c r="AA36" s="12" t="str">
        <x:f>IFERROR(INDEX('55_Codificacion_ensayo'!$I$5:$I$13,MATCH(B36,'55_Codificacion_ensayo'!$A$5:$A$13,0)),"")</x:f>
        <x:v>REQUISITO_SOFTWARE_SI</x:v>
      </x:c>
      <x:c r="AB36" s="12" t="str">
        <x:f>IFERROR(INDEX('55_Codificacion_ensayo'!$J$5:$J$13,MATCH(B36,'55_Codificacion_ensayo'!$A$5:$A$13,0)),"")</x:f>
        <x:v>REQUISITO_SOFTWARE_NO</x:v>
      </x:c>
    </x:row>
    <x:row r="37" ht="47" customHeight="1">
      <x:c r="A37" s="4" t="str">
        <x:v>L10-04-05</x:v>
      </x:c>
      <x:c r="B37" s="4" t="str">
        <x:v>PAR-CYB-REINICIO-SOFTWARE-REQUERIDO-001</x:v>
      </x:c>
      <x:c r="C37" s="4" t="str">
        <x:v>REQUISITO-SOFTWARE-INDIVIDUAL-0.1</x:v>
      </x:c>
      <x:c r="D37" s="4" t="str">
        <x:v>COINCIDE</x:v>
      </x:c>
      <x:c r="E37" s="4" t="str">
        <x:v>FALLO</x:v>
      </x:c>
      <x:c r="F37" s="4" t="str">
        <x:v>INSTRUCCION_ESPECIFICA</x:v>
      </x:c>
      <x:c r="G37" s="4" t="str">
        <x:v>UNICA</x:v>
      </x:c>
      <x:c r="H37" s="4" t="str">
        <x:v>true</x:v>
      </x:c>
      <x:c r="I37" s="4" t="str"/>
      <x:c r="J37" s="4" t="str">
        <x:v>COMPLETA</x:v>
      </x:c>
      <x:c r="K37" s="4" t="str">
        <x:v>UN_SOFTWARE</x:v>
      </x:c>
      <x:c r="L37" s="4" t="str">
        <x:v>FALLO_CAPTURA</x:v>
      </x:c>
      <x:c r="M37" s="4" t="str"/>
      <x:c r="N37" s="4" t="str">
        <x:v>SIN_EJECUCION_DOMINIO</x:v>
      </x:c>
      <x:c r="O37" s="12" t="str">
        <x:f>IF(Q37="SIN_EJECUCION_DOMINIO","FALLO_CAPTURA",IF(OR(Q37="CAPTURA_MAL_FORMADA",Q37="IDENTIDAD",Q37="OBSERVACION_MAL_FORMADA",Q37="LEXEMA_O_FORMA"),"NO_ADMISION",IF(OR(Q37="PERFIL_NO_CONSTITUIDO",Q37="RESULTADO_NO_TERMINAL"),"FUERA_PERFIL",IF(Q37="CONTEXTO_NO_CONSTITUIDO","CONFIGURACION_PENDIENTE","VALIDA"))))</x:f>
        <x:v>FALLO_CAPTURA</x:v>
      </x:c>
      <x:c r="P37" s="12" t="str">
        <x:f>IF(O37&lt;&gt;"VALIDA","",IF(Q37=AA37,"1",IF(Q37=AB37,"0","U")))</x:f>
      </x:c>
      <x:c r="Q37" s="12" t="str">
        <x:f>IF(E37="FALLO","SIN_EJECUCION_DOMINIO",IF(E37&lt;&gt;"LEGIBLE","CAPTURA_MAL_FORMADA",IF(D37&lt;&gt;"COINCIDE","IDENTIDAD",IF(OR(T37="",C37&lt;&gt;T37),"PERFIL_NO_CONSTITUIDO",IF(K37&lt;&gt;V37,IF(V37="ORDEN_ACREDITADO","ORDEN_NO_ACREDITADO","CONTEXTO_NO_CONSTITUIDO"),IF(AND(G37="AUSENTE",H37="",I37=""),"DATO_AUSENTE",IF(AND(G37="CONFLICTO",H37="",I37=""),"CONFLICTO_OBSERVACIONAL",IF(G37&lt;&gt;"UNICA","OBSERVACION_MAL_FORMADA",IF(F37&lt;&gt;U37,"OBSERVACION_INSUFICIENTE",IF(W37="RESULTADO",IF(H37=X37,AA37,IF(OR(H37="orcSucceededWithErrors",H37="orcFailed",H37="orcAborted"),AB37,IF(OR(H37="orcNotStarted",H37="orcInProgress"),"RESULTADO_NO_TERMINAL","LEXEMA_O_FORMA"))),IF(W37="EVENTO_BOOT",IF(H37=X37,AA37,IF(OR(H37="NINGUNO",H37="SOLO_HIBRIDO"),IF(J37="COMPLETA",AB37,"COBERTURA_INSUFICIENTE"),"LEXEMA_O_FORMA")),IF(W37="REQUISITO_SOFT",IF(H37=X37,AA37,IF(H37=Z37,AB37,"LEXEMA_O_FORMA")),IF(W37="EVENTO_PROC",IF(H37=X37,AA37,IF(H37=Z37,IF(J37="COMPLETA",AB37,"COBERTURA_INSUFICIENTE"),"LEXEMA_O_FORMA")),IF(W37="IMAGEN",IF(AND(AND(ISTEXT(H37),LEN(("x"&amp;H37))=65,EXACT(("x"&amp;H37),LOWER(("x"&amp;H37))),ISERROR(SEARCH(" ",("x"&amp;H37))),ISERROR(SEARCH(CHAR(9),("x"&amp;H37))),ISERROR(SEARCH(CHAR(10),("x"&amp;H37))),ISERROR(SEARCH(CHAR(13),("x"&amp;H37))),IFERROR(HEX2DEC(MID(("x"&amp;H37),2,8))&gt;=0,FALSE),IFERROR(HEX2DEC(MID(("x"&amp;H37),10,8))&gt;=0,FALSE),IFERROR(HEX2DEC(MID(("x"&amp;H37),18,8))&gt;=0,FALSE),IFERROR(HEX2DEC(MID(("x"&amp;H37),26,8))&gt;=0,FALSE),IFERROR(HEX2DEC(MID(("x"&amp;H37),34,8))&gt;=0,FALSE),IFERROR(HEX2DEC(MID(("x"&amp;H37),42,8))&gt;=0,FALSE),IFERROR(HEX2DEC(MID(("x"&amp;H37),50,8))&gt;=0,FALSE),IFERROR(HEX2DEC(MID(("x"&amp;H37),58,8))&gt;=0,FALSE)),AND(ISTEXT(I37),LEN(("x"&amp;I37))=65,EXACT(("x"&amp;I37),LOWER(("x"&amp;I37))),ISERROR(SEARCH(" ",("x"&amp;I37))),ISERROR(SEARCH(CHAR(9),("x"&amp;I37))),ISERROR(SEARCH(CHAR(10),("x"&amp;I37))),ISERROR(SEARCH(CHAR(13),("x"&amp;I37))),IFERROR(HEX2DEC(MID(("x"&amp;I37),2,8))&gt;=0,FALSE),IFERROR(HEX2DEC(MID(("x"&amp;I37),10,8))&gt;=0,FALSE),IFERROR(HEX2DEC(MID(("x"&amp;I37),18,8))&gt;=0,FALSE),IFERROR(HEX2DEC(MID(("x"&amp;I37),26,8))&gt;=0,FALSE),IFERROR(HEX2DEC(MID(("x"&amp;I37),34,8))&gt;=0,FALSE),IFERROR(HEX2DEC(MID(("x"&amp;I37),42,8))&gt;=0,FALSE),IFERROR(HEX2DEC(MID(("x"&amp;I37),50,8))&gt;=0,FALSE),IFERROR(HEX2DEC(MID(("x"&amp;I37),58,8))&gt;=0,FALSE))),IF(EXACT("x"&amp;H37,"x"&amp;I37),AA37,AB37),"LEXEMA_O_FORMA"),IF(W37="PRUEBA",IF(H37=X37,AA37,IF(H37=Z37,AB37,"LEXEMA_O_FORMA")),IF(W37="RETIRADA",IF(AND(H37="NINGUNO",I37=""),IF(J37="COMPLETA",AB37,"COBERTURA_INSUFICIENTE"),IF(AND(OR(H37="uoInstallation",H37="uoUninstallation"),OR(I37="orcSucceeded",I37="orcSucceededWithErrors",I37="orcFailed",I37="orcAborted",I37="orcInProgress",I37="orcNotStarted")),IF(AND(H37=X37,I37=Y37),AA37,IF(AND(H37=X37,OR(I37="orcSucceededWithErrors",I37="orcInProgress",I37="orcNotStarted")),"RESULTADO_RETIRADA_INCIERTO",IF(J37="COMPLETA",AB37,"COBERTURA_INSUFICIENTE"))),"LEXEMA_O_FORMA")),IF(W37="CAMBIO",IF(OR(H37="CAMBIO",H37="CAMBIO_Y_RETORNO"),AA37,IF(OR(H37="NINGUNO",H37="SOLO_RENOMBRE"),IF(J37="COMPLETA",AB37,"COBERTURA_INSUFICIENTE"),"LEXEMA_O_FORMA")),IF(W37="RESTAURACION",IF(H37=X37,AA37,IF(OR(H37="NINGUNO",H37="RESTAURACION_POSTERIOR",H37="RESTAURACION_FALLIDA"),IF(J37="COMPLETA",AB37,"COBERTURA_INSUFICIENTE"),"LEXEMA_O_FORMA")),"PERFIL_NO_CONSTITUIDO"))))))))))))))))))</x:f>
        <x:v>SIN_EJECUCION_DOMINIO</x:v>
      </x:c>
      <x:c r="R37" s="12" t="str">
        <x:f>IF(AND(L37=O37,M37=P37,N37=Q37),"PASA","NO_PASA")</x:f>
        <x:v>PASA</x:v>
      </x:c>
      <x:c r="S37" s="4" t="str">
        <x:v>El observador falla; no existe ejecución de dominio ni Tri alternativo.</x:v>
      </x:c>
      <x:c r="T37" s="12" t="str">
        <x:f>IFERROR(INDEX('55_Codificacion_ensayo'!$B$5:$B$13,MATCH(B37,'55_Codificacion_ensayo'!$A$5:$A$13,0)),"")</x:f>
        <x:v>REQUISITO-SOFTWARE-INDIVIDUAL-0.1</x:v>
      </x:c>
      <x:c r="U37" s="12" t="str">
        <x:f>IFERROR(INDEX('55_Codificacion_ensayo'!$C$5:$C$13,MATCH(B37,'55_Codificacion_ensayo'!$A$5:$A$13,0)),"")</x:f>
        <x:v>INSTRUCCION_ESPECIFICA</x:v>
      </x:c>
      <x:c r="V37" s="12" t="str">
        <x:f>IFERROR(INDEX('55_Codificacion_ensayo'!$D$5:$D$13,MATCH(B37,'55_Codificacion_ensayo'!$A$5:$A$13,0)),"")</x:f>
        <x:v>UN_SOFTWARE</x:v>
      </x:c>
      <x:c r="W37" s="12" t="str">
        <x:f>IFERROR(INDEX('55_Codificacion_ensayo'!$E$5:$E$13,MATCH(B37,'55_Codificacion_ensayo'!$A$5:$A$13,0)),"")</x:f>
        <x:v>REQUISITO_SOFT</x:v>
      </x:c>
      <x:c r="X37" s="12" t="str">
        <x:f>IFERROR(INDEX('55_Codificacion_ensayo'!$F$5:$F$13,MATCH(B37,'55_Codificacion_ensayo'!$A$5:$A$13,0)),"")</x:f>
        <x:v>true</x:v>
      </x:c>
      <x:c r="Y37" s="12" t="str">
        <x:f>IFERROR(INDEX('55_Codificacion_ensayo'!$G$5:$G$13,MATCH(B37,'55_Codificacion_ensayo'!$A$5:$A$13,0)),"")</x:f>
      </x:c>
      <x:c r="Z37" s="12" t="str">
        <x:f>IFERROR(INDEX('55_Codificacion_ensayo'!$H$5:$H$13,MATCH(B37,'55_Codificacion_ensayo'!$A$5:$A$13,0)),"")</x:f>
        <x:v>false</x:v>
      </x:c>
      <x:c r="AA37" s="12" t="str">
        <x:f>IFERROR(INDEX('55_Codificacion_ensayo'!$I$5:$I$13,MATCH(B37,'55_Codificacion_ensayo'!$A$5:$A$13,0)),"")</x:f>
        <x:v>REQUISITO_SOFTWARE_SI</x:v>
      </x:c>
      <x:c r="AB37" s="12" t="str">
        <x:f>IFERROR(INDEX('55_Codificacion_ensayo'!$J$5:$J$13,MATCH(B37,'55_Codificacion_ensayo'!$A$5:$A$13,0)),"")</x:f>
        <x:v>REQUISITO_SOFTWARE_NO</x:v>
      </x:c>
    </x:row>
    <x:row r="38" ht="47" customHeight="1">
      <x:c r="A38" s="4" t="str">
        <x:v>L10-04-06</x:v>
      </x:c>
      <x:c r="B38" s="4" t="str">
        <x:v>PAR-CYB-REINICIO-SOFTWARE-REQUERIDO-001</x:v>
      </x:c>
      <x:c r="C38" s="4" t="str">
        <x:v>REQUISITO-SOFTWARE-INDIVIDUAL-0.1</x:v>
      </x:c>
      <x:c r="D38" s="4" t="str">
        <x:v>OTRO</x:v>
      </x:c>
      <x:c r="E38" s="4" t="str">
        <x:v>LEGIBLE</x:v>
      </x:c>
      <x:c r="F38" s="4" t="str">
        <x:v>INSTRUCCION_ESPECIFICA</x:v>
      </x:c>
      <x:c r="G38" s="4" t="str">
        <x:v>UNICA</x:v>
      </x:c>
      <x:c r="H38" s="4" t="str">
        <x:v>true</x:v>
      </x:c>
      <x:c r="I38" s="4" t="str"/>
      <x:c r="J38" s="4" t="str">
        <x:v>COMPLETA</x:v>
      </x:c>
      <x:c r="K38" s="4" t="str">
        <x:v>UN_SOFTWARE</x:v>
      </x:c>
      <x:c r="L38" s="4" t="str">
        <x:v>NO_ADMISION</x:v>
      </x:c>
      <x:c r="M38" s="4" t="str"/>
      <x:c r="N38" s="4" t="str">
        <x:v>IDENTIDAD</x:v>
      </x:c>
      <x:c r="O38" s="12" t="str">
        <x:f>IF(Q38="SIN_EJECUCION_DOMINIO","FALLO_CAPTURA",IF(OR(Q38="CAPTURA_MAL_FORMADA",Q38="IDENTIDAD",Q38="OBSERVACION_MAL_FORMADA",Q38="LEXEMA_O_FORMA"),"NO_ADMISION",IF(OR(Q38="PERFIL_NO_CONSTITUIDO",Q38="RESULTADO_NO_TERMINAL"),"FUERA_PERFIL",IF(Q38="CONTEXTO_NO_CONSTITUIDO","CONFIGURACION_PENDIENTE","VALIDA"))))</x:f>
        <x:v>NO_ADMISION</x:v>
      </x:c>
      <x:c r="P38" s="12" t="str">
        <x:f>IF(O38&lt;&gt;"VALIDA","",IF(Q38=AA38,"1",IF(Q38=AB38,"0","U")))</x:f>
      </x:c>
      <x:c r="Q38" s="12" t="str">
        <x:f>IF(E38="FALLO","SIN_EJECUCION_DOMINIO",IF(E38&lt;&gt;"LEGIBLE","CAPTURA_MAL_FORMADA",IF(D38&lt;&gt;"COINCIDE","IDENTIDAD",IF(OR(T38="",C38&lt;&gt;T38),"PERFIL_NO_CONSTITUIDO",IF(K38&lt;&gt;V38,IF(V38="ORDEN_ACREDITADO","ORDEN_NO_ACREDITADO","CONTEXTO_NO_CONSTITUIDO"),IF(AND(G38="AUSENTE",H38="",I38=""),"DATO_AUSENTE",IF(AND(G38="CONFLICTO",H38="",I38=""),"CONFLICTO_OBSERVACIONAL",IF(G38&lt;&gt;"UNICA","OBSERVACION_MAL_FORMADA",IF(F38&lt;&gt;U38,"OBSERVACION_INSUFICIENTE",IF(W38="RESULTADO",IF(H38=X38,AA38,IF(OR(H38="orcSucceededWithErrors",H38="orcFailed",H38="orcAborted"),AB38,IF(OR(H38="orcNotStarted",H38="orcInProgress"),"RESULTADO_NO_TERMINAL","LEXEMA_O_FORMA"))),IF(W38="EVENTO_BOOT",IF(H38=X38,AA38,IF(OR(H38="NINGUNO",H38="SOLO_HIBRIDO"),IF(J38="COMPLETA",AB38,"COBERTURA_INSUFICIENTE"),"LEXEMA_O_FORMA")),IF(W38="REQUISITO_SOFT",IF(H38=X38,AA38,IF(H38=Z38,AB38,"LEXEMA_O_FORMA")),IF(W38="EVENTO_PROC",IF(H38=X38,AA38,IF(H38=Z38,IF(J38="COMPLETA",AB38,"COBERTURA_INSUFICIENTE"),"LEXEMA_O_FORMA")),IF(W38="IMAGEN",IF(AND(AND(ISTEXT(H38),LEN(("x"&amp;H38))=65,EXACT(("x"&amp;H38),LOWER(("x"&amp;H38))),ISERROR(SEARCH(" ",("x"&amp;H38))),ISERROR(SEARCH(CHAR(9),("x"&amp;H38))),ISERROR(SEARCH(CHAR(10),("x"&amp;H38))),ISERROR(SEARCH(CHAR(13),("x"&amp;H38))),IFERROR(HEX2DEC(MID(("x"&amp;H38),2,8))&gt;=0,FALSE),IFERROR(HEX2DEC(MID(("x"&amp;H38),10,8))&gt;=0,FALSE),IFERROR(HEX2DEC(MID(("x"&amp;H38),18,8))&gt;=0,FALSE),IFERROR(HEX2DEC(MID(("x"&amp;H38),26,8))&gt;=0,FALSE),IFERROR(HEX2DEC(MID(("x"&amp;H38),34,8))&gt;=0,FALSE),IFERROR(HEX2DEC(MID(("x"&amp;H38),42,8))&gt;=0,FALSE),IFERROR(HEX2DEC(MID(("x"&amp;H38),50,8))&gt;=0,FALSE),IFERROR(HEX2DEC(MID(("x"&amp;H38),58,8))&gt;=0,FALSE)),AND(ISTEXT(I38),LEN(("x"&amp;I38))=65,EXACT(("x"&amp;I38),LOWER(("x"&amp;I38))),ISERROR(SEARCH(" ",("x"&amp;I38))),ISERROR(SEARCH(CHAR(9),("x"&amp;I38))),ISERROR(SEARCH(CHAR(10),("x"&amp;I38))),ISERROR(SEARCH(CHAR(13),("x"&amp;I38))),IFERROR(HEX2DEC(MID(("x"&amp;I38),2,8))&gt;=0,FALSE),IFERROR(HEX2DEC(MID(("x"&amp;I38),10,8))&gt;=0,FALSE),IFERROR(HEX2DEC(MID(("x"&amp;I38),18,8))&gt;=0,FALSE),IFERROR(HEX2DEC(MID(("x"&amp;I38),26,8))&gt;=0,FALSE),IFERROR(HEX2DEC(MID(("x"&amp;I38),34,8))&gt;=0,FALSE),IFERROR(HEX2DEC(MID(("x"&amp;I38),42,8))&gt;=0,FALSE),IFERROR(HEX2DEC(MID(("x"&amp;I38),50,8))&gt;=0,FALSE),IFERROR(HEX2DEC(MID(("x"&amp;I38),58,8))&gt;=0,FALSE))),IF(EXACT("x"&amp;H38,"x"&amp;I38),AA38,AB38),"LEXEMA_O_FORMA"),IF(W38="PRUEBA",IF(H38=X38,AA38,IF(H38=Z38,AB38,"LEXEMA_O_FORMA")),IF(W38="RETIRADA",IF(AND(H38="NINGUNO",I38=""),IF(J38="COMPLETA",AB38,"COBERTURA_INSUFICIENTE"),IF(AND(OR(H38="uoInstallation",H38="uoUninstallation"),OR(I38="orcSucceeded",I38="orcSucceededWithErrors",I38="orcFailed",I38="orcAborted",I38="orcInProgress",I38="orcNotStarted")),IF(AND(H38=X38,I38=Y38),AA38,IF(AND(H38=X38,OR(I38="orcSucceededWithErrors",I38="orcInProgress",I38="orcNotStarted")),"RESULTADO_RETIRADA_INCIERTO",IF(J38="COMPLETA",AB38,"COBERTURA_INSUFICIENTE"))),"LEXEMA_O_FORMA")),IF(W38="CAMBIO",IF(OR(H38="CAMBIO",H38="CAMBIO_Y_RETORNO"),AA38,IF(OR(H38="NINGUNO",H38="SOLO_RENOMBRE"),IF(J38="COMPLETA",AB38,"COBERTURA_INSUFICIENTE"),"LEXEMA_O_FORMA")),IF(W38="RESTAURACION",IF(H38=X38,AA38,IF(OR(H38="NINGUNO",H38="RESTAURACION_POSTERIOR",H38="RESTAURACION_FALLIDA"),IF(J38="COMPLETA",AB38,"COBERTURA_INSUFICIENTE"),"LEXEMA_O_FORMA")),"PERFIL_NO_CONSTITUIDO"))))))))))))))))))</x:f>
        <x:v>IDENTIDAD</x:v>
      </x:c>
      <x:c r="R38" s="12" t="str">
        <x:f>IF(AND(L38=O38,M38=P38,N38=Q38),"PASA","NO_PASA")</x:f>
        <x:v>PASA</x:v>
      </x:c>
      <x:c r="S38" s="4" t="str">
        <x:v>El testigo pertenece a otro sujeto; no se recicla su dato.</x:v>
      </x:c>
      <x:c r="T38" s="12" t="str">
        <x:f>IFERROR(INDEX('55_Codificacion_ensayo'!$B$5:$B$13,MATCH(B38,'55_Codificacion_ensayo'!$A$5:$A$13,0)),"")</x:f>
        <x:v>REQUISITO-SOFTWARE-INDIVIDUAL-0.1</x:v>
      </x:c>
      <x:c r="U38" s="12" t="str">
        <x:f>IFERROR(INDEX('55_Codificacion_ensayo'!$C$5:$C$13,MATCH(B38,'55_Codificacion_ensayo'!$A$5:$A$13,0)),"")</x:f>
        <x:v>INSTRUCCION_ESPECIFICA</x:v>
      </x:c>
      <x:c r="V38" s="12" t="str">
        <x:f>IFERROR(INDEX('55_Codificacion_ensayo'!$D$5:$D$13,MATCH(B38,'55_Codificacion_ensayo'!$A$5:$A$13,0)),"")</x:f>
        <x:v>UN_SOFTWARE</x:v>
      </x:c>
      <x:c r="W38" s="12" t="str">
        <x:f>IFERROR(INDEX('55_Codificacion_ensayo'!$E$5:$E$13,MATCH(B38,'55_Codificacion_ensayo'!$A$5:$A$13,0)),"")</x:f>
        <x:v>REQUISITO_SOFT</x:v>
      </x:c>
      <x:c r="X38" s="12" t="str">
        <x:f>IFERROR(INDEX('55_Codificacion_ensayo'!$F$5:$F$13,MATCH(B38,'55_Codificacion_ensayo'!$A$5:$A$13,0)),"")</x:f>
        <x:v>true</x:v>
      </x:c>
      <x:c r="Y38" s="12" t="str">
        <x:f>IFERROR(INDEX('55_Codificacion_ensayo'!$G$5:$G$13,MATCH(B38,'55_Codificacion_ensayo'!$A$5:$A$13,0)),"")</x:f>
      </x:c>
      <x:c r="Z38" s="12" t="str">
        <x:f>IFERROR(INDEX('55_Codificacion_ensayo'!$H$5:$H$13,MATCH(B38,'55_Codificacion_ensayo'!$A$5:$A$13,0)),"")</x:f>
        <x:v>false</x:v>
      </x:c>
      <x:c r="AA38" s="12" t="str">
        <x:f>IFERROR(INDEX('55_Codificacion_ensayo'!$I$5:$I$13,MATCH(B38,'55_Codificacion_ensayo'!$A$5:$A$13,0)),"")</x:f>
        <x:v>REQUISITO_SOFTWARE_SI</x:v>
      </x:c>
      <x:c r="AB38" s="12" t="str">
        <x:f>IFERROR(INDEX('55_Codificacion_ensayo'!$J$5:$J$13,MATCH(B38,'55_Codificacion_ensayo'!$A$5:$A$13,0)),"")</x:f>
        <x:v>REQUISITO_SOFTWARE_NO</x:v>
      </x:c>
    </x:row>
    <x:row r="39" ht="47" customHeight="1">
      <x:c r="A39" s="4" t="str">
        <x:v>L10-04-07</x:v>
      </x:c>
      <x:c r="B39" s="4" t="str">
        <x:v>PAR-CYB-REINICIO-SOFTWARE-REQUERIDO-001</x:v>
      </x:c>
      <x:c r="C39" s="4" t="str">
        <x:v>REQUISITO-SOFTWARE-INDIVIDUAL-0.1</x:v>
      </x:c>
      <x:c r="D39" s="4" t="str">
        <x:v>COINCIDE</x:v>
      </x:c>
      <x:c r="E39" s="4" t="str">
        <x:v>LEGIBLE</x:v>
      </x:c>
      <x:c r="F39" s="4" t="str">
        <x:v>FUENTE_GENERAL</x:v>
      </x:c>
      <x:c r="G39" s="4" t="str">
        <x:v>UNICA</x:v>
      </x:c>
      <x:c r="H39" s="4" t="str">
        <x:v>true</x:v>
      </x:c>
      <x:c r="I39" s="4" t="str"/>
      <x:c r="J39" s="4" t="str">
        <x:v>COMPLETA</x:v>
      </x:c>
      <x:c r="K39" s="4" t="str">
        <x:v>UN_SOFTWARE</x:v>
      </x:c>
      <x:c r="L39" s="4" t="str">
        <x:v>VALIDA</x:v>
      </x:c>
      <x:c r="M39" s="4" t="str">
        <x:v>U</x:v>
      </x:c>
      <x:c r="N39" s="4" t="str">
        <x:v>OBSERVACION_INSUFICIENTE</x:v>
      </x:c>
      <x:c r="O39" s="12" t="str">
        <x:f>IF(Q39="SIN_EJECUCION_DOMINIO","FALLO_CAPTURA",IF(OR(Q39="CAPTURA_MAL_FORMADA",Q39="IDENTIDAD",Q39="OBSERVACION_MAL_FORMADA",Q39="LEXEMA_O_FORMA"),"NO_ADMISION",IF(OR(Q39="PERFIL_NO_CONSTITUIDO",Q39="RESULTADO_NO_TERMINAL"),"FUERA_PERFIL",IF(Q39="CONTEXTO_NO_CONSTITUIDO","CONFIGURACION_PENDIENTE","VALIDA"))))</x:f>
        <x:v>VALIDA</x:v>
      </x:c>
      <x:c r="P39" s="12" t="str">
        <x:f>IF(O39&lt;&gt;"VALIDA","",IF(Q39=AA39,"1",IF(Q39=AB39,"0","U")))</x:f>
        <x:v>U</x:v>
      </x:c>
      <x:c r="Q39" s="12" t="str">
        <x:f>IF(E39="FALLO","SIN_EJECUCION_DOMINIO",IF(E39&lt;&gt;"LEGIBLE","CAPTURA_MAL_FORMADA",IF(D39&lt;&gt;"COINCIDE","IDENTIDAD",IF(OR(T39="",C39&lt;&gt;T39),"PERFIL_NO_CONSTITUIDO",IF(K39&lt;&gt;V39,IF(V39="ORDEN_ACREDITADO","ORDEN_NO_ACREDITADO","CONTEXTO_NO_CONSTITUIDO"),IF(AND(G39="AUSENTE",H39="",I39=""),"DATO_AUSENTE",IF(AND(G39="CONFLICTO",H39="",I39=""),"CONFLICTO_OBSERVACIONAL",IF(G39&lt;&gt;"UNICA","OBSERVACION_MAL_FORMADA",IF(F39&lt;&gt;U39,"OBSERVACION_INSUFICIENTE",IF(W39="RESULTADO",IF(H39=X39,AA39,IF(OR(H39="orcSucceededWithErrors",H39="orcFailed",H39="orcAborted"),AB39,IF(OR(H39="orcNotStarted",H39="orcInProgress"),"RESULTADO_NO_TERMINAL","LEXEMA_O_FORMA"))),IF(W39="EVENTO_BOOT",IF(H39=X39,AA39,IF(OR(H39="NINGUNO",H39="SOLO_HIBRIDO"),IF(J39="COMPLETA",AB39,"COBERTURA_INSUFICIENTE"),"LEXEMA_O_FORMA")),IF(W39="REQUISITO_SOFT",IF(H39=X39,AA39,IF(H39=Z39,AB39,"LEXEMA_O_FORMA")),IF(W39="EVENTO_PROC",IF(H39=X39,AA39,IF(H39=Z39,IF(J39="COMPLETA",AB39,"COBERTURA_INSUFICIENTE"),"LEXEMA_O_FORMA")),IF(W39="IMAGEN",IF(AND(AND(ISTEXT(H39),LEN(("x"&amp;H39))=65,EXACT(("x"&amp;H39),LOWER(("x"&amp;H39))),ISERROR(SEARCH(" ",("x"&amp;H39))),ISERROR(SEARCH(CHAR(9),("x"&amp;H39))),ISERROR(SEARCH(CHAR(10),("x"&amp;H39))),ISERROR(SEARCH(CHAR(13),("x"&amp;H39))),IFERROR(HEX2DEC(MID(("x"&amp;H39),2,8))&gt;=0,FALSE),IFERROR(HEX2DEC(MID(("x"&amp;H39),10,8))&gt;=0,FALSE),IFERROR(HEX2DEC(MID(("x"&amp;H39),18,8))&gt;=0,FALSE),IFERROR(HEX2DEC(MID(("x"&amp;H39),26,8))&gt;=0,FALSE),IFERROR(HEX2DEC(MID(("x"&amp;H39),34,8))&gt;=0,FALSE),IFERROR(HEX2DEC(MID(("x"&amp;H39),42,8))&gt;=0,FALSE),IFERROR(HEX2DEC(MID(("x"&amp;H39),50,8))&gt;=0,FALSE),IFERROR(HEX2DEC(MID(("x"&amp;H39),58,8))&gt;=0,FALSE)),AND(ISTEXT(I39),LEN(("x"&amp;I39))=65,EXACT(("x"&amp;I39),LOWER(("x"&amp;I39))),ISERROR(SEARCH(" ",("x"&amp;I39))),ISERROR(SEARCH(CHAR(9),("x"&amp;I39))),ISERROR(SEARCH(CHAR(10),("x"&amp;I39))),ISERROR(SEARCH(CHAR(13),("x"&amp;I39))),IFERROR(HEX2DEC(MID(("x"&amp;I39),2,8))&gt;=0,FALSE),IFERROR(HEX2DEC(MID(("x"&amp;I39),10,8))&gt;=0,FALSE),IFERROR(HEX2DEC(MID(("x"&amp;I39),18,8))&gt;=0,FALSE),IFERROR(HEX2DEC(MID(("x"&amp;I39),26,8))&gt;=0,FALSE),IFERROR(HEX2DEC(MID(("x"&amp;I39),34,8))&gt;=0,FALSE),IFERROR(HEX2DEC(MID(("x"&amp;I39),42,8))&gt;=0,FALSE),IFERROR(HEX2DEC(MID(("x"&amp;I39),50,8))&gt;=0,FALSE),IFERROR(HEX2DEC(MID(("x"&amp;I39),58,8))&gt;=0,FALSE))),IF(EXACT("x"&amp;H39,"x"&amp;I39),AA39,AB39),"LEXEMA_O_FORMA"),IF(W39="PRUEBA",IF(H39=X39,AA39,IF(H39=Z39,AB39,"LEXEMA_O_FORMA")),IF(W39="RETIRADA",IF(AND(H39="NINGUNO",I39=""),IF(J39="COMPLETA",AB39,"COBERTURA_INSUFICIENTE"),IF(AND(OR(H39="uoInstallation",H39="uoUninstallation"),OR(I39="orcSucceeded",I39="orcSucceededWithErrors",I39="orcFailed",I39="orcAborted",I39="orcInProgress",I39="orcNotStarted")),IF(AND(H39=X39,I39=Y39),AA39,IF(AND(H39=X39,OR(I39="orcSucceededWithErrors",I39="orcInProgress",I39="orcNotStarted")),"RESULTADO_RETIRADA_INCIERTO",IF(J39="COMPLETA",AB39,"COBERTURA_INSUFICIENTE"))),"LEXEMA_O_FORMA")),IF(W39="CAMBIO",IF(OR(H39="CAMBIO",H39="CAMBIO_Y_RETORNO"),AA39,IF(OR(H39="NINGUNO",H39="SOLO_RENOMBRE"),IF(J39="COMPLETA",AB39,"COBERTURA_INSUFICIENTE"),"LEXEMA_O_FORMA")),IF(W39="RESTAURACION",IF(H39=X39,AA39,IF(OR(H39="NINGUNO",H39="RESTAURACION_POSTERIOR",H39="RESTAURACION_FALLIDA"),IF(J39="COMPLETA",AB39,"COBERTURA_INSUFICIENTE"),"LEXEMA_O_FORMA")),"PERFIL_NO_CONSTITUIDO"))))))))))))))))))</x:f>
        <x:v>OBSERVACION_INSUFICIENTE</x:v>
      </x:c>
      <x:c r="R39" s="12" t="str">
        <x:f>IF(AND(L39=O39,M39=P39,N39=Q39),"PASA","NO_PASA")</x:f>
        <x:v>PASA</x:v>
      </x:c>
      <x:c r="S39" s="4" t="str">
        <x:v>Una fuente del dominio no sustituye la observación específica del episodio.</x:v>
      </x:c>
      <x:c r="T39" s="12" t="str">
        <x:f>IFERROR(INDEX('55_Codificacion_ensayo'!$B$5:$B$13,MATCH(B39,'55_Codificacion_ensayo'!$A$5:$A$13,0)),"")</x:f>
        <x:v>REQUISITO-SOFTWARE-INDIVIDUAL-0.1</x:v>
      </x:c>
      <x:c r="U39" s="12" t="str">
        <x:f>IFERROR(INDEX('55_Codificacion_ensayo'!$C$5:$C$13,MATCH(B39,'55_Codificacion_ensayo'!$A$5:$A$13,0)),"")</x:f>
        <x:v>INSTRUCCION_ESPECIFICA</x:v>
      </x:c>
      <x:c r="V39" s="12" t="str">
        <x:f>IFERROR(INDEX('55_Codificacion_ensayo'!$D$5:$D$13,MATCH(B39,'55_Codificacion_ensayo'!$A$5:$A$13,0)),"")</x:f>
        <x:v>UN_SOFTWARE</x:v>
      </x:c>
      <x:c r="W39" s="12" t="str">
        <x:f>IFERROR(INDEX('55_Codificacion_ensayo'!$E$5:$E$13,MATCH(B39,'55_Codificacion_ensayo'!$A$5:$A$13,0)),"")</x:f>
        <x:v>REQUISITO_SOFT</x:v>
      </x:c>
      <x:c r="X39" s="12" t="str">
        <x:f>IFERROR(INDEX('55_Codificacion_ensayo'!$F$5:$F$13,MATCH(B39,'55_Codificacion_ensayo'!$A$5:$A$13,0)),"")</x:f>
        <x:v>true</x:v>
      </x:c>
      <x:c r="Y39" s="12" t="str">
        <x:f>IFERROR(INDEX('55_Codificacion_ensayo'!$G$5:$G$13,MATCH(B39,'55_Codificacion_ensayo'!$A$5:$A$13,0)),"")</x:f>
      </x:c>
      <x:c r="Z39" s="12" t="str">
        <x:f>IFERROR(INDEX('55_Codificacion_ensayo'!$H$5:$H$13,MATCH(B39,'55_Codificacion_ensayo'!$A$5:$A$13,0)),"")</x:f>
        <x:v>false</x:v>
      </x:c>
      <x:c r="AA39" s="12" t="str">
        <x:f>IFERROR(INDEX('55_Codificacion_ensayo'!$I$5:$I$13,MATCH(B39,'55_Codificacion_ensayo'!$A$5:$A$13,0)),"")</x:f>
        <x:v>REQUISITO_SOFTWARE_SI</x:v>
      </x:c>
      <x:c r="AB39" s="12" t="str">
        <x:f>IFERROR(INDEX('55_Codificacion_ensayo'!$J$5:$J$13,MATCH(B39,'55_Codificacion_ensayo'!$A$5:$A$13,0)),"")</x:f>
        <x:v>REQUISITO_SOFTWARE_NO</x:v>
      </x:c>
    </x:row>
    <x:row r="40" ht="47" customHeight="1">
      <x:c r="A40" s="4" t="str">
        <x:v>L10-04-08</x:v>
      </x:c>
      <x:c r="B40" s="4" t="str">
        <x:v>PAR-CYB-REINICIO-SOFTWARE-REQUERIDO-001</x:v>
      </x:c>
      <x:c r="C40" s="4" t="str">
        <x:v>OTRO_PERFIL</x:v>
      </x:c>
      <x:c r="D40" s="4" t="str">
        <x:v>COINCIDE</x:v>
      </x:c>
      <x:c r="E40" s="4" t="str">
        <x:v>LEGIBLE</x:v>
      </x:c>
      <x:c r="F40" s="4" t="str">
        <x:v>INSTRUCCION_ESPECIFICA</x:v>
      </x:c>
      <x:c r="G40" s="4" t="str">
        <x:v>UNICA</x:v>
      </x:c>
      <x:c r="H40" s="4" t="str">
        <x:v>true</x:v>
      </x:c>
      <x:c r="I40" s="4" t="str"/>
      <x:c r="J40" s="4" t="str">
        <x:v>COMPLETA</x:v>
      </x:c>
      <x:c r="K40" s="4" t="str">
        <x:v>UN_SOFTWARE</x:v>
      </x:c>
      <x:c r="L40" s="4" t="str">
        <x:v>FUERA_PERFIL</x:v>
      </x:c>
      <x:c r="M40" s="4" t="str"/>
      <x:c r="N40" s="4" t="str">
        <x:v>PERFIL_NO_CONSTITUIDO</x:v>
      </x:c>
      <x:c r="O40" s="12" t="str">
        <x:f>IF(Q40="SIN_EJECUCION_DOMINIO","FALLO_CAPTURA",IF(OR(Q40="CAPTURA_MAL_FORMADA",Q40="IDENTIDAD",Q40="OBSERVACION_MAL_FORMADA",Q40="LEXEMA_O_FORMA"),"NO_ADMISION",IF(OR(Q40="PERFIL_NO_CONSTITUIDO",Q40="RESULTADO_NO_TERMINAL"),"FUERA_PERFIL",IF(Q40="CONTEXTO_NO_CONSTITUIDO","CONFIGURACION_PENDIENTE","VALIDA"))))</x:f>
        <x:v>FUERA_PERFIL</x:v>
      </x:c>
      <x:c r="P40" s="12" t="str">
        <x:f>IF(O40&lt;&gt;"VALIDA","",IF(Q40=AA40,"1",IF(Q40=AB40,"0","U")))</x:f>
      </x:c>
      <x:c r="Q40" s="12" t="str">
        <x:f>IF(E40="FALLO","SIN_EJECUCION_DOMINIO",IF(E40&lt;&gt;"LEGIBLE","CAPTURA_MAL_FORMADA",IF(D40&lt;&gt;"COINCIDE","IDENTIDAD",IF(OR(T40="",C40&lt;&gt;T40),"PERFIL_NO_CONSTITUIDO",IF(K40&lt;&gt;V40,IF(V40="ORDEN_ACREDITADO","ORDEN_NO_ACREDITADO","CONTEXTO_NO_CONSTITUIDO"),IF(AND(G40="AUSENTE",H40="",I40=""),"DATO_AUSENTE",IF(AND(G40="CONFLICTO",H40="",I40=""),"CONFLICTO_OBSERVACIONAL",IF(G40&lt;&gt;"UNICA","OBSERVACION_MAL_FORMADA",IF(F40&lt;&gt;U40,"OBSERVACION_INSUFICIENTE",IF(W40="RESULTADO",IF(H40=X40,AA40,IF(OR(H40="orcSucceededWithErrors",H40="orcFailed",H40="orcAborted"),AB40,IF(OR(H40="orcNotStarted",H40="orcInProgress"),"RESULTADO_NO_TERMINAL","LEXEMA_O_FORMA"))),IF(W40="EVENTO_BOOT",IF(H40=X40,AA40,IF(OR(H40="NINGUNO",H40="SOLO_HIBRIDO"),IF(J40="COMPLETA",AB40,"COBERTURA_INSUFICIENTE"),"LEXEMA_O_FORMA")),IF(W40="REQUISITO_SOFT",IF(H40=X40,AA40,IF(H40=Z40,AB40,"LEXEMA_O_FORMA")),IF(W40="EVENTO_PROC",IF(H40=X40,AA40,IF(H40=Z40,IF(J40="COMPLETA",AB40,"COBERTURA_INSUFICIENTE"),"LEXEMA_O_FORMA")),IF(W40="IMAGEN",IF(AND(AND(ISTEXT(H40),LEN(("x"&amp;H40))=65,EXACT(("x"&amp;H40),LOWER(("x"&amp;H40))),ISERROR(SEARCH(" ",("x"&amp;H40))),ISERROR(SEARCH(CHAR(9),("x"&amp;H40))),ISERROR(SEARCH(CHAR(10),("x"&amp;H40))),ISERROR(SEARCH(CHAR(13),("x"&amp;H40))),IFERROR(HEX2DEC(MID(("x"&amp;H40),2,8))&gt;=0,FALSE),IFERROR(HEX2DEC(MID(("x"&amp;H40),10,8))&gt;=0,FALSE),IFERROR(HEX2DEC(MID(("x"&amp;H40),18,8))&gt;=0,FALSE),IFERROR(HEX2DEC(MID(("x"&amp;H40),26,8))&gt;=0,FALSE),IFERROR(HEX2DEC(MID(("x"&amp;H40),34,8))&gt;=0,FALSE),IFERROR(HEX2DEC(MID(("x"&amp;H40),42,8))&gt;=0,FALSE),IFERROR(HEX2DEC(MID(("x"&amp;H40),50,8))&gt;=0,FALSE),IFERROR(HEX2DEC(MID(("x"&amp;H40),58,8))&gt;=0,FALSE)),AND(ISTEXT(I40),LEN(("x"&amp;I40))=65,EXACT(("x"&amp;I40),LOWER(("x"&amp;I40))),ISERROR(SEARCH(" ",("x"&amp;I40))),ISERROR(SEARCH(CHAR(9),("x"&amp;I40))),ISERROR(SEARCH(CHAR(10),("x"&amp;I40))),ISERROR(SEARCH(CHAR(13),("x"&amp;I40))),IFERROR(HEX2DEC(MID(("x"&amp;I40),2,8))&gt;=0,FALSE),IFERROR(HEX2DEC(MID(("x"&amp;I40),10,8))&gt;=0,FALSE),IFERROR(HEX2DEC(MID(("x"&amp;I40),18,8))&gt;=0,FALSE),IFERROR(HEX2DEC(MID(("x"&amp;I40),26,8))&gt;=0,FALSE),IFERROR(HEX2DEC(MID(("x"&amp;I40),34,8))&gt;=0,FALSE),IFERROR(HEX2DEC(MID(("x"&amp;I40),42,8))&gt;=0,FALSE),IFERROR(HEX2DEC(MID(("x"&amp;I40),50,8))&gt;=0,FALSE),IFERROR(HEX2DEC(MID(("x"&amp;I40),58,8))&gt;=0,FALSE))),IF(EXACT("x"&amp;H40,"x"&amp;I40),AA40,AB40),"LEXEMA_O_FORMA"),IF(W40="PRUEBA",IF(H40=X40,AA40,IF(H40=Z40,AB40,"LEXEMA_O_FORMA")),IF(W40="RETIRADA",IF(AND(H40="NINGUNO",I40=""),IF(J40="COMPLETA",AB40,"COBERTURA_INSUFICIENTE"),IF(AND(OR(H40="uoInstallation",H40="uoUninstallation"),OR(I40="orcSucceeded",I40="orcSucceededWithErrors",I40="orcFailed",I40="orcAborted",I40="orcInProgress",I40="orcNotStarted")),IF(AND(H40=X40,I40=Y40),AA40,IF(AND(H40=X40,OR(I40="orcSucceededWithErrors",I40="orcInProgress",I40="orcNotStarted")),"RESULTADO_RETIRADA_INCIERTO",IF(J40="COMPLETA",AB40,"COBERTURA_INSUFICIENTE"))),"LEXEMA_O_FORMA")),IF(W40="CAMBIO",IF(OR(H40="CAMBIO",H40="CAMBIO_Y_RETORNO"),AA40,IF(OR(H40="NINGUNO",H40="SOLO_RENOMBRE"),IF(J40="COMPLETA",AB40,"COBERTURA_INSUFICIENTE"),"LEXEMA_O_FORMA")),IF(W40="RESTAURACION",IF(H40=X40,AA40,IF(OR(H40="NINGUNO",H40="RESTAURACION_POSTERIOR",H40="RESTAURACION_FALLIDA"),IF(J40="COMPLETA",AB40,"COBERTURA_INSUFICIENTE"),"LEXEMA_O_FORMA")),"PERFIL_NO_CONSTITUIDO"))))))))))))))))))</x:f>
        <x:v>PERFIL_NO_CONSTITUIDO</x:v>
      </x:c>
      <x:c r="R40" s="12" t="str">
        <x:f>IF(AND(L40=O40,M40=P40,N40=Q40),"PASA","NO_PASA")</x:f>
        <x:v>PASA</x:v>
      </x:c>
      <x:c r="S40" s="4" t="str">
        <x:v>Perfil de otro producto no se normaliza por analogía.</x:v>
      </x:c>
      <x:c r="T40" s="12" t="str">
        <x:f>IFERROR(INDEX('55_Codificacion_ensayo'!$B$5:$B$13,MATCH(B40,'55_Codificacion_ensayo'!$A$5:$A$13,0)),"")</x:f>
        <x:v>REQUISITO-SOFTWARE-INDIVIDUAL-0.1</x:v>
      </x:c>
      <x:c r="U40" s="12" t="str">
        <x:f>IFERROR(INDEX('55_Codificacion_ensayo'!$C$5:$C$13,MATCH(B40,'55_Codificacion_ensayo'!$A$5:$A$13,0)),"")</x:f>
        <x:v>INSTRUCCION_ESPECIFICA</x:v>
      </x:c>
      <x:c r="V40" s="12" t="str">
        <x:f>IFERROR(INDEX('55_Codificacion_ensayo'!$D$5:$D$13,MATCH(B40,'55_Codificacion_ensayo'!$A$5:$A$13,0)),"")</x:f>
        <x:v>UN_SOFTWARE</x:v>
      </x:c>
      <x:c r="W40" s="12" t="str">
        <x:f>IFERROR(INDEX('55_Codificacion_ensayo'!$E$5:$E$13,MATCH(B40,'55_Codificacion_ensayo'!$A$5:$A$13,0)),"")</x:f>
        <x:v>REQUISITO_SOFT</x:v>
      </x:c>
      <x:c r="X40" s="12" t="str">
        <x:f>IFERROR(INDEX('55_Codificacion_ensayo'!$F$5:$F$13,MATCH(B40,'55_Codificacion_ensayo'!$A$5:$A$13,0)),"")</x:f>
        <x:v>true</x:v>
      </x:c>
      <x:c r="Y40" s="12" t="str">
        <x:f>IFERROR(INDEX('55_Codificacion_ensayo'!$G$5:$G$13,MATCH(B40,'55_Codificacion_ensayo'!$A$5:$A$13,0)),"")</x:f>
      </x:c>
      <x:c r="Z40" s="12" t="str">
        <x:f>IFERROR(INDEX('55_Codificacion_ensayo'!$H$5:$H$13,MATCH(B40,'55_Codificacion_ensayo'!$A$5:$A$13,0)),"")</x:f>
        <x:v>false</x:v>
      </x:c>
      <x:c r="AA40" s="12" t="str">
        <x:f>IFERROR(INDEX('55_Codificacion_ensayo'!$I$5:$I$13,MATCH(B40,'55_Codificacion_ensayo'!$A$5:$A$13,0)),"")</x:f>
        <x:v>REQUISITO_SOFTWARE_SI</x:v>
      </x:c>
      <x:c r="AB40" s="12" t="str">
        <x:f>IFERROR(INDEX('55_Codificacion_ensayo'!$J$5:$J$13,MATCH(B40,'55_Codificacion_ensayo'!$A$5:$A$13,0)),"")</x:f>
        <x:v>REQUISITO_SOFTWARE_NO</x:v>
      </x:c>
    </x:row>
    <x:row r="41" ht="47" customHeight="1">
      <x:c r="A41" s="4" t="str">
        <x:v>L10-04-09</x:v>
      </x:c>
      <x:c r="B41" s="4" t="str">
        <x:v>PAR-CYB-REINICIO-SOFTWARE-REQUERIDO-001</x:v>
      </x:c>
      <x:c r="C41" s="4" t="str">
        <x:v>REQUISITO-SOFTWARE-INDIVIDUAL-0.1</x:v>
      </x:c>
      <x:c r="D41" s="4" t="str">
        <x:v>COINCIDE</x:v>
      </x:c>
      <x:c r="E41" s="4" t="str">
        <x:v>LEGIBLE</x:v>
      </x:c>
      <x:c r="F41" s="4" t="str">
        <x:v>INSTRUCCION_ESPECIFICA</x:v>
      </x:c>
      <x:c r="G41" s="4" t="str">
        <x:v>UNICA</x:v>
      </x:c>
      <x:c r="H41" s="4" t="str">
        <x:v>true false desconocido</x:v>
      </x:c>
      <x:c r="I41" s="4" t="str"/>
      <x:c r="J41" s="4" t="str">
        <x:v>COMPLETA</x:v>
      </x:c>
      <x:c r="K41" s="4" t="str">
        <x:v>UN_SOFTWARE</x:v>
      </x:c>
      <x:c r="L41" s="4" t="str">
        <x:v>NO_ADMISION</x:v>
      </x:c>
      <x:c r="M41" s="4" t="str"/>
      <x:c r="N41" s="4" t="str">
        <x:v>LEXEMA_O_FORMA</x:v>
      </x:c>
      <x:c r="O41" s="12" t="str">
        <x:f>IF(Q41="SIN_EJECUCION_DOMINIO","FALLO_CAPTURA",IF(OR(Q41="CAPTURA_MAL_FORMADA",Q41="IDENTIDAD",Q41="OBSERVACION_MAL_FORMADA",Q41="LEXEMA_O_FORMA"),"NO_ADMISION",IF(OR(Q41="PERFIL_NO_CONSTITUIDO",Q41="RESULTADO_NO_TERMINAL"),"FUERA_PERFIL",IF(Q41="CONTEXTO_NO_CONSTITUIDO","CONFIGURACION_PENDIENTE","VALIDA"))))</x:f>
        <x:v>NO_ADMISION</x:v>
      </x:c>
      <x:c r="P41" s="12" t="str">
        <x:f>IF(O41&lt;&gt;"VALIDA","",IF(Q41=AA41,"1",IF(Q41=AB41,"0","U")))</x:f>
      </x:c>
      <x:c r="Q41" s="12" t="str">
        <x:f>IF(E41="FALLO","SIN_EJECUCION_DOMINIO",IF(E41&lt;&gt;"LEGIBLE","CAPTURA_MAL_FORMADA",IF(D41&lt;&gt;"COINCIDE","IDENTIDAD",IF(OR(T41="",C41&lt;&gt;T41),"PERFIL_NO_CONSTITUIDO",IF(K41&lt;&gt;V41,IF(V41="ORDEN_ACREDITADO","ORDEN_NO_ACREDITADO","CONTEXTO_NO_CONSTITUIDO"),IF(AND(G41="AUSENTE",H41="",I41=""),"DATO_AUSENTE",IF(AND(G41="CONFLICTO",H41="",I41=""),"CONFLICTO_OBSERVACIONAL",IF(G41&lt;&gt;"UNICA","OBSERVACION_MAL_FORMADA",IF(F41&lt;&gt;U41,"OBSERVACION_INSUFICIENTE",IF(W41="RESULTADO",IF(H41=X41,AA41,IF(OR(H41="orcSucceededWithErrors",H41="orcFailed",H41="orcAborted"),AB41,IF(OR(H41="orcNotStarted",H41="orcInProgress"),"RESULTADO_NO_TERMINAL","LEXEMA_O_FORMA"))),IF(W41="EVENTO_BOOT",IF(H41=X41,AA41,IF(OR(H41="NINGUNO",H41="SOLO_HIBRIDO"),IF(J41="COMPLETA",AB41,"COBERTURA_INSUFICIENTE"),"LEXEMA_O_FORMA")),IF(W41="REQUISITO_SOFT",IF(H41=X41,AA41,IF(H41=Z41,AB41,"LEXEMA_O_FORMA")),IF(W41="EVENTO_PROC",IF(H41=X41,AA41,IF(H41=Z41,IF(J41="COMPLETA",AB41,"COBERTURA_INSUFICIENTE"),"LEXEMA_O_FORMA")),IF(W41="IMAGEN",IF(AND(AND(ISTEXT(H41),LEN(("x"&amp;H41))=65,EXACT(("x"&amp;H41),LOWER(("x"&amp;H41))),ISERROR(SEARCH(" ",("x"&amp;H41))),ISERROR(SEARCH(CHAR(9),("x"&amp;H41))),ISERROR(SEARCH(CHAR(10),("x"&amp;H41))),ISERROR(SEARCH(CHAR(13),("x"&amp;H41))),IFERROR(HEX2DEC(MID(("x"&amp;H41),2,8))&gt;=0,FALSE),IFERROR(HEX2DEC(MID(("x"&amp;H41),10,8))&gt;=0,FALSE),IFERROR(HEX2DEC(MID(("x"&amp;H41),18,8))&gt;=0,FALSE),IFERROR(HEX2DEC(MID(("x"&amp;H41),26,8))&gt;=0,FALSE),IFERROR(HEX2DEC(MID(("x"&amp;H41),34,8))&gt;=0,FALSE),IFERROR(HEX2DEC(MID(("x"&amp;H41),42,8))&gt;=0,FALSE),IFERROR(HEX2DEC(MID(("x"&amp;H41),50,8))&gt;=0,FALSE),IFERROR(HEX2DEC(MID(("x"&amp;H41),58,8))&gt;=0,FALSE)),AND(ISTEXT(I41),LEN(("x"&amp;I41))=65,EXACT(("x"&amp;I41),LOWER(("x"&amp;I41))),ISERROR(SEARCH(" ",("x"&amp;I41))),ISERROR(SEARCH(CHAR(9),("x"&amp;I41))),ISERROR(SEARCH(CHAR(10),("x"&amp;I41))),ISERROR(SEARCH(CHAR(13),("x"&amp;I41))),IFERROR(HEX2DEC(MID(("x"&amp;I41),2,8))&gt;=0,FALSE),IFERROR(HEX2DEC(MID(("x"&amp;I41),10,8))&gt;=0,FALSE),IFERROR(HEX2DEC(MID(("x"&amp;I41),18,8))&gt;=0,FALSE),IFERROR(HEX2DEC(MID(("x"&amp;I41),26,8))&gt;=0,FALSE),IFERROR(HEX2DEC(MID(("x"&amp;I41),34,8))&gt;=0,FALSE),IFERROR(HEX2DEC(MID(("x"&amp;I41),42,8))&gt;=0,FALSE),IFERROR(HEX2DEC(MID(("x"&amp;I41),50,8))&gt;=0,FALSE),IFERROR(HEX2DEC(MID(("x"&amp;I41),58,8))&gt;=0,FALSE))),IF(EXACT("x"&amp;H41,"x"&amp;I41),AA41,AB41),"LEXEMA_O_FORMA"),IF(W41="PRUEBA",IF(H41=X41,AA41,IF(H41=Z41,AB41,"LEXEMA_O_FORMA")),IF(W41="RETIRADA",IF(AND(H41="NINGUNO",I41=""),IF(J41="COMPLETA",AB41,"COBERTURA_INSUFICIENTE"),IF(AND(OR(H41="uoInstallation",H41="uoUninstallation"),OR(I41="orcSucceeded",I41="orcSucceededWithErrors",I41="orcFailed",I41="orcAborted",I41="orcInProgress",I41="orcNotStarted")),IF(AND(H41=X41,I41=Y41),AA41,IF(AND(H41=X41,OR(I41="orcSucceededWithErrors",I41="orcInProgress",I41="orcNotStarted")),"RESULTADO_RETIRADA_INCIERTO",IF(J41="COMPLETA",AB41,"COBERTURA_INSUFICIENTE"))),"LEXEMA_O_FORMA")),IF(W41="CAMBIO",IF(OR(H41="CAMBIO",H41="CAMBIO_Y_RETORNO"),AA41,IF(OR(H41="NINGUNO",H41="SOLO_RENOMBRE"),IF(J41="COMPLETA",AB41,"COBERTURA_INSUFICIENTE"),"LEXEMA_O_FORMA")),IF(W41="RESTAURACION",IF(H41=X41,AA41,IF(OR(H41="NINGUNO",H41="RESTAURACION_POSTERIOR",H41="RESTAURACION_FALLIDA"),IF(J41="COMPLETA",AB41,"COBERTURA_INSUFICIENTE"),"LEXEMA_O_FORMA")),"PERFIL_NO_CONSTITUIDO"))))))))))))))))))</x:f>
        <x:v>LEXEMA_O_FORMA</x:v>
      </x:c>
      <x:c r="R41" s="12" t="str">
        <x:f>IF(AND(L41=O41,M41=P41,N41=Q41),"PASA","NO_PASA")</x:f>
        <x:v>PASA</x:v>
      </x:c>
      <x:c r="S41" s="4" t="str">
        <x:v>La observación usa un lexema ajeno al contrato.</x:v>
      </x:c>
      <x:c r="T41" s="12" t="str">
        <x:f>IFERROR(INDEX('55_Codificacion_ensayo'!$B$5:$B$13,MATCH(B41,'55_Codificacion_ensayo'!$A$5:$A$13,0)),"")</x:f>
        <x:v>REQUISITO-SOFTWARE-INDIVIDUAL-0.1</x:v>
      </x:c>
      <x:c r="U41" s="12" t="str">
        <x:f>IFERROR(INDEX('55_Codificacion_ensayo'!$C$5:$C$13,MATCH(B41,'55_Codificacion_ensayo'!$A$5:$A$13,0)),"")</x:f>
        <x:v>INSTRUCCION_ESPECIFICA</x:v>
      </x:c>
      <x:c r="V41" s="12" t="str">
        <x:f>IFERROR(INDEX('55_Codificacion_ensayo'!$D$5:$D$13,MATCH(B41,'55_Codificacion_ensayo'!$A$5:$A$13,0)),"")</x:f>
        <x:v>UN_SOFTWARE</x:v>
      </x:c>
      <x:c r="W41" s="12" t="str">
        <x:f>IFERROR(INDEX('55_Codificacion_ensayo'!$E$5:$E$13,MATCH(B41,'55_Codificacion_ensayo'!$A$5:$A$13,0)),"")</x:f>
        <x:v>REQUISITO_SOFT</x:v>
      </x:c>
      <x:c r="X41" s="12" t="str">
        <x:f>IFERROR(INDEX('55_Codificacion_ensayo'!$F$5:$F$13,MATCH(B41,'55_Codificacion_ensayo'!$A$5:$A$13,0)),"")</x:f>
        <x:v>true</x:v>
      </x:c>
      <x:c r="Y41" s="12" t="str">
        <x:f>IFERROR(INDEX('55_Codificacion_ensayo'!$G$5:$G$13,MATCH(B41,'55_Codificacion_ensayo'!$A$5:$A$13,0)),"")</x:f>
      </x:c>
      <x:c r="Z41" s="12" t="str">
        <x:f>IFERROR(INDEX('55_Codificacion_ensayo'!$H$5:$H$13,MATCH(B41,'55_Codificacion_ensayo'!$A$5:$A$13,0)),"")</x:f>
        <x:v>false</x:v>
      </x:c>
      <x:c r="AA41" s="12" t="str">
        <x:f>IFERROR(INDEX('55_Codificacion_ensayo'!$I$5:$I$13,MATCH(B41,'55_Codificacion_ensayo'!$A$5:$A$13,0)),"")</x:f>
        <x:v>REQUISITO_SOFTWARE_SI</x:v>
      </x:c>
      <x:c r="AB41" s="12" t="str">
        <x:f>IFERROR(INDEX('55_Codificacion_ensayo'!$J$5:$J$13,MATCH(B41,'55_Codificacion_ensayo'!$A$5:$A$13,0)),"")</x:f>
        <x:v>REQUISITO_SOFTWARE_NO</x:v>
      </x:c>
    </x:row>
    <x:row r="42" ht="47" customHeight="1">
      <x:c r="A42" s="4" t="str">
        <x:v>L10-04-10</x:v>
      </x:c>
      <x:c r="B42" s="4" t="str">
        <x:v>PAR-CYB-REINICIO-SOFTWARE-REQUERIDO-001</x:v>
      </x:c>
      <x:c r="C42" s="4" t="str">
        <x:v>REQUISITO-SOFTWARE-INDIVIDUAL-0.1</x:v>
      </x:c>
      <x:c r="D42" s="4" t="str">
        <x:v>COINCIDE</x:v>
      </x:c>
      <x:c r="E42" s="4" t="str">
        <x:v>LEGIBLE</x:v>
      </x:c>
      <x:c r="F42" s="4" t="str">
        <x:v>INSTRUCCION_ESPECIFICA</x:v>
      </x:c>
      <x:c r="G42" s="4" t="str">
        <x:v>UNICA</x:v>
      </x:c>
      <x:c r="H42" s="4" t="str">
        <x:v>true</x:v>
      </x:c>
      <x:c r="I42" s="4" t="str"/>
      <x:c r="J42" s="4" t="str">
        <x:v>COMPLETA</x:v>
      </x:c>
      <x:c r="K42" s="4" t="str">
        <x:v>PENDIENTE</x:v>
      </x:c>
      <x:c r="L42" s="4" t="str">
        <x:v>CONFIGURACION_PENDIENTE</x:v>
      </x:c>
      <x:c r="M42" s="4" t="str"/>
      <x:c r="N42" s="4" t="str">
        <x:v>CONTEXTO_NO_CONSTITUIDO</x:v>
      </x:c>
      <x:c r="O42" s="12" t="str">
        <x:f>IF(Q42="SIN_EJECUCION_DOMINIO","FALLO_CAPTURA",IF(OR(Q42="CAPTURA_MAL_FORMADA",Q42="IDENTIDAD",Q42="OBSERVACION_MAL_FORMADA",Q42="LEXEMA_O_FORMA"),"NO_ADMISION",IF(OR(Q42="PERFIL_NO_CONSTITUIDO",Q42="RESULTADO_NO_TERMINAL"),"FUERA_PERFIL",IF(Q42="CONTEXTO_NO_CONSTITUIDO","CONFIGURACION_PENDIENTE","VALIDA"))))</x:f>
        <x:v>CONFIGURACION_PENDIENTE</x:v>
      </x:c>
      <x:c r="P42" s="12" t="str">
        <x:f>IF(O42&lt;&gt;"VALIDA","",IF(Q42=AA42,"1",IF(Q42=AB42,"0","U")))</x:f>
      </x:c>
      <x:c r="Q42" s="12" t="str">
        <x:f>IF(E42="FALLO","SIN_EJECUCION_DOMINIO",IF(E42&lt;&gt;"LEGIBLE","CAPTURA_MAL_FORMADA",IF(D42&lt;&gt;"COINCIDE","IDENTIDAD",IF(OR(T42="",C42&lt;&gt;T42),"PERFIL_NO_CONSTITUIDO",IF(K42&lt;&gt;V42,IF(V42="ORDEN_ACREDITADO","ORDEN_NO_ACREDITADO","CONTEXTO_NO_CONSTITUIDO"),IF(AND(G42="AUSENTE",H42="",I42=""),"DATO_AUSENTE",IF(AND(G42="CONFLICTO",H42="",I42=""),"CONFLICTO_OBSERVACIONAL",IF(G42&lt;&gt;"UNICA","OBSERVACION_MAL_FORMADA",IF(F42&lt;&gt;U42,"OBSERVACION_INSUFICIENTE",IF(W42="RESULTADO",IF(H42=X42,AA42,IF(OR(H42="orcSucceededWithErrors",H42="orcFailed",H42="orcAborted"),AB42,IF(OR(H42="orcNotStarted",H42="orcInProgress"),"RESULTADO_NO_TERMINAL","LEXEMA_O_FORMA"))),IF(W42="EVENTO_BOOT",IF(H42=X42,AA42,IF(OR(H42="NINGUNO",H42="SOLO_HIBRIDO"),IF(J42="COMPLETA",AB42,"COBERTURA_INSUFICIENTE"),"LEXEMA_O_FORMA")),IF(W42="REQUISITO_SOFT",IF(H42=X42,AA42,IF(H42=Z42,AB42,"LEXEMA_O_FORMA")),IF(W42="EVENTO_PROC",IF(H42=X42,AA42,IF(H42=Z42,IF(J42="COMPLETA",AB42,"COBERTURA_INSUFICIENTE"),"LEXEMA_O_FORMA")),IF(W42="IMAGEN",IF(AND(AND(ISTEXT(H42),LEN(("x"&amp;H42))=65,EXACT(("x"&amp;H42),LOWER(("x"&amp;H42))),ISERROR(SEARCH(" ",("x"&amp;H42))),ISERROR(SEARCH(CHAR(9),("x"&amp;H42))),ISERROR(SEARCH(CHAR(10),("x"&amp;H42))),ISERROR(SEARCH(CHAR(13),("x"&amp;H42))),IFERROR(HEX2DEC(MID(("x"&amp;H42),2,8))&gt;=0,FALSE),IFERROR(HEX2DEC(MID(("x"&amp;H42),10,8))&gt;=0,FALSE),IFERROR(HEX2DEC(MID(("x"&amp;H42),18,8))&gt;=0,FALSE),IFERROR(HEX2DEC(MID(("x"&amp;H42),26,8))&gt;=0,FALSE),IFERROR(HEX2DEC(MID(("x"&amp;H42),34,8))&gt;=0,FALSE),IFERROR(HEX2DEC(MID(("x"&amp;H42),42,8))&gt;=0,FALSE),IFERROR(HEX2DEC(MID(("x"&amp;H42),50,8))&gt;=0,FALSE),IFERROR(HEX2DEC(MID(("x"&amp;H42),58,8))&gt;=0,FALSE)),AND(ISTEXT(I42),LEN(("x"&amp;I42))=65,EXACT(("x"&amp;I42),LOWER(("x"&amp;I42))),ISERROR(SEARCH(" ",("x"&amp;I42))),ISERROR(SEARCH(CHAR(9),("x"&amp;I42))),ISERROR(SEARCH(CHAR(10),("x"&amp;I42))),ISERROR(SEARCH(CHAR(13),("x"&amp;I42))),IFERROR(HEX2DEC(MID(("x"&amp;I42),2,8))&gt;=0,FALSE),IFERROR(HEX2DEC(MID(("x"&amp;I42),10,8))&gt;=0,FALSE),IFERROR(HEX2DEC(MID(("x"&amp;I42),18,8))&gt;=0,FALSE),IFERROR(HEX2DEC(MID(("x"&amp;I42),26,8))&gt;=0,FALSE),IFERROR(HEX2DEC(MID(("x"&amp;I42),34,8))&gt;=0,FALSE),IFERROR(HEX2DEC(MID(("x"&amp;I42),42,8))&gt;=0,FALSE),IFERROR(HEX2DEC(MID(("x"&amp;I42),50,8))&gt;=0,FALSE),IFERROR(HEX2DEC(MID(("x"&amp;I42),58,8))&gt;=0,FALSE))),IF(EXACT("x"&amp;H42,"x"&amp;I42),AA42,AB42),"LEXEMA_O_FORMA"),IF(W42="PRUEBA",IF(H42=X42,AA42,IF(H42=Z42,AB42,"LEXEMA_O_FORMA")),IF(W42="RETIRADA",IF(AND(H42="NINGUNO",I42=""),IF(J42="COMPLETA",AB42,"COBERTURA_INSUFICIENTE"),IF(AND(OR(H42="uoInstallation",H42="uoUninstallation"),OR(I42="orcSucceeded",I42="orcSucceededWithErrors",I42="orcFailed",I42="orcAborted",I42="orcInProgress",I42="orcNotStarted")),IF(AND(H42=X42,I42=Y42),AA42,IF(AND(H42=X42,OR(I42="orcSucceededWithErrors",I42="orcInProgress",I42="orcNotStarted")),"RESULTADO_RETIRADA_INCIERTO",IF(J42="COMPLETA",AB42,"COBERTURA_INSUFICIENTE"))),"LEXEMA_O_FORMA")),IF(W42="CAMBIO",IF(OR(H42="CAMBIO",H42="CAMBIO_Y_RETORNO"),AA42,IF(OR(H42="NINGUNO",H42="SOLO_RENOMBRE"),IF(J42="COMPLETA",AB42,"COBERTURA_INSUFICIENTE"),"LEXEMA_O_FORMA")),IF(W42="RESTAURACION",IF(H42=X42,AA42,IF(OR(H42="NINGUNO",H42="RESTAURACION_POSTERIOR",H42="RESTAURACION_FALLIDA"),IF(J42="COMPLETA",AB42,"COBERTURA_INSUFICIENTE"),"LEXEMA_O_FORMA")),"PERFIL_NO_CONSTITUIDO"))))))))))))))))))</x:f>
        <x:v>CONTEXTO_NO_CONSTITUIDO</x:v>
      </x:c>
      <x:c r="R42" s="12" t="str">
        <x:f>IF(AND(L42=O42,M42=P42,N42=Q42),"PASA","NO_PASA")</x:f>
        <x:v>PASA</x:v>
      </x:c>
      <x:c r="S42" s="4" t="str">
        <x:v>Falta el contexto profesional que fija qué se está evaluando.</x:v>
      </x:c>
      <x:c r="T42" s="12" t="str">
        <x:f>IFERROR(INDEX('55_Codificacion_ensayo'!$B$5:$B$13,MATCH(B42,'55_Codificacion_ensayo'!$A$5:$A$13,0)),"")</x:f>
        <x:v>REQUISITO-SOFTWARE-INDIVIDUAL-0.1</x:v>
      </x:c>
      <x:c r="U42" s="12" t="str">
        <x:f>IFERROR(INDEX('55_Codificacion_ensayo'!$C$5:$C$13,MATCH(B42,'55_Codificacion_ensayo'!$A$5:$A$13,0)),"")</x:f>
        <x:v>INSTRUCCION_ESPECIFICA</x:v>
      </x:c>
      <x:c r="V42" s="12" t="str">
        <x:f>IFERROR(INDEX('55_Codificacion_ensayo'!$D$5:$D$13,MATCH(B42,'55_Codificacion_ensayo'!$A$5:$A$13,0)),"")</x:f>
        <x:v>UN_SOFTWARE</x:v>
      </x:c>
      <x:c r="W42" s="12" t="str">
        <x:f>IFERROR(INDEX('55_Codificacion_ensayo'!$E$5:$E$13,MATCH(B42,'55_Codificacion_ensayo'!$A$5:$A$13,0)),"")</x:f>
        <x:v>REQUISITO_SOFT</x:v>
      </x:c>
      <x:c r="X42" s="12" t="str">
        <x:f>IFERROR(INDEX('55_Codificacion_ensayo'!$F$5:$F$13,MATCH(B42,'55_Codificacion_ensayo'!$A$5:$A$13,0)),"")</x:f>
        <x:v>true</x:v>
      </x:c>
      <x:c r="Y42" s="12" t="str">
        <x:f>IFERROR(INDEX('55_Codificacion_ensayo'!$G$5:$G$13,MATCH(B42,'55_Codificacion_ensayo'!$A$5:$A$13,0)),"")</x:f>
      </x:c>
      <x:c r="Z42" s="12" t="str">
        <x:f>IFERROR(INDEX('55_Codificacion_ensayo'!$H$5:$H$13,MATCH(B42,'55_Codificacion_ensayo'!$A$5:$A$13,0)),"")</x:f>
        <x:v>false</x:v>
      </x:c>
      <x:c r="AA42" s="12" t="str">
        <x:f>IFERROR(INDEX('55_Codificacion_ensayo'!$I$5:$I$13,MATCH(B42,'55_Codificacion_ensayo'!$A$5:$A$13,0)),"")</x:f>
        <x:v>REQUISITO_SOFTWARE_SI</x:v>
      </x:c>
      <x:c r="AB42" s="12" t="str">
        <x:f>IFERROR(INDEX('55_Codificacion_ensayo'!$J$5:$J$13,MATCH(B42,'55_Codificacion_ensayo'!$A$5:$A$13,0)),"")</x:f>
        <x:v>REQUISITO_SOFTWARE_NO</x:v>
      </x:c>
    </x:row>
    <x:row r="43" ht="47" customHeight="1">
      <x:c r="A43" s="4" t="str">
        <x:v>L10-04-11</x:v>
      </x:c>
      <x:c r="B43" s="4" t="str">
        <x:v>PAR-CYB-REINICIO-SOFTWARE-REQUERIDO-001</x:v>
      </x:c>
      <x:c r="C43" s="4" t="str">
        <x:v>REQUISITO-SOFTWARE-INDIVIDUAL-0.1</x:v>
      </x:c>
      <x:c r="D43" s="4" t="str">
        <x:v>COINCIDE</x:v>
      </x:c>
      <x:c r="E43" s="4" t="str">
        <x:v>LEGIBLE</x:v>
      </x:c>
      <x:c r="F43" s="4" t="str">
        <x:v>INSTRUCCION_ESPECIFICA</x:v>
      </x:c>
      <x:c r="G43" s="4" t="str">
        <x:v>UNICA</x:v>
      </x:c>
      <x:c r="H43" s="4" t="str">
        <x:v>1</x:v>
      </x:c>
      <x:c r="I43" s="4" t="str"/>
      <x:c r="J43" s="4" t="str">
        <x:v>COMPLETA</x:v>
      </x:c>
      <x:c r="K43" s="4" t="str">
        <x:v>UN_SOFTWARE</x:v>
      </x:c>
      <x:c r="L43" s="4" t="str">
        <x:v>NO_ADMISION</x:v>
      </x:c>
      <x:c r="M43" s="4" t="str"/>
      <x:c r="N43" s="4" t="str">
        <x:v>LEXEMA_O_FORMA</x:v>
      </x:c>
      <x:c r="O43" s="12" t="str">
        <x:f>IF(Q43="SIN_EJECUCION_DOMINIO","FALLO_CAPTURA",IF(OR(Q43="CAPTURA_MAL_FORMADA",Q43="IDENTIDAD",Q43="OBSERVACION_MAL_FORMADA",Q43="LEXEMA_O_FORMA"),"NO_ADMISION",IF(OR(Q43="PERFIL_NO_CONSTITUIDO",Q43="RESULTADO_NO_TERMINAL"),"FUERA_PERFIL",IF(Q43="CONTEXTO_NO_CONSTITUIDO","CONFIGURACION_PENDIENTE","VALIDA"))))</x:f>
        <x:v>NO_ADMISION</x:v>
      </x:c>
      <x:c r="P43" s="12" t="str">
        <x:f>IF(O43&lt;&gt;"VALIDA","",IF(Q43=AA43,"1",IF(Q43=AB43,"0","U")))</x:f>
      </x:c>
      <x:c r="Q43" s="12" t="str">
        <x:f>IF(E43="FALLO","SIN_EJECUCION_DOMINIO",IF(E43&lt;&gt;"LEGIBLE","CAPTURA_MAL_FORMADA",IF(D43&lt;&gt;"COINCIDE","IDENTIDAD",IF(OR(T43="",C43&lt;&gt;T43),"PERFIL_NO_CONSTITUIDO",IF(K43&lt;&gt;V43,IF(V43="ORDEN_ACREDITADO","ORDEN_NO_ACREDITADO","CONTEXTO_NO_CONSTITUIDO"),IF(AND(G43="AUSENTE",H43="",I43=""),"DATO_AUSENTE",IF(AND(G43="CONFLICTO",H43="",I43=""),"CONFLICTO_OBSERVACIONAL",IF(G43&lt;&gt;"UNICA","OBSERVACION_MAL_FORMADA",IF(F43&lt;&gt;U43,"OBSERVACION_INSUFICIENTE",IF(W43="RESULTADO",IF(H43=X43,AA43,IF(OR(H43="orcSucceededWithErrors",H43="orcFailed",H43="orcAborted"),AB43,IF(OR(H43="orcNotStarted",H43="orcInProgress"),"RESULTADO_NO_TERMINAL","LEXEMA_O_FORMA"))),IF(W43="EVENTO_BOOT",IF(H43=X43,AA43,IF(OR(H43="NINGUNO",H43="SOLO_HIBRIDO"),IF(J43="COMPLETA",AB43,"COBERTURA_INSUFICIENTE"),"LEXEMA_O_FORMA")),IF(W43="REQUISITO_SOFT",IF(H43=X43,AA43,IF(H43=Z43,AB43,"LEXEMA_O_FORMA")),IF(W43="EVENTO_PROC",IF(H43=X43,AA43,IF(H43=Z43,IF(J43="COMPLETA",AB43,"COBERTURA_INSUFICIENTE"),"LEXEMA_O_FORMA")),IF(W43="IMAGEN",IF(AND(AND(ISTEXT(H43),LEN(("x"&amp;H43))=65,EXACT(("x"&amp;H43),LOWER(("x"&amp;H43))),ISERROR(SEARCH(" ",("x"&amp;H43))),ISERROR(SEARCH(CHAR(9),("x"&amp;H43))),ISERROR(SEARCH(CHAR(10),("x"&amp;H43))),ISERROR(SEARCH(CHAR(13),("x"&amp;H43))),IFERROR(HEX2DEC(MID(("x"&amp;H43),2,8))&gt;=0,FALSE),IFERROR(HEX2DEC(MID(("x"&amp;H43),10,8))&gt;=0,FALSE),IFERROR(HEX2DEC(MID(("x"&amp;H43),18,8))&gt;=0,FALSE),IFERROR(HEX2DEC(MID(("x"&amp;H43),26,8))&gt;=0,FALSE),IFERROR(HEX2DEC(MID(("x"&amp;H43),34,8))&gt;=0,FALSE),IFERROR(HEX2DEC(MID(("x"&amp;H43),42,8))&gt;=0,FALSE),IFERROR(HEX2DEC(MID(("x"&amp;H43),50,8))&gt;=0,FALSE),IFERROR(HEX2DEC(MID(("x"&amp;H43),58,8))&gt;=0,FALSE)),AND(ISTEXT(I43),LEN(("x"&amp;I43))=65,EXACT(("x"&amp;I43),LOWER(("x"&amp;I43))),ISERROR(SEARCH(" ",("x"&amp;I43))),ISERROR(SEARCH(CHAR(9),("x"&amp;I43))),ISERROR(SEARCH(CHAR(10),("x"&amp;I43))),ISERROR(SEARCH(CHAR(13),("x"&amp;I43))),IFERROR(HEX2DEC(MID(("x"&amp;I43),2,8))&gt;=0,FALSE),IFERROR(HEX2DEC(MID(("x"&amp;I43),10,8))&gt;=0,FALSE),IFERROR(HEX2DEC(MID(("x"&amp;I43),18,8))&gt;=0,FALSE),IFERROR(HEX2DEC(MID(("x"&amp;I43),26,8))&gt;=0,FALSE),IFERROR(HEX2DEC(MID(("x"&amp;I43),34,8))&gt;=0,FALSE),IFERROR(HEX2DEC(MID(("x"&amp;I43),42,8))&gt;=0,FALSE),IFERROR(HEX2DEC(MID(("x"&amp;I43),50,8))&gt;=0,FALSE),IFERROR(HEX2DEC(MID(("x"&amp;I43),58,8))&gt;=0,FALSE))),IF(EXACT("x"&amp;H43,"x"&amp;I43),AA43,AB43),"LEXEMA_O_FORMA"),IF(W43="PRUEBA",IF(H43=X43,AA43,IF(H43=Z43,AB43,"LEXEMA_O_FORMA")),IF(W43="RETIRADA",IF(AND(H43="NINGUNO",I43=""),IF(J43="COMPLETA",AB43,"COBERTURA_INSUFICIENTE"),IF(AND(OR(H43="uoInstallation",H43="uoUninstallation"),OR(I43="orcSucceeded",I43="orcSucceededWithErrors",I43="orcFailed",I43="orcAborted",I43="orcInProgress",I43="orcNotStarted")),IF(AND(H43=X43,I43=Y43),AA43,IF(AND(H43=X43,OR(I43="orcSucceededWithErrors",I43="orcInProgress",I43="orcNotStarted")),"RESULTADO_RETIRADA_INCIERTO",IF(J43="COMPLETA",AB43,"COBERTURA_INSUFICIENTE"))),"LEXEMA_O_FORMA")),IF(W43="CAMBIO",IF(OR(H43="CAMBIO",H43="CAMBIO_Y_RETORNO"),AA43,IF(OR(H43="NINGUNO",H43="SOLO_RENOMBRE"),IF(J43="COMPLETA",AB43,"COBERTURA_INSUFICIENTE"),"LEXEMA_O_FORMA")),IF(W43="RESTAURACION",IF(H43=X43,AA43,IF(OR(H43="NINGUNO",H43="RESTAURACION_POSTERIOR",H43="RESTAURACION_FALLIDA"),IF(J43="COMPLETA",AB43,"COBERTURA_INSUFICIENTE"),"LEXEMA_O_FORMA")),"PERFIL_NO_CONSTITUIDO"))))))))))))))))))</x:f>
        <x:v>LEXEMA_O_FORMA</x:v>
      </x:c>
      <x:c r="R43" s="12" t="str">
        <x:f>IF(AND(L43=O43,M43=P43,N43=Q43),"PASA","NO_PASA")</x:f>
        <x:v>PASA</x:v>
      </x:c>
      <x:c r="S43" s="4" t="str">
        <x:v>Booleano numérico no se acepta como lexema documental.</x:v>
      </x:c>
      <x:c r="T43" s="12" t="str">
        <x:f>IFERROR(INDEX('55_Codificacion_ensayo'!$B$5:$B$13,MATCH(B43,'55_Codificacion_ensayo'!$A$5:$A$13,0)),"")</x:f>
        <x:v>REQUISITO-SOFTWARE-INDIVIDUAL-0.1</x:v>
      </x:c>
      <x:c r="U43" s="12" t="str">
        <x:f>IFERROR(INDEX('55_Codificacion_ensayo'!$C$5:$C$13,MATCH(B43,'55_Codificacion_ensayo'!$A$5:$A$13,0)),"")</x:f>
        <x:v>INSTRUCCION_ESPECIFICA</x:v>
      </x:c>
      <x:c r="V43" s="12" t="str">
        <x:f>IFERROR(INDEX('55_Codificacion_ensayo'!$D$5:$D$13,MATCH(B43,'55_Codificacion_ensayo'!$A$5:$A$13,0)),"")</x:f>
        <x:v>UN_SOFTWARE</x:v>
      </x:c>
      <x:c r="W43" s="12" t="str">
        <x:f>IFERROR(INDEX('55_Codificacion_ensayo'!$E$5:$E$13,MATCH(B43,'55_Codificacion_ensayo'!$A$5:$A$13,0)),"")</x:f>
        <x:v>REQUISITO_SOFT</x:v>
      </x:c>
      <x:c r="X43" s="12" t="str">
        <x:f>IFERROR(INDEX('55_Codificacion_ensayo'!$F$5:$F$13,MATCH(B43,'55_Codificacion_ensayo'!$A$5:$A$13,0)),"")</x:f>
        <x:v>true</x:v>
      </x:c>
      <x:c r="Y43" s="12" t="str">
        <x:f>IFERROR(INDEX('55_Codificacion_ensayo'!$G$5:$G$13,MATCH(B43,'55_Codificacion_ensayo'!$A$5:$A$13,0)),"")</x:f>
      </x:c>
      <x:c r="Z43" s="12" t="str">
        <x:f>IFERROR(INDEX('55_Codificacion_ensayo'!$H$5:$H$13,MATCH(B43,'55_Codificacion_ensayo'!$A$5:$A$13,0)),"")</x:f>
        <x:v>false</x:v>
      </x:c>
      <x:c r="AA43" s="12" t="str">
        <x:f>IFERROR(INDEX('55_Codificacion_ensayo'!$I$5:$I$13,MATCH(B43,'55_Codificacion_ensayo'!$A$5:$A$13,0)),"")</x:f>
        <x:v>REQUISITO_SOFTWARE_SI</x:v>
      </x:c>
      <x:c r="AB43" s="12" t="str">
        <x:f>IFERROR(INDEX('55_Codificacion_ensayo'!$J$5:$J$13,MATCH(B43,'55_Codificacion_ensayo'!$A$5:$A$13,0)),"")</x:f>
        <x:v>REQUISITO_SOFTWARE_NO</x:v>
      </x:c>
    </x:row>
    <x:row r="44" ht="47" customHeight="1">
      <x:c r="A44" s="4" t="str">
        <x:v>L10-04-12</x:v>
      </x:c>
      <x:c r="B44" s="4" t="str">
        <x:v>PAR-CYB-REINICIO-SOFTWARE-REQUERIDO-001</x:v>
      </x:c>
      <x:c r="C44" s="4" t="str">
        <x:v>REQUISITO-SOFTWARE-INDIVIDUAL-0.1</x:v>
      </x:c>
      <x:c r="D44" s="4" t="str">
        <x:v>COINCIDE</x:v>
      </x:c>
      <x:c r="E44" s="4" t="str">
        <x:v>LEGIBLE</x:v>
      </x:c>
      <x:c r="F44" s="4" t="str">
        <x:v>INSTRUCCION_ESPECIFICA</x:v>
      </x:c>
      <x:c r="G44" s="4" t="str">
        <x:v>UNICA</x:v>
      </x:c>
      <x:c r="H44" s="4" t="str">
        <x:v>true</x:v>
      </x:c>
      <x:c r="I44" s="4" t="str"/>
      <x:c r="J44" s="4" t="str">
        <x:v>COMPLETA</x:v>
      </x:c>
      <x:c r="K44" s="4" t="str">
        <x:v>VARIOS_SOFTWARES</x:v>
      </x:c>
      <x:c r="L44" s="4" t="str">
        <x:v>CONFIGURACION_PENDIENTE</x:v>
      </x:c>
      <x:c r="M44" s="4" t="str"/>
      <x:c r="N44" s="4" t="str">
        <x:v>CONTEXTO_NO_CONSTITUIDO</x:v>
      </x:c>
      <x:c r="O44" s="12" t="str">
        <x:f>IF(Q44="SIN_EJECUCION_DOMINIO","FALLO_CAPTURA",IF(OR(Q44="CAPTURA_MAL_FORMADA",Q44="IDENTIDAD",Q44="OBSERVACION_MAL_FORMADA",Q44="LEXEMA_O_FORMA"),"NO_ADMISION",IF(OR(Q44="PERFIL_NO_CONSTITUIDO",Q44="RESULTADO_NO_TERMINAL"),"FUERA_PERFIL",IF(Q44="CONTEXTO_NO_CONSTITUIDO","CONFIGURACION_PENDIENTE","VALIDA"))))</x:f>
        <x:v>CONFIGURACION_PENDIENTE</x:v>
      </x:c>
      <x:c r="P44" s="12" t="str">
        <x:f>IF(O44&lt;&gt;"VALIDA","",IF(Q44=AA44,"1",IF(Q44=AB44,"0","U")))</x:f>
      </x:c>
      <x:c r="Q44" s="12" t="str">
        <x:f>IF(E44="FALLO","SIN_EJECUCION_DOMINIO",IF(E44&lt;&gt;"LEGIBLE","CAPTURA_MAL_FORMADA",IF(D44&lt;&gt;"COINCIDE","IDENTIDAD",IF(OR(T44="",C44&lt;&gt;T44),"PERFIL_NO_CONSTITUIDO",IF(K44&lt;&gt;V44,IF(V44="ORDEN_ACREDITADO","ORDEN_NO_ACREDITADO","CONTEXTO_NO_CONSTITUIDO"),IF(AND(G44="AUSENTE",H44="",I44=""),"DATO_AUSENTE",IF(AND(G44="CONFLICTO",H44="",I44=""),"CONFLICTO_OBSERVACIONAL",IF(G44&lt;&gt;"UNICA","OBSERVACION_MAL_FORMADA",IF(F44&lt;&gt;U44,"OBSERVACION_INSUFICIENTE",IF(W44="RESULTADO",IF(H44=X44,AA44,IF(OR(H44="orcSucceededWithErrors",H44="orcFailed",H44="orcAborted"),AB44,IF(OR(H44="orcNotStarted",H44="orcInProgress"),"RESULTADO_NO_TERMINAL","LEXEMA_O_FORMA"))),IF(W44="EVENTO_BOOT",IF(H44=X44,AA44,IF(OR(H44="NINGUNO",H44="SOLO_HIBRIDO"),IF(J44="COMPLETA",AB44,"COBERTURA_INSUFICIENTE"),"LEXEMA_O_FORMA")),IF(W44="REQUISITO_SOFT",IF(H44=X44,AA44,IF(H44=Z44,AB44,"LEXEMA_O_FORMA")),IF(W44="EVENTO_PROC",IF(H44=X44,AA44,IF(H44=Z44,IF(J44="COMPLETA",AB44,"COBERTURA_INSUFICIENTE"),"LEXEMA_O_FORMA")),IF(W44="IMAGEN",IF(AND(AND(ISTEXT(H44),LEN(("x"&amp;H44))=65,EXACT(("x"&amp;H44),LOWER(("x"&amp;H44))),ISERROR(SEARCH(" ",("x"&amp;H44))),ISERROR(SEARCH(CHAR(9),("x"&amp;H44))),ISERROR(SEARCH(CHAR(10),("x"&amp;H44))),ISERROR(SEARCH(CHAR(13),("x"&amp;H44))),IFERROR(HEX2DEC(MID(("x"&amp;H44),2,8))&gt;=0,FALSE),IFERROR(HEX2DEC(MID(("x"&amp;H44),10,8))&gt;=0,FALSE),IFERROR(HEX2DEC(MID(("x"&amp;H44),18,8))&gt;=0,FALSE),IFERROR(HEX2DEC(MID(("x"&amp;H44),26,8))&gt;=0,FALSE),IFERROR(HEX2DEC(MID(("x"&amp;H44),34,8))&gt;=0,FALSE),IFERROR(HEX2DEC(MID(("x"&amp;H44),42,8))&gt;=0,FALSE),IFERROR(HEX2DEC(MID(("x"&amp;H44),50,8))&gt;=0,FALSE),IFERROR(HEX2DEC(MID(("x"&amp;H44),58,8))&gt;=0,FALSE)),AND(ISTEXT(I44),LEN(("x"&amp;I44))=65,EXACT(("x"&amp;I44),LOWER(("x"&amp;I44))),ISERROR(SEARCH(" ",("x"&amp;I44))),ISERROR(SEARCH(CHAR(9),("x"&amp;I44))),ISERROR(SEARCH(CHAR(10),("x"&amp;I44))),ISERROR(SEARCH(CHAR(13),("x"&amp;I44))),IFERROR(HEX2DEC(MID(("x"&amp;I44),2,8))&gt;=0,FALSE),IFERROR(HEX2DEC(MID(("x"&amp;I44),10,8))&gt;=0,FALSE),IFERROR(HEX2DEC(MID(("x"&amp;I44),18,8))&gt;=0,FALSE),IFERROR(HEX2DEC(MID(("x"&amp;I44),26,8))&gt;=0,FALSE),IFERROR(HEX2DEC(MID(("x"&amp;I44),34,8))&gt;=0,FALSE),IFERROR(HEX2DEC(MID(("x"&amp;I44),42,8))&gt;=0,FALSE),IFERROR(HEX2DEC(MID(("x"&amp;I44),50,8))&gt;=0,FALSE),IFERROR(HEX2DEC(MID(("x"&amp;I44),58,8))&gt;=0,FALSE))),IF(EXACT("x"&amp;H44,"x"&amp;I44),AA44,AB44),"LEXEMA_O_FORMA"),IF(W44="PRUEBA",IF(H44=X44,AA44,IF(H44=Z44,AB44,"LEXEMA_O_FORMA")),IF(W44="RETIRADA",IF(AND(H44="NINGUNO",I44=""),IF(J44="COMPLETA",AB44,"COBERTURA_INSUFICIENTE"),IF(AND(OR(H44="uoInstallation",H44="uoUninstallation"),OR(I44="orcSucceeded",I44="orcSucceededWithErrors",I44="orcFailed",I44="orcAborted",I44="orcInProgress",I44="orcNotStarted")),IF(AND(H44=X44,I44=Y44),AA44,IF(AND(H44=X44,OR(I44="orcSucceededWithErrors",I44="orcInProgress",I44="orcNotStarted")),"RESULTADO_RETIRADA_INCIERTO",IF(J44="COMPLETA",AB44,"COBERTURA_INSUFICIENTE"))),"LEXEMA_O_FORMA")),IF(W44="CAMBIO",IF(OR(H44="CAMBIO",H44="CAMBIO_Y_RETORNO"),AA44,IF(OR(H44="NINGUNO",H44="SOLO_RENOMBRE"),IF(J44="COMPLETA",AB44,"COBERTURA_INSUFICIENTE"),"LEXEMA_O_FORMA")),IF(W44="RESTAURACION",IF(H44=X44,AA44,IF(OR(H44="NINGUNO",H44="RESTAURACION_POSTERIOR",H44="RESTAURACION_FALLIDA"),IF(J44="COMPLETA",AB44,"COBERTURA_INSUFICIENTE"),"LEXEMA_O_FORMA")),"PERFIL_NO_CONSTITUIDO"))))))))))))))))))</x:f>
        <x:v>CONTEXTO_NO_CONSTITUIDO</x:v>
      </x:c>
      <x:c r="R44" s="12" t="str">
        <x:f>IF(AND(L44=O44,M44=P44,N44=Q44),"PASA","NO_PASA")</x:f>
        <x:v>PASA</x:v>
      </x:c>
      <x:c r="S44" s="4" t="str">
        <x:v>Agregado de aplicaciones fuera del sujeto unitario.</x:v>
      </x:c>
      <x:c r="T44" s="12" t="str">
        <x:f>IFERROR(INDEX('55_Codificacion_ensayo'!$B$5:$B$13,MATCH(B44,'55_Codificacion_ensayo'!$A$5:$A$13,0)),"")</x:f>
        <x:v>REQUISITO-SOFTWARE-INDIVIDUAL-0.1</x:v>
      </x:c>
      <x:c r="U44" s="12" t="str">
        <x:f>IFERROR(INDEX('55_Codificacion_ensayo'!$C$5:$C$13,MATCH(B44,'55_Codificacion_ensayo'!$A$5:$A$13,0)),"")</x:f>
        <x:v>INSTRUCCION_ESPECIFICA</x:v>
      </x:c>
      <x:c r="V44" s="12" t="str">
        <x:f>IFERROR(INDEX('55_Codificacion_ensayo'!$D$5:$D$13,MATCH(B44,'55_Codificacion_ensayo'!$A$5:$A$13,0)),"")</x:f>
        <x:v>UN_SOFTWARE</x:v>
      </x:c>
      <x:c r="W44" s="12" t="str">
        <x:f>IFERROR(INDEX('55_Codificacion_ensayo'!$E$5:$E$13,MATCH(B44,'55_Codificacion_ensayo'!$A$5:$A$13,0)),"")</x:f>
        <x:v>REQUISITO_SOFT</x:v>
      </x:c>
      <x:c r="X44" s="12" t="str">
        <x:f>IFERROR(INDEX('55_Codificacion_ensayo'!$F$5:$F$13,MATCH(B44,'55_Codificacion_ensayo'!$A$5:$A$13,0)),"")</x:f>
        <x:v>true</x:v>
      </x:c>
      <x:c r="Y44" s="12" t="str">
        <x:f>IFERROR(INDEX('55_Codificacion_ensayo'!$G$5:$G$13,MATCH(B44,'55_Codificacion_ensayo'!$A$5:$A$13,0)),"")</x:f>
      </x:c>
      <x:c r="Z44" s="12" t="str">
        <x:f>IFERROR(INDEX('55_Codificacion_ensayo'!$H$5:$H$13,MATCH(B44,'55_Codificacion_ensayo'!$A$5:$A$13,0)),"")</x:f>
        <x:v>false</x:v>
      </x:c>
      <x:c r="AA44" s="12" t="str">
        <x:f>IFERROR(INDEX('55_Codificacion_ensayo'!$I$5:$I$13,MATCH(B44,'55_Codificacion_ensayo'!$A$5:$A$13,0)),"")</x:f>
        <x:v>REQUISITO_SOFTWARE_SI</x:v>
      </x:c>
      <x:c r="AB44" s="12" t="str">
        <x:f>IFERROR(INDEX('55_Codificacion_ensayo'!$J$5:$J$13,MATCH(B44,'55_Codificacion_ensayo'!$A$5:$A$13,0)),"")</x:f>
        <x:v>REQUISITO_SOFTWARE_NO</x:v>
      </x:c>
    </x:row>
    <x:row r="45" ht="47" customHeight="1">
      <x:c r="A45" s="4" t="str">
        <x:v>L10-05-01</x:v>
      </x:c>
      <x:c r="B45" s="4" t="str">
        <x:v>PAR-CYB-GENERACION-PROCESO-TERMINADA-001</x:v>
      </x:c>
      <x:c r="C45" s="4" t="str">
        <x:v>TERMINACION-GENERACION-PROCESO-0.1</x:v>
      </x:c>
      <x:c r="D45" s="4" t="str">
        <x:v>COINCIDE</x:v>
      </x:c>
      <x:c r="E45" s="4" t="str">
        <x:v>LEGIBLE</x:v>
      </x:c>
      <x:c r="F45" s="4" t="str">
        <x:v>CICLO_GENERACION</x:v>
      </x:c>
      <x:c r="G45" s="4" t="str">
        <x:v>UNICA</x:v>
      </x:c>
      <x:c r="H45" s="4" t="str">
        <x:v>TERMINADA</x:v>
      </x:c>
      <x:c r="I45" s="4" t="str"/>
      <x:c r="J45" s="4" t="str">
        <x:v>COMPLETA</x:v>
      </x:c>
      <x:c r="K45" s="4" t="str">
        <x:v>ORDEN_ACREDITADO</x:v>
      </x:c>
      <x:c r="L45" s="4" t="str">
        <x:v>VALIDA</x:v>
      </x:c>
      <x:c r="M45" s="4" t="str">
        <x:v>1</x:v>
      </x:c>
      <x:c r="N45" s="4" t="str">
        <x:v>GENERACION_TERMINADA</x:v>
      </x:c>
      <x:c r="O45" s="12" t="str">
        <x:f>IF(Q45="SIN_EJECUCION_DOMINIO","FALLO_CAPTURA",IF(OR(Q45="CAPTURA_MAL_FORMADA",Q45="IDENTIDAD",Q45="OBSERVACION_MAL_FORMADA",Q45="LEXEMA_O_FORMA"),"NO_ADMISION",IF(OR(Q45="PERFIL_NO_CONSTITUIDO",Q45="RESULTADO_NO_TERMINAL"),"FUERA_PERFIL",IF(Q45="CONTEXTO_NO_CONSTITUIDO","CONFIGURACION_PENDIENTE","VALIDA"))))</x:f>
        <x:v>VALIDA</x:v>
      </x:c>
      <x:c r="P45" s="12" t="str">
        <x:f>IF(O45&lt;&gt;"VALIDA","",IF(Q45=AA45,"1",IF(Q45=AB45,"0","U")))</x:f>
        <x:v>1</x:v>
      </x:c>
      <x:c r="Q45" s="12" t="str">
        <x:f>IF(E45="FALLO","SIN_EJECUCION_DOMINIO",IF(E45&lt;&gt;"LEGIBLE","CAPTURA_MAL_FORMADA",IF(D45&lt;&gt;"COINCIDE","IDENTIDAD",IF(OR(T45="",C45&lt;&gt;T45),"PERFIL_NO_CONSTITUIDO",IF(K45&lt;&gt;V45,IF(V45="ORDEN_ACREDITADO","ORDEN_NO_ACREDITADO","CONTEXTO_NO_CONSTITUIDO"),IF(AND(G45="AUSENTE",H45="",I45=""),"DATO_AUSENTE",IF(AND(G45="CONFLICTO",H45="",I45=""),"CONFLICTO_OBSERVACIONAL",IF(G45&lt;&gt;"UNICA","OBSERVACION_MAL_FORMADA",IF(F45&lt;&gt;U45,"OBSERVACION_INSUFICIENTE",IF(W45="RESULTADO",IF(H45=X45,AA45,IF(OR(H45="orcSucceededWithErrors",H45="orcFailed",H45="orcAborted"),AB45,IF(OR(H45="orcNotStarted",H45="orcInProgress"),"RESULTADO_NO_TERMINAL","LEXEMA_O_FORMA"))),IF(W45="EVENTO_BOOT",IF(H45=X45,AA45,IF(OR(H45="NINGUNO",H45="SOLO_HIBRIDO"),IF(J45="COMPLETA",AB45,"COBERTURA_INSUFICIENTE"),"LEXEMA_O_FORMA")),IF(W45="REQUISITO_SOFT",IF(H45=X45,AA45,IF(H45=Z45,AB45,"LEXEMA_O_FORMA")),IF(W45="EVENTO_PROC",IF(H45=X45,AA45,IF(H45=Z45,IF(J45="COMPLETA",AB45,"COBERTURA_INSUFICIENTE"),"LEXEMA_O_FORMA")),IF(W45="IMAGEN",IF(AND(AND(ISTEXT(H45),LEN(("x"&amp;H45))=65,EXACT(("x"&amp;H45),LOWER(("x"&amp;H45))),ISERROR(SEARCH(" ",("x"&amp;H45))),ISERROR(SEARCH(CHAR(9),("x"&amp;H45))),ISERROR(SEARCH(CHAR(10),("x"&amp;H45))),ISERROR(SEARCH(CHAR(13),("x"&amp;H45))),IFERROR(HEX2DEC(MID(("x"&amp;H45),2,8))&gt;=0,FALSE),IFERROR(HEX2DEC(MID(("x"&amp;H45),10,8))&gt;=0,FALSE),IFERROR(HEX2DEC(MID(("x"&amp;H45),18,8))&gt;=0,FALSE),IFERROR(HEX2DEC(MID(("x"&amp;H45),26,8))&gt;=0,FALSE),IFERROR(HEX2DEC(MID(("x"&amp;H45),34,8))&gt;=0,FALSE),IFERROR(HEX2DEC(MID(("x"&amp;H45),42,8))&gt;=0,FALSE),IFERROR(HEX2DEC(MID(("x"&amp;H45),50,8))&gt;=0,FALSE),IFERROR(HEX2DEC(MID(("x"&amp;H45),58,8))&gt;=0,FALSE)),AND(ISTEXT(I45),LEN(("x"&amp;I45))=65,EXACT(("x"&amp;I45),LOWER(("x"&amp;I45))),ISERROR(SEARCH(" ",("x"&amp;I45))),ISERROR(SEARCH(CHAR(9),("x"&amp;I45))),ISERROR(SEARCH(CHAR(10),("x"&amp;I45))),ISERROR(SEARCH(CHAR(13),("x"&amp;I45))),IFERROR(HEX2DEC(MID(("x"&amp;I45),2,8))&gt;=0,FALSE),IFERROR(HEX2DEC(MID(("x"&amp;I45),10,8))&gt;=0,FALSE),IFERROR(HEX2DEC(MID(("x"&amp;I45),18,8))&gt;=0,FALSE),IFERROR(HEX2DEC(MID(("x"&amp;I45),26,8))&gt;=0,FALSE),IFERROR(HEX2DEC(MID(("x"&amp;I45),34,8))&gt;=0,FALSE),IFERROR(HEX2DEC(MID(("x"&amp;I45),42,8))&gt;=0,FALSE),IFERROR(HEX2DEC(MID(("x"&amp;I45),50,8))&gt;=0,FALSE),IFERROR(HEX2DEC(MID(("x"&amp;I45),58,8))&gt;=0,FALSE))),IF(EXACT("x"&amp;H45,"x"&amp;I45),AA45,AB45),"LEXEMA_O_FORMA"),IF(W45="PRUEBA",IF(H45=X45,AA45,IF(H45=Z45,AB45,"LEXEMA_O_FORMA")),IF(W45="RETIRADA",IF(AND(H45="NINGUNO",I45=""),IF(J45="COMPLETA",AB45,"COBERTURA_INSUFICIENTE"),IF(AND(OR(H45="uoInstallation",H45="uoUninstallation"),OR(I45="orcSucceeded",I45="orcSucceededWithErrors",I45="orcFailed",I45="orcAborted",I45="orcInProgress",I45="orcNotStarted")),IF(AND(H45=X45,I45=Y45),AA45,IF(AND(H45=X45,OR(I45="orcSucceededWithErrors",I45="orcInProgress",I45="orcNotStarted")),"RESULTADO_RETIRADA_INCIERTO",IF(J45="COMPLETA",AB45,"COBERTURA_INSUFICIENTE"))),"LEXEMA_O_FORMA")),IF(W45="CAMBIO",IF(OR(H45="CAMBIO",H45="CAMBIO_Y_RETORNO"),AA45,IF(OR(H45="NINGUNO",H45="SOLO_RENOMBRE"),IF(J45="COMPLETA",AB45,"COBERTURA_INSUFICIENTE"),"LEXEMA_O_FORMA")),IF(W45="RESTAURACION",IF(H45=X45,AA45,IF(OR(H45="NINGUNO",H45="RESTAURACION_POSTERIOR",H45="RESTAURACION_FALLIDA"),IF(J45="COMPLETA",AB45,"COBERTURA_INSUFICIENTE"),"LEXEMA_O_FORMA")),"PERFIL_NO_CONSTITUIDO"))))))))))))))))))</x:f>
        <x:v>GENERACION_TERMINADA</x:v>
      </x:c>
      <x:c r="R45" s="12" t="str">
        <x:f>IF(AND(L45=O45,M45=P45,N45=Q45),"PASA","NO_PASA")</x:f>
        <x:v>PASA</x:v>
      </x:c>
      <x:c r="S45" s="4" t="str">
        <x:v>Testigo positivo de la proposición; no licencia ninguna conclusión más amplia.</x:v>
      </x:c>
      <x:c r="T45" s="12" t="str">
        <x:f>IFERROR(INDEX('55_Codificacion_ensayo'!$B$5:$B$13,MATCH(B45,'55_Codificacion_ensayo'!$A$5:$A$13,0)),"")</x:f>
        <x:v>TERMINACION-GENERACION-PROCESO-0.1</x:v>
      </x:c>
      <x:c r="U45" s="12" t="str">
        <x:f>IFERROR(INDEX('55_Codificacion_ensayo'!$C$5:$C$13,MATCH(B45,'55_Codificacion_ensayo'!$A$5:$A$13,0)),"")</x:f>
        <x:v>CICLO_GENERACION</x:v>
      </x:c>
      <x:c r="V45" s="12" t="str">
        <x:f>IFERROR(INDEX('55_Codificacion_ensayo'!$D$5:$D$13,MATCH(B45,'55_Codificacion_ensayo'!$A$5:$A$13,0)),"")</x:f>
        <x:v>ORDEN_ACREDITADO</x:v>
      </x:c>
      <x:c r="W45" s="12" t="str">
        <x:f>IFERROR(INDEX('55_Codificacion_ensayo'!$E$5:$E$13,MATCH(B45,'55_Codificacion_ensayo'!$A$5:$A$13,0)),"")</x:f>
        <x:v>EVENTO_PROC</x:v>
      </x:c>
      <x:c r="X45" s="12" t="str">
        <x:f>IFERROR(INDEX('55_Codificacion_ensayo'!$F$5:$F$13,MATCH(B45,'55_Codificacion_ensayo'!$A$5:$A$13,0)),"")</x:f>
        <x:v>TERMINADA</x:v>
      </x:c>
      <x:c r="Y45" s="12" t="str">
        <x:f>IFERROR(INDEX('55_Codificacion_ensayo'!$G$5:$G$13,MATCH(B45,'55_Codificacion_ensayo'!$A$5:$A$13,0)),"")</x:f>
      </x:c>
      <x:c r="Z45" s="12" t="str">
        <x:f>IFERROR(INDEX('55_Codificacion_ensayo'!$H$5:$H$13,MATCH(B45,'55_Codificacion_ensayo'!$A$5:$A$13,0)),"")</x:f>
        <x:v>NINGUNO</x:v>
      </x:c>
      <x:c r="AA45" s="12" t="str">
        <x:f>IFERROR(INDEX('55_Codificacion_ensayo'!$I$5:$I$13,MATCH(B45,'55_Codificacion_ensayo'!$A$5:$A$13,0)),"")</x:f>
        <x:v>GENERACION_TERMINADA</x:v>
      </x:c>
      <x:c r="AB45" s="12" t="str">
        <x:f>IFERROR(INDEX('55_Codificacion_ensayo'!$J$5:$J$13,MATCH(B45,'55_Codificacion_ensayo'!$A$5:$A$13,0)),"")</x:f>
        <x:v>SIN_TERMINACION</x:v>
      </x:c>
    </x:row>
    <x:row r="46" ht="47" customHeight="1">
      <x:c r="A46" s="4" t="str">
        <x:v>L10-05-02</x:v>
      </x:c>
      <x:c r="B46" s="4" t="str">
        <x:v>PAR-CYB-GENERACION-PROCESO-TERMINADA-001</x:v>
      </x:c>
      <x:c r="C46" s="4" t="str">
        <x:v>TERMINACION-GENERACION-PROCESO-0.1</x:v>
      </x:c>
      <x:c r="D46" s="4" t="str">
        <x:v>COINCIDE</x:v>
      </x:c>
      <x:c r="E46" s="4" t="str">
        <x:v>LEGIBLE</x:v>
      </x:c>
      <x:c r="F46" s="4" t="str">
        <x:v>CICLO_GENERACION</x:v>
      </x:c>
      <x:c r="G46" s="4" t="str">
        <x:v>UNICA</x:v>
      </x:c>
      <x:c r="H46" s="4" t="str">
        <x:v>NINGUNO</x:v>
      </x:c>
      <x:c r="I46" s="4" t="str"/>
      <x:c r="J46" s="4" t="str">
        <x:v>COMPLETA</x:v>
      </x:c>
      <x:c r="K46" s="4" t="str">
        <x:v>ORDEN_ACREDITADO</x:v>
      </x:c>
      <x:c r="L46" s="4" t="str">
        <x:v>VALIDA</x:v>
      </x:c>
      <x:c r="M46" s="4" t="str">
        <x:v>0</x:v>
      </x:c>
      <x:c r="N46" s="4" t="str">
        <x:v>SIN_TERMINACION</x:v>
      </x:c>
      <x:c r="O46" s="12" t="str">
        <x:f>IF(Q46="SIN_EJECUCION_DOMINIO","FALLO_CAPTURA",IF(OR(Q46="CAPTURA_MAL_FORMADA",Q46="IDENTIDAD",Q46="OBSERVACION_MAL_FORMADA",Q46="LEXEMA_O_FORMA"),"NO_ADMISION",IF(OR(Q46="PERFIL_NO_CONSTITUIDO",Q46="RESULTADO_NO_TERMINAL"),"FUERA_PERFIL",IF(Q46="CONTEXTO_NO_CONSTITUIDO","CONFIGURACION_PENDIENTE","VALIDA"))))</x:f>
        <x:v>VALIDA</x:v>
      </x:c>
      <x:c r="P46" s="12" t="str">
        <x:f>IF(O46&lt;&gt;"VALIDA","",IF(Q46=AA46,"1",IF(Q46=AB46,"0","U")))</x:f>
        <x:v>0</x:v>
      </x:c>
      <x:c r="Q46" s="12" t="str">
        <x:f>IF(E46="FALLO","SIN_EJECUCION_DOMINIO",IF(E46&lt;&gt;"LEGIBLE","CAPTURA_MAL_FORMADA",IF(D46&lt;&gt;"COINCIDE","IDENTIDAD",IF(OR(T46="",C46&lt;&gt;T46),"PERFIL_NO_CONSTITUIDO",IF(K46&lt;&gt;V46,IF(V46="ORDEN_ACREDITADO","ORDEN_NO_ACREDITADO","CONTEXTO_NO_CONSTITUIDO"),IF(AND(G46="AUSENTE",H46="",I46=""),"DATO_AUSENTE",IF(AND(G46="CONFLICTO",H46="",I46=""),"CONFLICTO_OBSERVACIONAL",IF(G46&lt;&gt;"UNICA","OBSERVACION_MAL_FORMADA",IF(F46&lt;&gt;U46,"OBSERVACION_INSUFICIENTE",IF(W46="RESULTADO",IF(H46=X46,AA46,IF(OR(H46="orcSucceededWithErrors",H46="orcFailed",H46="orcAborted"),AB46,IF(OR(H46="orcNotStarted",H46="orcInProgress"),"RESULTADO_NO_TERMINAL","LEXEMA_O_FORMA"))),IF(W46="EVENTO_BOOT",IF(H46=X46,AA46,IF(OR(H46="NINGUNO",H46="SOLO_HIBRIDO"),IF(J46="COMPLETA",AB46,"COBERTURA_INSUFICIENTE"),"LEXEMA_O_FORMA")),IF(W46="REQUISITO_SOFT",IF(H46=X46,AA46,IF(H46=Z46,AB46,"LEXEMA_O_FORMA")),IF(W46="EVENTO_PROC",IF(H46=X46,AA46,IF(H46=Z46,IF(J46="COMPLETA",AB46,"COBERTURA_INSUFICIENTE"),"LEXEMA_O_FORMA")),IF(W46="IMAGEN",IF(AND(AND(ISTEXT(H46),LEN(("x"&amp;H46))=65,EXACT(("x"&amp;H46),LOWER(("x"&amp;H46))),ISERROR(SEARCH(" ",("x"&amp;H46))),ISERROR(SEARCH(CHAR(9),("x"&amp;H46))),ISERROR(SEARCH(CHAR(10),("x"&amp;H46))),ISERROR(SEARCH(CHAR(13),("x"&amp;H46))),IFERROR(HEX2DEC(MID(("x"&amp;H46),2,8))&gt;=0,FALSE),IFERROR(HEX2DEC(MID(("x"&amp;H46),10,8))&gt;=0,FALSE),IFERROR(HEX2DEC(MID(("x"&amp;H46),18,8))&gt;=0,FALSE),IFERROR(HEX2DEC(MID(("x"&amp;H46),26,8))&gt;=0,FALSE),IFERROR(HEX2DEC(MID(("x"&amp;H46),34,8))&gt;=0,FALSE),IFERROR(HEX2DEC(MID(("x"&amp;H46),42,8))&gt;=0,FALSE),IFERROR(HEX2DEC(MID(("x"&amp;H46),50,8))&gt;=0,FALSE),IFERROR(HEX2DEC(MID(("x"&amp;H46),58,8))&gt;=0,FALSE)),AND(ISTEXT(I46),LEN(("x"&amp;I46))=65,EXACT(("x"&amp;I46),LOWER(("x"&amp;I46))),ISERROR(SEARCH(" ",("x"&amp;I46))),ISERROR(SEARCH(CHAR(9),("x"&amp;I46))),ISERROR(SEARCH(CHAR(10),("x"&amp;I46))),ISERROR(SEARCH(CHAR(13),("x"&amp;I46))),IFERROR(HEX2DEC(MID(("x"&amp;I46),2,8))&gt;=0,FALSE),IFERROR(HEX2DEC(MID(("x"&amp;I46),10,8))&gt;=0,FALSE),IFERROR(HEX2DEC(MID(("x"&amp;I46),18,8))&gt;=0,FALSE),IFERROR(HEX2DEC(MID(("x"&amp;I46),26,8))&gt;=0,FALSE),IFERROR(HEX2DEC(MID(("x"&amp;I46),34,8))&gt;=0,FALSE),IFERROR(HEX2DEC(MID(("x"&amp;I46),42,8))&gt;=0,FALSE),IFERROR(HEX2DEC(MID(("x"&amp;I46),50,8))&gt;=0,FALSE),IFERROR(HEX2DEC(MID(("x"&amp;I46),58,8))&gt;=0,FALSE))),IF(EXACT("x"&amp;H46,"x"&amp;I46),AA46,AB46),"LEXEMA_O_FORMA"),IF(W46="PRUEBA",IF(H46=X46,AA46,IF(H46=Z46,AB46,"LEXEMA_O_FORMA")),IF(W46="RETIRADA",IF(AND(H46="NINGUNO",I46=""),IF(J46="COMPLETA",AB46,"COBERTURA_INSUFICIENTE"),IF(AND(OR(H46="uoInstallation",H46="uoUninstallation"),OR(I46="orcSucceeded",I46="orcSucceededWithErrors",I46="orcFailed",I46="orcAborted",I46="orcInProgress",I46="orcNotStarted")),IF(AND(H46=X46,I46=Y46),AA46,IF(AND(H46=X46,OR(I46="orcSucceededWithErrors",I46="orcInProgress",I46="orcNotStarted")),"RESULTADO_RETIRADA_INCIERTO",IF(J46="COMPLETA",AB46,"COBERTURA_INSUFICIENTE"))),"LEXEMA_O_FORMA")),IF(W46="CAMBIO",IF(OR(H46="CAMBIO",H46="CAMBIO_Y_RETORNO"),AA46,IF(OR(H46="NINGUNO",H46="SOLO_RENOMBRE"),IF(J46="COMPLETA",AB46,"COBERTURA_INSUFICIENTE"),"LEXEMA_O_FORMA")),IF(W46="RESTAURACION",IF(H46=X46,AA46,IF(OR(H46="NINGUNO",H46="RESTAURACION_POSTERIOR",H46="RESTAURACION_FALLIDA"),IF(J46="COMPLETA",AB46,"COBERTURA_INSUFICIENTE"),"LEXEMA_O_FORMA")),"PERFIL_NO_CONSTITUIDO"))))))))))))))))))</x:f>
        <x:v>SIN_TERMINACION</x:v>
      </x:c>
      <x:c r="R46" s="12" t="str">
        <x:f>IF(AND(L46=O46,M46=P46,N46=Q46),"PASA","NO_PASA")</x:f>
        <x:v>PASA</x:v>
      </x:c>
      <x:c r="S46" s="4" t="str">
        <x:v>Negativo explícito; en eventos exige cobertura del intervalo.</x:v>
      </x:c>
      <x:c r="T46" s="12" t="str">
        <x:f>IFERROR(INDEX('55_Codificacion_ensayo'!$B$5:$B$13,MATCH(B46,'55_Codificacion_ensayo'!$A$5:$A$13,0)),"")</x:f>
        <x:v>TERMINACION-GENERACION-PROCESO-0.1</x:v>
      </x:c>
      <x:c r="U46" s="12" t="str">
        <x:f>IFERROR(INDEX('55_Codificacion_ensayo'!$C$5:$C$13,MATCH(B46,'55_Codificacion_ensayo'!$A$5:$A$13,0)),"")</x:f>
        <x:v>CICLO_GENERACION</x:v>
      </x:c>
      <x:c r="V46" s="12" t="str">
        <x:f>IFERROR(INDEX('55_Codificacion_ensayo'!$D$5:$D$13,MATCH(B46,'55_Codificacion_ensayo'!$A$5:$A$13,0)),"")</x:f>
        <x:v>ORDEN_ACREDITADO</x:v>
      </x:c>
      <x:c r="W46" s="12" t="str">
        <x:f>IFERROR(INDEX('55_Codificacion_ensayo'!$E$5:$E$13,MATCH(B46,'55_Codificacion_ensayo'!$A$5:$A$13,0)),"")</x:f>
        <x:v>EVENTO_PROC</x:v>
      </x:c>
      <x:c r="X46" s="12" t="str">
        <x:f>IFERROR(INDEX('55_Codificacion_ensayo'!$F$5:$F$13,MATCH(B46,'55_Codificacion_ensayo'!$A$5:$A$13,0)),"")</x:f>
        <x:v>TERMINADA</x:v>
      </x:c>
      <x:c r="Y46" s="12" t="str">
        <x:f>IFERROR(INDEX('55_Codificacion_ensayo'!$G$5:$G$13,MATCH(B46,'55_Codificacion_ensayo'!$A$5:$A$13,0)),"")</x:f>
      </x:c>
      <x:c r="Z46" s="12" t="str">
        <x:f>IFERROR(INDEX('55_Codificacion_ensayo'!$H$5:$H$13,MATCH(B46,'55_Codificacion_ensayo'!$A$5:$A$13,0)),"")</x:f>
        <x:v>NINGUNO</x:v>
      </x:c>
      <x:c r="AA46" s="12" t="str">
        <x:f>IFERROR(INDEX('55_Codificacion_ensayo'!$I$5:$I$13,MATCH(B46,'55_Codificacion_ensayo'!$A$5:$A$13,0)),"")</x:f>
        <x:v>GENERACION_TERMINADA</x:v>
      </x:c>
      <x:c r="AB46" s="12" t="str">
        <x:f>IFERROR(INDEX('55_Codificacion_ensayo'!$J$5:$J$13,MATCH(B46,'55_Codificacion_ensayo'!$A$5:$A$13,0)),"")</x:f>
        <x:v>SIN_TERMINACION</x:v>
      </x:c>
    </x:row>
    <x:row r="47" ht="47" customHeight="1">
      <x:c r="A47" s="4" t="str">
        <x:v>L10-05-03</x:v>
      </x:c>
      <x:c r="B47" s="4" t="str">
        <x:v>PAR-CYB-GENERACION-PROCESO-TERMINADA-001</x:v>
      </x:c>
      <x:c r="C47" s="4" t="str">
        <x:v>TERMINACION-GENERACION-PROCESO-0.1</x:v>
      </x:c>
      <x:c r="D47" s="4" t="str">
        <x:v>COINCIDE</x:v>
      </x:c>
      <x:c r="E47" s="4" t="str">
        <x:v>LEGIBLE</x:v>
      </x:c>
      <x:c r="F47" s="4" t="str">
        <x:v>CICLO_GENERACION</x:v>
      </x:c>
      <x:c r="G47" s="4" t="str">
        <x:v>AUSENTE</x:v>
      </x:c>
      <x:c r="H47" s="4" t="str"/>
      <x:c r="I47" s="4" t="str"/>
      <x:c r="J47" s="4" t="str">
        <x:v>COMPLETA</x:v>
      </x:c>
      <x:c r="K47" s="4" t="str">
        <x:v>ORDEN_ACREDITADO</x:v>
      </x:c>
      <x:c r="L47" s="4" t="str">
        <x:v>VALIDA</x:v>
      </x:c>
      <x:c r="M47" s="4" t="str">
        <x:v>U</x:v>
      </x:c>
      <x:c r="N47" s="4" t="str">
        <x:v>DATO_AUSENTE</x:v>
      </x:c>
      <x:c r="O47" s="12" t="str">
        <x:f>IF(Q47="SIN_EJECUCION_DOMINIO","FALLO_CAPTURA",IF(OR(Q47="CAPTURA_MAL_FORMADA",Q47="IDENTIDAD",Q47="OBSERVACION_MAL_FORMADA",Q47="LEXEMA_O_FORMA"),"NO_ADMISION",IF(OR(Q47="PERFIL_NO_CONSTITUIDO",Q47="RESULTADO_NO_TERMINAL"),"FUERA_PERFIL",IF(Q47="CONTEXTO_NO_CONSTITUIDO","CONFIGURACION_PENDIENTE","VALIDA"))))</x:f>
        <x:v>VALIDA</x:v>
      </x:c>
      <x:c r="P47" s="12" t="str">
        <x:f>IF(O47&lt;&gt;"VALIDA","",IF(Q47=AA47,"1",IF(Q47=AB47,"0","U")))</x:f>
        <x:v>U</x:v>
      </x:c>
      <x:c r="Q47" s="12" t="str">
        <x:f>IF(E47="FALLO","SIN_EJECUCION_DOMINIO",IF(E47&lt;&gt;"LEGIBLE","CAPTURA_MAL_FORMADA",IF(D47&lt;&gt;"COINCIDE","IDENTIDAD",IF(OR(T47="",C47&lt;&gt;T47),"PERFIL_NO_CONSTITUIDO",IF(K47&lt;&gt;V47,IF(V47="ORDEN_ACREDITADO","ORDEN_NO_ACREDITADO","CONTEXTO_NO_CONSTITUIDO"),IF(AND(G47="AUSENTE",H47="",I47=""),"DATO_AUSENTE",IF(AND(G47="CONFLICTO",H47="",I47=""),"CONFLICTO_OBSERVACIONAL",IF(G47&lt;&gt;"UNICA","OBSERVACION_MAL_FORMADA",IF(F47&lt;&gt;U47,"OBSERVACION_INSUFICIENTE",IF(W47="RESULTADO",IF(H47=X47,AA47,IF(OR(H47="orcSucceededWithErrors",H47="orcFailed",H47="orcAborted"),AB47,IF(OR(H47="orcNotStarted",H47="orcInProgress"),"RESULTADO_NO_TERMINAL","LEXEMA_O_FORMA"))),IF(W47="EVENTO_BOOT",IF(H47=X47,AA47,IF(OR(H47="NINGUNO",H47="SOLO_HIBRIDO"),IF(J47="COMPLETA",AB47,"COBERTURA_INSUFICIENTE"),"LEXEMA_O_FORMA")),IF(W47="REQUISITO_SOFT",IF(H47=X47,AA47,IF(H47=Z47,AB47,"LEXEMA_O_FORMA")),IF(W47="EVENTO_PROC",IF(H47=X47,AA47,IF(H47=Z47,IF(J47="COMPLETA",AB47,"COBERTURA_INSUFICIENTE"),"LEXEMA_O_FORMA")),IF(W47="IMAGEN",IF(AND(AND(ISTEXT(H47),LEN(("x"&amp;H47))=65,EXACT(("x"&amp;H47),LOWER(("x"&amp;H47))),ISERROR(SEARCH(" ",("x"&amp;H47))),ISERROR(SEARCH(CHAR(9),("x"&amp;H47))),ISERROR(SEARCH(CHAR(10),("x"&amp;H47))),ISERROR(SEARCH(CHAR(13),("x"&amp;H47))),IFERROR(HEX2DEC(MID(("x"&amp;H47),2,8))&gt;=0,FALSE),IFERROR(HEX2DEC(MID(("x"&amp;H47),10,8))&gt;=0,FALSE),IFERROR(HEX2DEC(MID(("x"&amp;H47),18,8))&gt;=0,FALSE),IFERROR(HEX2DEC(MID(("x"&amp;H47),26,8))&gt;=0,FALSE),IFERROR(HEX2DEC(MID(("x"&amp;H47),34,8))&gt;=0,FALSE),IFERROR(HEX2DEC(MID(("x"&amp;H47),42,8))&gt;=0,FALSE),IFERROR(HEX2DEC(MID(("x"&amp;H47),50,8))&gt;=0,FALSE),IFERROR(HEX2DEC(MID(("x"&amp;H47),58,8))&gt;=0,FALSE)),AND(ISTEXT(I47),LEN(("x"&amp;I47))=65,EXACT(("x"&amp;I47),LOWER(("x"&amp;I47))),ISERROR(SEARCH(" ",("x"&amp;I47))),ISERROR(SEARCH(CHAR(9),("x"&amp;I47))),ISERROR(SEARCH(CHAR(10),("x"&amp;I47))),ISERROR(SEARCH(CHAR(13),("x"&amp;I47))),IFERROR(HEX2DEC(MID(("x"&amp;I47),2,8))&gt;=0,FALSE),IFERROR(HEX2DEC(MID(("x"&amp;I47),10,8))&gt;=0,FALSE),IFERROR(HEX2DEC(MID(("x"&amp;I47),18,8))&gt;=0,FALSE),IFERROR(HEX2DEC(MID(("x"&amp;I47),26,8))&gt;=0,FALSE),IFERROR(HEX2DEC(MID(("x"&amp;I47),34,8))&gt;=0,FALSE),IFERROR(HEX2DEC(MID(("x"&amp;I47),42,8))&gt;=0,FALSE),IFERROR(HEX2DEC(MID(("x"&amp;I47),50,8))&gt;=0,FALSE),IFERROR(HEX2DEC(MID(("x"&amp;I47),58,8))&gt;=0,FALSE))),IF(EXACT("x"&amp;H47,"x"&amp;I47),AA47,AB47),"LEXEMA_O_FORMA"),IF(W47="PRUEBA",IF(H47=X47,AA47,IF(H47=Z47,AB47,"LEXEMA_O_FORMA")),IF(W47="RETIRADA",IF(AND(H47="NINGUNO",I47=""),IF(J47="COMPLETA",AB47,"COBERTURA_INSUFICIENTE"),IF(AND(OR(H47="uoInstallation",H47="uoUninstallation"),OR(I47="orcSucceeded",I47="orcSucceededWithErrors",I47="orcFailed",I47="orcAborted",I47="orcInProgress",I47="orcNotStarted")),IF(AND(H47=X47,I47=Y47),AA47,IF(AND(H47=X47,OR(I47="orcSucceededWithErrors",I47="orcInProgress",I47="orcNotStarted")),"RESULTADO_RETIRADA_INCIERTO",IF(J47="COMPLETA",AB47,"COBERTURA_INSUFICIENTE"))),"LEXEMA_O_FORMA")),IF(W47="CAMBIO",IF(OR(H47="CAMBIO",H47="CAMBIO_Y_RETORNO"),AA47,IF(OR(H47="NINGUNO",H47="SOLO_RENOMBRE"),IF(J47="COMPLETA",AB47,"COBERTURA_INSUFICIENTE"),"LEXEMA_O_FORMA")),IF(W47="RESTAURACION",IF(H47=X47,AA47,IF(OR(H47="NINGUNO",H47="RESTAURACION_POSTERIOR",H47="RESTAURACION_FALLIDA"),IF(J47="COMPLETA",AB47,"COBERTURA_INSUFICIENTE"),"LEXEMA_O_FORMA")),"PERFIL_NO_CONSTITUIDO"))))))))))))))))))</x:f>
        <x:v>DATO_AUSENTE</x:v>
      </x:c>
      <x:c r="R47" s="12" t="str">
        <x:f>IF(AND(L47=O47,M47=P47,N47=Q47),"PASA","NO_PASA")</x:f>
        <x:v>PASA</x:v>
      </x:c>
      <x:c r="S47" s="4" t="str">
        <x:v>Documento declara que falta la observación, sin convertir ausencia en 0.</x:v>
      </x:c>
      <x:c r="T47" s="12" t="str">
        <x:f>IFERROR(INDEX('55_Codificacion_ensayo'!$B$5:$B$13,MATCH(B47,'55_Codificacion_ensayo'!$A$5:$A$13,0)),"")</x:f>
        <x:v>TERMINACION-GENERACION-PROCESO-0.1</x:v>
      </x:c>
      <x:c r="U47" s="12" t="str">
        <x:f>IFERROR(INDEX('55_Codificacion_ensayo'!$C$5:$C$13,MATCH(B47,'55_Codificacion_ensayo'!$A$5:$A$13,0)),"")</x:f>
        <x:v>CICLO_GENERACION</x:v>
      </x:c>
      <x:c r="V47" s="12" t="str">
        <x:f>IFERROR(INDEX('55_Codificacion_ensayo'!$D$5:$D$13,MATCH(B47,'55_Codificacion_ensayo'!$A$5:$A$13,0)),"")</x:f>
        <x:v>ORDEN_ACREDITADO</x:v>
      </x:c>
      <x:c r="W47" s="12" t="str">
        <x:f>IFERROR(INDEX('55_Codificacion_ensayo'!$E$5:$E$13,MATCH(B47,'55_Codificacion_ensayo'!$A$5:$A$13,0)),"")</x:f>
        <x:v>EVENTO_PROC</x:v>
      </x:c>
      <x:c r="X47" s="12" t="str">
        <x:f>IFERROR(INDEX('55_Codificacion_ensayo'!$F$5:$F$13,MATCH(B47,'55_Codificacion_ensayo'!$A$5:$A$13,0)),"")</x:f>
        <x:v>TERMINADA</x:v>
      </x:c>
      <x:c r="Y47" s="12" t="str">
        <x:f>IFERROR(INDEX('55_Codificacion_ensayo'!$G$5:$G$13,MATCH(B47,'55_Codificacion_ensayo'!$A$5:$A$13,0)),"")</x:f>
      </x:c>
      <x:c r="Z47" s="12" t="str">
        <x:f>IFERROR(INDEX('55_Codificacion_ensayo'!$H$5:$H$13,MATCH(B47,'55_Codificacion_ensayo'!$A$5:$A$13,0)),"")</x:f>
        <x:v>NINGUNO</x:v>
      </x:c>
      <x:c r="AA47" s="12" t="str">
        <x:f>IFERROR(INDEX('55_Codificacion_ensayo'!$I$5:$I$13,MATCH(B47,'55_Codificacion_ensayo'!$A$5:$A$13,0)),"")</x:f>
        <x:v>GENERACION_TERMINADA</x:v>
      </x:c>
      <x:c r="AB47" s="12" t="str">
        <x:f>IFERROR(INDEX('55_Codificacion_ensayo'!$J$5:$J$13,MATCH(B47,'55_Codificacion_ensayo'!$A$5:$A$13,0)),"")</x:f>
        <x:v>SIN_TERMINACION</x:v>
      </x:c>
    </x:row>
    <x:row r="48" ht="47" customHeight="1">
      <x:c r="A48" s="4" t="str">
        <x:v>L10-05-04</x:v>
      </x:c>
      <x:c r="B48" s="4" t="str">
        <x:v>PAR-CYB-GENERACION-PROCESO-TERMINADA-001</x:v>
      </x:c>
      <x:c r="C48" s="4" t="str">
        <x:v>TERMINACION-GENERACION-PROCESO-0.1</x:v>
      </x:c>
      <x:c r="D48" s="4" t="str">
        <x:v>COINCIDE</x:v>
      </x:c>
      <x:c r="E48" s="4" t="str">
        <x:v>LEGIBLE</x:v>
      </x:c>
      <x:c r="F48" s="4" t="str">
        <x:v>CICLO_GENERACION</x:v>
      </x:c>
      <x:c r="G48" s="4" t="str">
        <x:v>CONFLICTO</x:v>
      </x:c>
      <x:c r="H48" s="4" t="str"/>
      <x:c r="I48" s="4" t="str"/>
      <x:c r="J48" s="4" t="str">
        <x:v>COMPLETA</x:v>
      </x:c>
      <x:c r="K48" s="4" t="str">
        <x:v>ORDEN_ACREDITADO</x:v>
      </x:c>
      <x:c r="L48" s="4" t="str">
        <x:v>VALIDA</x:v>
      </x:c>
      <x:c r="M48" s="4" t="str">
        <x:v>U</x:v>
      </x:c>
      <x:c r="N48" s="4" t="str">
        <x:v>CONFLICTO_OBSERVACIONAL</x:v>
      </x:c>
      <x:c r="O48" s="12" t="str">
        <x:f>IF(Q48="SIN_EJECUCION_DOMINIO","FALLO_CAPTURA",IF(OR(Q48="CAPTURA_MAL_FORMADA",Q48="IDENTIDAD",Q48="OBSERVACION_MAL_FORMADA",Q48="LEXEMA_O_FORMA"),"NO_ADMISION",IF(OR(Q48="PERFIL_NO_CONSTITUIDO",Q48="RESULTADO_NO_TERMINAL"),"FUERA_PERFIL",IF(Q48="CONTEXTO_NO_CONSTITUIDO","CONFIGURACION_PENDIENTE","VALIDA"))))</x:f>
        <x:v>VALIDA</x:v>
      </x:c>
      <x:c r="P48" s="12" t="str">
        <x:f>IF(O48&lt;&gt;"VALIDA","",IF(Q48=AA48,"1",IF(Q48=AB48,"0","U")))</x:f>
        <x:v>U</x:v>
      </x:c>
      <x:c r="Q48" s="12" t="str">
        <x:f>IF(E48="FALLO","SIN_EJECUCION_DOMINIO",IF(E48&lt;&gt;"LEGIBLE","CAPTURA_MAL_FORMADA",IF(D48&lt;&gt;"COINCIDE","IDENTIDAD",IF(OR(T48="",C48&lt;&gt;T48),"PERFIL_NO_CONSTITUIDO",IF(K48&lt;&gt;V48,IF(V48="ORDEN_ACREDITADO","ORDEN_NO_ACREDITADO","CONTEXTO_NO_CONSTITUIDO"),IF(AND(G48="AUSENTE",H48="",I48=""),"DATO_AUSENTE",IF(AND(G48="CONFLICTO",H48="",I48=""),"CONFLICTO_OBSERVACIONAL",IF(G48&lt;&gt;"UNICA","OBSERVACION_MAL_FORMADA",IF(F48&lt;&gt;U48,"OBSERVACION_INSUFICIENTE",IF(W48="RESULTADO",IF(H48=X48,AA48,IF(OR(H48="orcSucceededWithErrors",H48="orcFailed",H48="orcAborted"),AB48,IF(OR(H48="orcNotStarted",H48="orcInProgress"),"RESULTADO_NO_TERMINAL","LEXEMA_O_FORMA"))),IF(W48="EVENTO_BOOT",IF(H48=X48,AA48,IF(OR(H48="NINGUNO",H48="SOLO_HIBRIDO"),IF(J48="COMPLETA",AB48,"COBERTURA_INSUFICIENTE"),"LEXEMA_O_FORMA")),IF(W48="REQUISITO_SOFT",IF(H48=X48,AA48,IF(H48=Z48,AB48,"LEXEMA_O_FORMA")),IF(W48="EVENTO_PROC",IF(H48=X48,AA48,IF(H48=Z48,IF(J48="COMPLETA",AB48,"COBERTURA_INSUFICIENTE"),"LEXEMA_O_FORMA")),IF(W48="IMAGEN",IF(AND(AND(ISTEXT(H48),LEN(("x"&amp;H48))=65,EXACT(("x"&amp;H48),LOWER(("x"&amp;H48))),ISERROR(SEARCH(" ",("x"&amp;H48))),ISERROR(SEARCH(CHAR(9),("x"&amp;H48))),ISERROR(SEARCH(CHAR(10),("x"&amp;H48))),ISERROR(SEARCH(CHAR(13),("x"&amp;H48))),IFERROR(HEX2DEC(MID(("x"&amp;H48),2,8))&gt;=0,FALSE),IFERROR(HEX2DEC(MID(("x"&amp;H48),10,8))&gt;=0,FALSE),IFERROR(HEX2DEC(MID(("x"&amp;H48),18,8))&gt;=0,FALSE),IFERROR(HEX2DEC(MID(("x"&amp;H48),26,8))&gt;=0,FALSE),IFERROR(HEX2DEC(MID(("x"&amp;H48),34,8))&gt;=0,FALSE),IFERROR(HEX2DEC(MID(("x"&amp;H48),42,8))&gt;=0,FALSE),IFERROR(HEX2DEC(MID(("x"&amp;H48),50,8))&gt;=0,FALSE),IFERROR(HEX2DEC(MID(("x"&amp;H48),58,8))&gt;=0,FALSE)),AND(ISTEXT(I48),LEN(("x"&amp;I48))=65,EXACT(("x"&amp;I48),LOWER(("x"&amp;I48))),ISERROR(SEARCH(" ",("x"&amp;I48))),ISERROR(SEARCH(CHAR(9),("x"&amp;I48))),ISERROR(SEARCH(CHAR(10),("x"&amp;I48))),ISERROR(SEARCH(CHAR(13),("x"&amp;I48))),IFERROR(HEX2DEC(MID(("x"&amp;I48),2,8))&gt;=0,FALSE),IFERROR(HEX2DEC(MID(("x"&amp;I48),10,8))&gt;=0,FALSE),IFERROR(HEX2DEC(MID(("x"&amp;I48),18,8))&gt;=0,FALSE),IFERROR(HEX2DEC(MID(("x"&amp;I48),26,8))&gt;=0,FALSE),IFERROR(HEX2DEC(MID(("x"&amp;I48),34,8))&gt;=0,FALSE),IFERROR(HEX2DEC(MID(("x"&amp;I48),42,8))&gt;=0,FALSE),IFERROR(HEX2DEC(MID(("x"&amp;I48),50,8))&gt;=0,FALSE),IFERROR(HEX2DEC(MID(("x"&amp;I48),58,8))&gt;=0,FALSE))),IF(EXACT("x"&amp;H48,"x"&amp;I48),AA48,AB48),"LEXEMA_O_FORMA"),IF(W48="PRUEBA",IF(H48=X48,AA48,IF(H48=Z48,AB48,"LEXEMA_O_FORMA")),IF(W48="RETIRADA",IF(AND(H48="NINGUNO",I48=""),IF(J48="COMPLETA",AB48,"COBERTURA_INSUFICIENTE"),IF(AND(OR(H48="uoInstallation",H48="uoUninstallation"),OR(I48="orcSucceeded",I48="orcSucceededWithErrors",I48="orcFailed",I48="orcAborted",I48="orcInProgress",I48="orcNotStarted")),IF(AND(H48=X48,I48=Y48),AA48,IF(AND(H48=X48,OR(I48="orcSucceededWithErrors",I48="orcInProgress",I48="orcNotStarted")),"RESULTADO_RETIRADA_INCIERTO",IF(J48="COMPLETA",AB48,"COBERTURA_INSUFICIENTE"))),"LEXEMA_O_FORMA")),IF(W48="CAMBIO",IF(OR(H48="CAMBIO",H48="CAMBIO_Y_RETORNO"),AA48,IF(OR(H48="NINGUNO",H48="SOLO_RENOMBRE"),IF(J48="COMPLETA",AB48,"COBERTURA_INSUFICIENTE"),"LEXEMA_O_FORMA")),IF(W48="RESTAURACION",IF(H48=X48,AA48,IF(OR(H48="NINGUNO",H48="RESTAURACION_POSTERIOR",H48="RESTAURACION_FALLIDA"),IF(J48="COMPLETA",AB48,"COBERTURA_INSUFICIENTE"),"LEXEMA_O_FORMA")),"PERFIL_NO_CONSTITUIDO"))))))))))))))))))</x:f>
        <x:v>CONFLICTO_OBSERVACIONAL</x:v>
      </x:c>
      <x:c r="R48" s="12" t="str">
        <x:f>IF(AND(L48=O48,M48=P48,N48=Q48),"PASA","NO_PASA")</x:f>
        <x:v>PASA</x:v>
      </x:c>
      <x:c r="S48" s="4" t="str">
        <x:v>Conflicto entre observaciones admitidas del mismo sujeto y corte.</x:v>
      </x:c>
      <x:c r="T48" s="12" t="str">
        <x:f>IFERROR(INDEX('55_Codificacion_ensayo'!$B$5:$B$13,MATCH(B48,'55_Codificacion_ensayo'!$A$5:$A$13,0)),"")</x:f>
        <x:v>TERMINACION-GENERACION-PROCESO-0.1</x:v>
      </x:c>
      <x:c r="U48" s="12" t="str">
        <x:f>IFERROR(INDEX('55_Codificacion_ensayo'!$C$5:$C$13,MATCH(B48,'55_Codificacion_ensayo'!$A$5:$A$13,0)),"")</x:f>
        <x:v>CICLO_GENERACION</x:v>
      </x:c>
      <x:c r="V48" s="12" t="str">
        <x:f>IFERROR(INDEX('55_Codificacion_ensayo'!$D$5:$D$13,MATCH(B48,'55_Codificacion_ensayo'!$A$5:$A$13,0)),"")</x:f>
        <x:v>ORDEN_ACREDITADO</x:v>
      </x:c>
      <x:c r="W48" s="12" t="str">
        <x:f>IFERROR(INDEX('55_Codificacion_ensayo'!$E$5:$E$13,MATCH(B48,'55_Codificacion_ensayo'!$A$5:$A$13,0)),"")</x:f>
        <x:v>EVENTO_PROC</x:v>
      </x:c>
      <x:c r="X48" s="12" t="str">
        <x:f>IFERROR(INDEX('55_Codificacion_ensayo'!$F$5:$F$13,MATCH(B48,'55_Codificacion_ensayo'!$A$5:$A$13,0)),"")</x:f>
        <x:v>TERMINADA</x:v>
      </x:c>
      <x:c r="Y48" s="12" t="str">
        <x:f>IFERROR(INDEX('55_Codificacion_ensayo'!$G$5:$G$13,MATCH(B48,'55_Codificacion_ensayo'!$A$5:$A$13,0)),"")</x:f>
      </x:c>
      <x:c r="Z48" s="12" t="str">
        <x:f>IFERROR(INDEX('55_Codificacion_ensayo'!$H$5:$H$13,MATCH(B48,'55_Codificacion_ensayo'!$A$5:$A$13,0)),"")</x:f>
        <x:v>NINGUNO</x:v>
      </x:c>
      <x:c r="AA48" s="12" t="str">
        <x:f>IFERROR(INDEX('55_Codificacion_ensayo'!$I$5:$I$13,MATCH(B48,'55_Codificacion_ensayo'!$A$5:$A$13,0)),"")</x:f>
        <x:v>GENERACION_TERMINADA</x:v>
      </x:c>
      <x:c r="AB48" s="12" t="str">
        <x:f>IFERROR(INDEX('55_Codificacion_ensayo'!$J$5:$J$13,MATCH(B48,'55_Codificacion_ensayo'!$A$5:$A$13,0)),"")</x:f>
        <x:v>SIN_TERMINACION</x:v>
      </x:c>
    </x:row>
    <x:row r="49" ht="47" customHeight="1">
      <x:c r="A49" s="4" t="str">
        <x:v>L10-05-05</x:v>
      </x:c>
      <x:c r="B49" s="4" t="str">
        <x:v>PAR-CYB-GENERACION-PROCESO-TERMINADA-001</x:v>
      </x:c>
      <x:c r="C49" s="4" t="str">
        <x:v>TERMINACION-GENERACION-PROCESO-0.1</x:v>
      </x:c>
      <x:c r="D49" s="4" t="str">
        <x:v>COINCIDE</x:v>
      </x:c>
      <x:c r="E49" s="4" t="str">
        <x:v>FALLO</x:v>
      </x:c>
      <x:c r="F49" s="4" t="str">
        <x:v>CICLO_GENERACION</x:v>
      </x:c>
      <x:c r="G49" s="4" t="str">
        <x:v>UNICA</x:v>
      </x:c>
      <x:c r="H49" s="4" t="str">
        <x:v>TERMINADA</x:v>
      </x:c>
      <x:c r="I49" s="4" t="str"/>
      <x:c r="J49" s="4" t="str">
        <x:v>COMPLETA</x:v>
      </x:c>
      <x:c r="K49" s="4" t="str">
        <x:v>ORDEN_ACREDITADO</x:v>
      </x:c>
      <x:c r="L49" s="4" t="str">
        <x:v>FALLO_CAPTURA</x:v>
      </x:c>
      <x:c r="M49" s="4" t="str"/>
      <x:c r="N49" s="4" t="str">
        <x:v>SIN_EJECUCION_DOMINIO</x:v>
      </x:c>
      <x:c r="O49" s="12" t="str">
        <x:f>IF(Q49="SIN_EJECUCION_DOMINIO","FALLO_CAPTURA",IF(OR(Q49="CAPTURA_MAL_FORMADA",Q49="IDENTIDAD",Q49="OBSERVACION_MAL_FORMADA",Q49="LEXEMA_O_FORMA"),"NO_ADMISION",IF(OR(Q49="PERFIL_NO_CONSTITUIDO",Q49="RESULTADO_NO_TERMINAL"),"FUERA_PERFIL",IF(Q49="CONTEXTO_NO_CONSTITUIDO","CONFIGURACION_PENDIENTE","VALIDA"))))</x:f>
        <x:v>FALLO_CAPTURA</x:v>
      </x:c>
      <x:c r="P49" s="12" t="str">
        <x:f>IF(O49&lt;&gt;"VALIDA","",IF(Q49=AA49,"1",IF(Q49=AB49,"0","U")))</x:f>
      </x:c>
      <x:c r="Q49" s="12" t="str">
        <x:f>IF(E49="FALLO","SIN_EJECUCION_DOMINIO",IF(E49&lt;&gt;"LEGIBLE","CAPTURA_MAL_FORMADA",IF(D49&lt;&gt;"COINCIDE","IDENTIDAD",IF(OR(T49="",C49&lt;&gt;T49),"PERFIL_NO_CONSTITUIDO",IF(K49&lt;&gt;V49,IF(V49="ORDEN_ACREDITADO","ORDEN_NO_ACREDITADO","CONTEXTO_NO_CONSTITUIDO"),IF(AND(G49="AUSENTE",H49="",I49=""),"DATO_AUSENTE",IF(AND(G49="CONFLICTO",H49="",I49=""),"CONFLICTO_OBSERVACIONAL",IF(G49&lt;&gt;"UNICA","OBSERVACION_MAL_FORMADA",IF(F49&lt;&gt;U49,"OBSERVACION_INSUFICIENTE",IF(W49="RESULTADO",IF(H49=X49,AA49,IF(OR(H49="orcSucceededWithErrors",H49="orcFailed",H49="orcAborted"),AB49,IF(OR(H49="orcNotStarted",H49="orcInProgress"),"RESULTADO_NO_TERMINAL","LEXEMA_O_FORMA"))),IF(W49="EVENTO_BOOT",IF(H49=X49,AA49,IF(OR(H49="NINGUNO",H49="SOLO_HIBRIDO"),IF(J49="COMPLETA",AB49,"COBERTURA_INSUFICIENTE"),"LEXEMA_O_FORMA")),IF(W49="REQUISITO_SOFT",IF(H49=X49,AA49,IF(H49=Z49,AB49,"LEXEMA_O_FORMA")),IF(W49="EVENTO_PROC",IF(H49=X49,AA49,IF(H49=Z49,IF(J49="COMPLETA",AB49,"COBERTURA_INSUFICIENTE"),"LEXEMA_O_FORMA")),IF(W49="IMAGEN",IF(AND(AND(ISTEXT(H49),LEN(("x"&amp;H49))=65,EXACT(("x"&amp;H49),LOWER(("x"&amp;H49))),ISERROR(SEARCH(" ",("x"&amp;H49))),ISERROR(SEARCH(CHAR(9),("x"&amp;H49))),ISERROR(SEARCH(CHAR(10),("x"&amp;H49))),ISERROR(SEARCH(CHAR(13),("x"&amp;H49))),IFERROR(HEX2DEC(MID(("x"&amp;H49),2,8))&gt;=0,FALSE),IFERROR(HEX2DEC(MID(("x"&amp;H49),10,8))&gt;=0,FALSE),IFERROR(HEX2DEC(MID(("x"&amp;H49),18,8))&gt;=0,FALSE),IFERROR(HEX2DEC(MID(("x"&amp;H49),26,8))&gt;=0,FALSE),IFERROR(HEX2DEC(MID(("x"&amp;H49),34,8))&gt;=0,FALSE),IFERROR(HEX2DEC(MID(("x"&amp;H49),42,8))&gt;=0,FALSE),IFERROR(HEX2DEC(MID(("x"&amp;H49),50,8))&gt;=0,FALSE),IFERROR(HEX2DEC(MID(("x"&amp;H49),58,8))&gt;=0,FALSE)),AND(ISTEXT(I49),LEN(("x"&amp;I49))=65,EXACT(("x"&amp;I49),LOWER(("x"&amp;I49))),ISERROR(SEARCH(" ",("x"&amp;I49))),ISERROR(SEARCH(CHAR(9),("x"&amp;I49))),ISERROR(SEARCH(CHAR(10),("x"&amp;I49))),ISERROR(SEARCH(CHAR(13),("x"&amp;I49))),IFERROR(HEX2DEC(MID(("x"&amp;I49),2,8))&gt;=0,FALSE),IFERROR(HEX2DEC(MID(("x"&amp;I49),10,8))&gt;=0,FALSE),IFERROR(HEX2DEC(MID(("x"&amp;I49),18,8))&gt;=0,FALSE),IFERROR(HEX2DEC(MID(("x"&amp;I49),26,8))&gt;=0,FALSE),IFERROR(HEX2DEC(MID(("x"&amp;I49),34,8))&gt;=0,FALSE),IFERROR(HEX2DEC(MID(("x"&amp;I49),42,8))&gt;=0,FALSE),IFERROR(HEX2DEC(MID(("x"&amp;I49),50,8))&gt;=0,FALSE),IFERROR(HEX2DEC(MID(("x"&amp;I49),58,8))&gt;=0,FALSE))),IF(EXACT("x"&amp;H49,"x"&amp;I49),AA49,AB49),"LEXEMA_O_FORMA"),IF(W49="PRUEBA",IF(H49=X49,AA49,IF(H49=Z49,AB49,"LEXEMA_O_FORMA")),IF(W49="RETIRADA",IF(AND(H49="NINGUNO",I49=""),IF(J49="COMPLETA",AB49,"COBERTURA_INSUFICIENTE"),IF(AND(OR(H49="uoInstallation",H49="uoUninstallation"),OR(I49="orcSucceeded",I49="orcSucceededWithErrors",I49="orcFailed",I49="orcAborted",I49="orcInProgress",I49="orcNotStarted")),IF(AND(H49=X49,I49=Y49),AA49,IF(AND(H49=X49,OR(I49="orcSucceededWithErrors",I49="orcInProgress",I49="orcNotStarted")),"RESULTADO_RETIRADA_INCIERTO",IF(J49="COMPLETA",AB49,"COBERTURA_INSUFICIENTE"))),"LEXEMA_O_FORMA")),IF(W49="CAMBIO",IF(OR(H49="CAMBIO",H49="CAMBIO_Y_RETORNO"),AA49,IF(OR(H49="NINGUNO",H49="SOLO_RENOMBRE"),IF(J49="COMPLETA",AB49,"COBERTURA_INSUFICIENTE"),"LEXEMA_O_FORMA")),IF(W49="RESTAURACION",IF(H49=X49,AA49,IF(OR(H49="NINGUNO",H49="RESTAURACION_POSTERIOR",H49="RESTAURACION_FALLIDA"),IF(J49="COMPLETA",AB49,"COBERTURA_INSUFICIENTE"),"LEXEMA_O_FORMA")),"PERFIL_NO_CONSTITUIDO"))))))))))))))))))</x:f>
        <x:v>SIN_EJECUCION_DOMINIO</x:v>
      </x:c>
      <x:c r="R49" s="12" t="str">
        <x:f>IF(AND(L49=O49,M49=P49,N49=Q49),"PASA","NO_PASA")</x:f>
        <x:v>PASA</x:v>
      </x:c>
      <x:c r="S49" s="4" t="str">
        <x:v>El observador falla; no existe ejecución de dominio ni Tri alternativo.</x:v>
      </x:c>
      <x:c r="T49" s="12" t="str">
        <x:f>IFERROR(INDEX('55_Codificacion_ensayo'!$B$5:$B$13,MATCH(B49,'55_Codificacion_ensayo'!$A$5:$A$13,0)),"")</x:f>
        <x:v>TERMINACION-GENERACION-PROCESO-0.1</x:v>
      </x:c>
      <x:c r="U49" s="12" t="str">
        <x:f>IFERROR(INDEX('55_Codificacion_ensayo'!$C$5:$C$13,MATCH(B49,'55_Codificacion_ensayo'!$A$5:$A$13,0)),"")</x:f>
        <x:v>CICLO_GENERACION</x:v>
      </x:c>
      <x:c r="V49" s="12" t="str">
        <x:f>IFERROR(INDEX('55_Codificacion_ensayo'!$D$5:$D$13,MATCH(B49,'55_Codificacion_ensayo'!$A$5:$A$13,0)),"")</x:f>
        <x:v>ORDEN_ACREDITADO</x:v>
      </x:c>
      <x:c r="W49" s="12" t="str">
        <x:f>IFERROR(INDEX('55_Codificacion_ensayo'!$E$5:$E$13,MATCH(B49,'55_Codificacion_ensayo'!$A$5:$A$13,0)),"")</x:f>
        <x:v>EVENTO_PROC</x:v>
      </x:c>
      <x:c r="X49" s="12" t="str">
        <x:f>IFERROR(INDEX('55_Codificacion_ensayo'!$F$5:$F$13,MATCH(B49,'55_Codificacion_ensayo'!$A$5:$A$13,0)),"")</x:f>
        <x:v>TERMINADA</x:v>
      </x:c>
      <x:c r="Y49" s="12" t="str">
        <x:f>IFERROR(INDEX('55_Codificacion_ensayo'!$G$5:$G$13,MATCH(B49,'55_Codificacion_ensayo'!$A$5:$A$13,0)),"")</x:f>
      </x:c>
      <x:c r="Z49" s="12" t="str">
        <x:f>IFERROR(INDEX('55_Codificacion_ensayo'!$H$5:$H$13,MATCH(B49,'55_Codificacion_ensayo'!$A$5:$A$13,0)),"")</x:f>
        <x:v>NINGUNO</x:v>
      </x:c>
      <x:c r="AA49" s="12" t="str">
        <x:f>IFERROR(INDEX('55_Codificacion_ensayo'!$I$5:$I$13,MATCH(B49,'55_Codificacion_ensayo'!$A$5:$A$13,0)),"")</x:f>
        <x:v>GENERACION_TERMINADA</x:v>
      </x:c>
      <x:c r="AB49" s="12" t="str">
        <x:f>IFERROR(INDEX('55_Codificacion_ensayo'!$J$5:$J$13,MATCH(B49,'55_Codificacion_ensayo'!$A$5:$A$13,0)),"")</x:f>
        <x:v>SIN_TERMINACION</x:v>
      </x:c>
    </x:row>
    <x:row r="50" ht="47" customHeight="1">
      <x:c r="A50" s="4" t="str">
        <x:v>L10-05-06</x:v>
      </x:c>
      <x:c r="B50" s="4" t="str">
        <x:v>PAR-CYB-GENERACION-PROCESO-TERMINADA-001</x:v>
      </x:c>
      <x:c r="C50" s="4" t="str">
        <x:v>TERMINACION-GENERACION-PROCESO-0.1</x:v>
      </x:c>
      <x:c r="D50" s="4" t="str">
        <x:v>OTRO</x:v>
      </x:c>
      <x:c r="E50" s="4" t="str">
        <x:v>LEGIBLE</x:v>
      </x:c>
      <x:c r="F50" s="4" t="str">
        <x:v>CICLO_GENERACION</x:v>
      </x:c>
      <x:c r="G50" s="4" t="str">
        <x:v>UNICA</x:v>
      </x:c>
      <x:c r="H50" s="4" t="str">
        <x:v>TERMINADA</x:v>
      </x:c>
      <x:c r="I50" s="4" t="str"/>
      <x:c r="J50" s="4" t="str">
        <x:v>COMPLETA</x:v>
      </x:c>
      <x:c r="K50" s="4" t="str">
        <x:v>ORDEN_ACREDITADO</x:v>
      </x:c>
      <x:c r="L50" s="4" t="str">
        <x:v>NO_ADMISION</x:v>
      </x:c>
      <x:c r="M50" s="4" t="str"/>
      <x:c r="N50" s="4" t="str">
        <x:v>IDENTIDAD</x:v>
      </x:c>
      <x:c r="O50" s="12" t="str">
        <x:f>IF(Q50="SIN_EJECUCION_DOMINIO","FALLO_CAPTURA",IF(OR(Q50="CAPTURA_MAL_FORMADA",Q50="IDENTIDAD",Q50="OBSERVACION_MAL_FORMADA",Q50="LEXEMA_O_FORMA"),"NO_ADMISION",IF(OR(Q50="PERFIL_NO_CONSTITUIDO",Q50="RESULTADO_NO_TERMINAL"),"FUERA_PERFIL",IF(Q50="CONTEXTO_NO_CONSTITUIDO","CONFIGURACION_PENDIENTE","VALIDA"))))</x:f>
        <x:v>NO_ADMISION</x:v>
      </x:c>
      <x:c r="P50" s="12" t="str">
        <x:f>IF(O50&lt;&gt;"VALIDA","",IF(Q50=AA50,"1",IF(Q50=AB50,"0","U")))</x:f>
      </x:c>
      <x:c r="Q50" s="12" t="str">
        <x:f>IF(E50="FALLO","SIN_EJECUCION_DOMINIO",IF(E50&lt;&gt;"LEGIBLE","CAPTURA_MAL_FORMADA",IF(D50&lt;&gt;"COINCIDE","IDENTIDAD",IF(OR(T50="",C50&lt;&gt;T50),"PERFIL_NO_CONSTITUIDO",IF(K50&lt;&gt;V50,IF(V50="ORDEN_ACREDITADO","ORDEN_NO_ACREDITADO","CONTEXTO_NO_CONSTITUIDO"),IF(AND(G50="AUSENTE",H50="",I50=""),"DATO_AUSENTE",IF(AND(G50="CONFLICTO",H50="",I50=""),"CONFLICTO_OBSERVACIONAL",IF(G50&lt;&gt;"UNICA","OBSERVACION_MAL_FORMADA",IF(F50&lt;&gt;U50,"OBSERVACION_INSUFICIENTE",IF(W50="RESULTADO",IF(H50=X50,AA50,IF(OR(H50="orcSucceededWithErrors",H50="orcFailed",H50="orcAborted"),AB50,IF(OR(H50="orcNotStarted",H50="orcInProgress"),"RESULTADO_NO_TERMINAL","LEXEMA_O_FORMA"))),IF(W50="EVENTO_BOOT",IF(H50=X50,AA50,IF(OR(H50="NINGUNO",H50="SOLO_HIBRIDO"),IF(J50="COMPLETA",AB50,"COBERTURA_INSUFICIENTE"),"LEXEMA_O_FORMA")),IF(W50="REQUISITO_SOFT",IF(H50=X50,AA50,IF(H50=Z50,AB50,"LEXEMA_O_FORMA")),IF(W50="EVENTO_PROC",IF(H50=X50,AA50,IF(H50=Z50,IF(J50="COMPLETA",AB50,"COBERTURA_INSUFICIENTE"),"LEXEMA_O_FORMA")),IF(W50="IMAGEN",IF(AND(AND(ISTEXT(H50),LEN(("x"&amp;H50))=65,EXACT(("x"&amp;H50),LOWER(("x"&amp;H50))),ISERROR(SEARCH(" ",("x"&amp;H50))),ISERROR(SEARCH(CHAR(9),("x"&amp;H50))),ISERROR(SEARCH(CHAR(10),("x"&amp;H50))),ISERROR(SEARCH(CHAR(13),("x"&amp;H50))),IFERROR(HEX2DEC(MID(("x"&amp;H50),2,8))&gt;=0,FALSE),IFERROR(HEX2DEC(MID(("x"&amp;H50),10,8))&gt;=0,FALSE),IFERROR(HEX2DEC(MID(("x"&amp;H50),18,8))&gt;=0,FALSE),IFERROR(HEX2DEC(MID(("x"&amp;H50),26,8))&gt;=0,FALSE),IFERROR(HEX2DEC(MID(("x"&amp;H50),34,8))&gt;=0,FALSE),IFERROR(HEX2DEC(MID(("x"&amp;H50),42,8))&gt;=0,FALSE),IFERROR(HEX2DEC(MID(("x"&amp;H50),50,8))&gt;=0,FALSE),IFERROR(HEX2DEC(MID(("x"&amp;H50),58,8))&gt;=0,FALSE)),AND(ISTEXT(I50),LEN(("x"&amp;I50))=65,EXACT(("x"&amp;I50),LOWER(("x"&amp;I50))),ISERROR(SEARCH(" ",("x"&amp;I50))),ISERROR(SEARCH(CHAR(9),("x"&amp;I50))),ISERROR(SEARCH(CHAR(10),("x"&amp;I50))),ISERROR(SEARCH(CHAR(13),("x"&amp;I50))),IFERROR(HEX2DEC(MID(("x"&amp;I50),2,8))&gt;=0,FALSE),IFERROR(HEX2DEC(MID(("x"&amp;I50),10,8))&gt;=0,FALSE),IFERROR(HEX2DEC(MID(("x"&amp;I50),18,8))&gt;=0,FALSE),IFERROR(HEX2DEC(MID(("x"&amp;I50),26,8))&gt;=0,FALSE),IFERROR(HEX2DEC(MID(("x"&amp;I50),34,8))&gt;=0,FALSE),IFERROR(HEX2DEC(MID(("x"&amp;I50),42,8))&gt;=0,FALSE),IFERROR(HEX2DEC(MID(("x"&amp;I50),50,8))&gt;=0,FALSE),IFERROR(HEX2DEC(MID(("x"&amp;I50),58,8))&gt;=0,FALSE))),IF(EXACT("x"&amp;H50,"x"&amp;I50),AA50,AB50),"LEXEMA_O_FORMA"),IF(W50="PRUEBA",IF(H50=X50,AA50,IF(H50=Z50,AB50,"LEXEMA_O_FORMA")),IF(W50="RETIRADA",IF(AND(H50="NINGUNO",I50=""),IF(J50="COMPLETA",AB50,"COBERTURA_INSUFICIENTE"),IF(AND(OR(H50="uoInstallation",H50="uoUninstallation"),OR(I50="orcSucceeded",I50="orcSucceededWithErrors",I50="orcFailed",I50="orcAborted",I50="orcInProgress",I50="orcNotStarted")),IF(AND(H50=X50,I50=Y50),AA50,IF(AND(H50=X50,OR(I50="orcSucceededWithErrors",I50="orcInProgress",I50="orcNotStarted")),"RESULTADO_RETIRADA_INCIERTO",IF(J50="COMPLETA",AB50,"COBERTURA_INSUFICIENTE"))),"LEXEMA_O_FORMA")),IF(W50="CAMBIO",IF(OR(H50="CAMBIO",H50="CAMBIO_Y_RETORNO"),AA50,IF(OR(H50="NINGUNO",H50="SOLO_RENOMBRE"),IF(J50="COMPLETA",AB50,"COBERTURA_INSUFICIENTE"),"LEXEMA_O_FORMA")),IF(W50="RESTAURACION",IF(H50=X50,AA50,IF(OR(H50="NINGUNO",H50="RESTAURACION_POSTERIOR",H50="RESTAURACION_FALLIDA"),IF(J50="COMPLETA",AB50,"COBERTURA_INSUFICIENTE"),"LEXEMA_O_FORMA")),"PERFIL_NO_CONSTITUIDO"))))))))))))))))))</x:f>
        <x:v>IDENTIDAD</x:v>
      </x:c>
      <x:c r="R50" s="12" t="str">
        <x:f>IF(AND(L50=O50,M50=P50,N50=Q50),"PASA","NO_PASA")</x:f>
        <x:v>PASA</x:v>
      </x:c>
      <x:c r="S50" s="4" t="str">
        <x:v>El testigo pertenece a otro sujeto; no se recicla su dato.</x:v>
      </x:c>
      <x:c r="T50" s="12" t="str">
        <x:f>IFERROR(INDEX('55_Codificacion_ensayo'!$B$5:$B$13,MATCH(B50,'55_Codificacion_ensayo'!$A$5:$A$13,0)),"")</x:f>
        <x:v>TERMINACION-GENERACION-PROCESO-0.1</x:v>
      </x:c>
      <x:c r="U50" s="12" t="str">
        <x:f>IFERROR(INDEX('55_Codificacion_ensayo'!$C$5:$C$13,MATCH(B50,'55_Codificacion_ensayo'!$A$5:$A$13,0)),"")</x:f>
        <x:v>CICLO_GENERACION</x:v>
      </x:c>
      <x:c r="V50" s="12" t="str">
        <x:f>IFERROR(INDEX('55_Codificacion_ensayo'!$D$5:$D$13,MATCH(B50,'55_Codificacion_ensayo'!$A$5:$A$13,0)),"")</x:f>
        <x:v>ORDEN_ACREDITADO</x:v>
      </x:c>
      <x:c r="W50" s="12" t="str">
        <x:f>IFERROR(INDEX('55_Codificacion_ensayo'!$E$5:$E$13,MATCH(B50,'55_Codificacion_ensayo'!$A$5:$A$13,0)),"")</x:f>
        <x:v>EVENTO_PROC</x:v>
      </x:c>
      <x:c r="X50" s="12" t="str">
        <x:f>IFERROR(INDEX('55_Codificacion_ensayo'!$F$5:$F$13,MATCH(B50,'55_Codificacion_ensayo'!$A$5:$A$13,0)),"")</x:f>
        <x:v>TERMINADA</x:v>
      </x:c>
      <x:c r="Y50" s="12" t="str">
        <x:f>IFERROR(INDEX('55_Codificacion_ensayo'!$G$5:$G$13,MATCH(B50,'55_Codificacion_ensayo'!$A$5:$A$13,0)),"")</x:f>
      </x:c>
      <x:c r="Z50" s="12" t="str">
        <x:f>IFERROR(INDEX('55_Codificacion_ensayo'!$H$5:$H$13,MATCH(B50,'55_Codificacion_ensayo'!$A$5:$A$13,0)),"")</x:f>
        <x:v>NINGUNO</x:v>
      </x:c>
      <x:c r="AA50" s="12" t="str">
        <x:f>IFERROR(INDEX('55_Codificacion_ensayo'!$I$5:$I$13,MATCH(B50,'55_Codificacion_ensayo'!$A$5:$A$13,0)),"")</x:f>
        <x:v>GENERACION_TERMINADA</x:v>
      </x:c>
      <x:c r="AB50" s="12" t="str">
        <x:f>IFERROR(INDEX('55_Codificacion_ensayo'!$J$5:$J$13,MATCH(B50,'55_Codificacion_ensayo'!$A$5:$A$13,0)),"")</x:f>
        <x:v>SIN_TERMINACION</x:v>
      </x:c>
    </x:row>
    <x:row r="51" ht="47" customHeight="1">
      <x:c r="A51" s="4" t="str">
        <x:v>L10-05-07</x:v>
      </x:c>
      <x:c r="B51" s="4" t="str">
        <x:v>PAR-CYB-GENERACION-PROCESO-TERMINADA-001</x:v>
      </x:c>
      <x:c r="C51" s="4" t="str">
        <x:v>TERMINACION-GENERACION-PROCESO-0.1</x:v>
      </x:c>
      <x:c r="D51" s="4" t="str">
        <x:v>COINCIDE</x:v>
      </x:c>
      <x:c r="E51" s="4" t="str">
        <x:v>LEGIBLE</x:v>
      </x:c>
      <x:c r="F51" s="4" t="str">
        <x:v>FUENTE_GENERAL</x:v>
      </x:c>
      <x:c r="G51" s="4" t="str">
        <x:v>UNICA</x:v>
      </x:c>
      <x:c r="H51" s="4" t="str">
        <x:v>TERMINADA</x:v>
      </x:c>
      <x:c r="I51" s="4" t="str"/>
      <x:c r="J51" s="4" t="str">
        <x:v>COMPLETA</x:v>
      </x:c>
      <x:c r="K51" s="4" t="str">
        <x:v>ORDEN_ACREDITADO</x:v>
      </x:c>
      <x:c r="L51" s="4" t="str">
        <x:v>VALIDA</x:v>
      </x:c>
      <x:c r="M51" s="4" t="str">
        <x:v>U</x:v>
      </x:c>
      <x:c r="N51" s="4" t="str">
        <x:v>OBSERVACION_INSUFICIENTE</x:v>
      </x:c>
      <x:c r="O51" s="12" t="str">
        <x:f>IF(Q51="SIN_EJECUCION_DOMINIO","FALLO_CAPTURA",IF(OR(Q51="CAPTURA_MAL_FORMADA",Q51="IDENTIDAD",Q51="OBSERVACION_MAL_FORMADA",Q51="LEXEMA_O_FORMA"),"NO_ADMISION",IF(OR(Q51="PERFIL_NO_CONSTITUIDO",Q51="RESULTADO_NO_TERMINAL"),"FUERA_PERFIL",IF(Q51="CONTEXTO_NO_CONSTITUIDO","CONFIGURACION_PENDIENTE","VALIDA"))))</x:f>
        <x:v>VALIDA</x:v>
      </x:c>
      <x:c r="P51" s="12" t="str">
        <x:f>IF(O51&lt;&gt;"VALIDA","",IF(Q51=AA51,"1",IF(Q51=AB51,"0","U")))</x:f>
        <x:v>U</x:v>
      </x:c>
      <x:c r="Q51" s="12" t="str">
        <x:f>IF(E51="FALLO","SIN_EJECUCION_DOMINIO",IF(E51&lt;&gt;"LEGIBLE","CAPTURA_MAL_FORMADA",IF(D51&lt;&gt;"COINCIDE","IDENTIDAD",IF(OR(T51="",C51&lt;&gt;T51),"PERFIL_NO_CONSTITUIDO",IF(K51&lt;&gt;V51,IF(V51="ORDEN_ACREDITADO","ORDEN_NO_ACREDITADO","CONTEXTO_NO_CONSTITUIDO"),IF(AND(G51="AUSENTE",H51="",I51=""),"DATO_AUSENTE",IF(AND(G51="CONFLICTO",H51="",I51=""),"CONFLICTO_OBSERVACIONAL",IF(G51&lt;&gt;"UNICA","OBSERVACION_MAL_FORMADA",IF(F51&lt;&gt;U51,"OBSERVACION_INSUFICIENTE",IF(W51="RESULTADO",IF(H51=X51,AA51,IF(OR(H51="orcSucceededWithErrors",H51="orcFailed",H51="orcAborted"),AB51,IF(OR(H51="orcNotStarted",H51="orcInProgress"),"RESULTADO_NO_TERMINAL","LEXEMA_O_FORMA"))),IF(W51="EVENTO_BOOT",IF(H51=X51,AA51,IF(OR(H51="NINGUNO",H51="SOLO_HIBRIDO"),IF(J51="COMPLETA",AB51,"COBERTURA_INSUFICIENTE"),"LEXEMA_O_FORMA")),IF(W51="REQUISITO_SOFT",IF(H51=X51,AA51,IF(H51=Z51,AB51,"LEXEMA_O_FORMA")),IF(W51="EVENTO_PROC",IF(H51=X51,AA51,IF(H51=Z51,IF(J51="COMPLETA",AB51,"COBERTURA_INSUFICIENTE"),"LEXEMA_O_FORMA")),IF(W51="IMAGEN",IF(AND(AND(ISTEXT(H51),LEN(("x"&amp;H51))=65,EXACT(("x"&amp;H51),LOWER(("x"&amp;H51))),ISERROR(SEARCH(" ",("x"&amp;H51))),ISERROR(SEARCH(CHAR(9),("x"&amp;H51))),ISERROR(SEARCH(CHAR(10),("x"&amp;H51))),ISERROR(SEARCH(CHAR(13),("x"&amp;H51))),IFERROR(HEX2DEC(MID(("x"&amp;H51),2,8))&gt;=0,FALSE),IFERROR(HEX2DEC(MID(("x"&amp;H51),10,8))&gt;=0,FALSE),IFERROR(HEX2DEC(MID(("x"&amp;H51),18,8))&gt;=0,FALSE),IFERROR(HEX2DEC(MID(("x"&amp;H51),26,8))&gt;=0,FALSE),IFERROR(HEX2DEC(MID(("x"&amp;H51),34,8))&gt;=0,FALSE),IFERROR(HEX2DEC(MID(("x"&amp;H51),42,8))&gt;=0,FALSE),IFERROR(HEX2DEC(MID(("x"&amp;H51),50,8))&gt;=0,FALSE),IFERROR(HEX2DEC(MID(("x"&amp;H51),58,8))&gt;=0,FALSE)),AND(ISTEXT(I51),LEN(("x"&amp;I51))=65,EXACT(("x"&amp;I51),LOWER(("x"&amp;I51))),ISERROR(SEARCH(" ",("x"&amp;I51))),ISERROR(SEARCH(CHAR(9),("x"&amp;I51))),ISERROR(SEARCH(CHAR(10),("x"&amp;I51))),ISERROR(SEARCH(CHAR(13),("x"&amp;I51))),IFERROR(HEX2DEC(MID(("x"&amp;I51),2,8))&gt;=0,FALSE),IFERROR(HEX2DEC(MID(("x"&amp;I51),10,8))&gt;=0,FALSE),IFERROR(HEX2DEC(MID(("x"&amp;I51),18,8))&gt;=0,FALSE),IFERROR(HEX2DEC(MID(("x"&amp;I51),26,8))&gt;=0,FALSE),IFERROR(HEX2DEC(MID(("x"&amp;I51),34,8))&gt;=0,FALSE),IFERROR(HEX2DEC(MID(("x"&amp;I51),42,8))&gt;=0,FALSE),IFERROR(HEX2DEC(MID(("x"&amp;I51),50,8))&gt;=0,FALSE),IFERROR(HEX2DEC(MID(("x"&amp;I51),58,8))&gt;=0,FALSE))),IF(EXACT("x"&amp;H51,"x"&amp;I51),AA51,AB51),"LEXEMA_O_FORMA"),IF(W51="PRUEBA",IF(H51=X51,AA51,IF(H51=Z51,AB51,"LEXEMA_O_FORMA")),IF(W51="RETIRADA",IF(AND(H51="NINGUNO",I51=""),IF(J51="COMPLETA",AB51,"COBERTURA_INSUFICIENTE"),IF(AND(OR(H51="uoInstallation",H51="uoUninstallation"),OR(I51="orcSucceeded",I51="orcSucceededWithErrors",I51="orcFailed",I51="orcAborted",I51="orcInProgress",I51="orcNotStarted")),IF(AND(H51=X51,I51=Y51),AA51,IF(AND(H51=X51,OR(I51="orcSucceededWithErrors",I51="orcInProgress",I51="orcNotStarted")),"RESULTADO_RETIRADA_INCIERTO",IF(J51="COMPLETA",AB51,"COBERTURA_INSUFICIENTE"))),"LEXEMA_O_FORMA")),IF(W51="CAMBIO",IF(OR(H51="CAMBIO",H51="CAMBIO_Y_RETORNO"),AA51,IF(OR(H51="NINGUNO",H51="SOLO_RENOMBRE"),IF(J51="COMPLETA",AB51,"COBERTURA_INSUFICIENTE"),"LEXEMA_O_FORMA")),IF(W51="RESTAURACION",IF(H51=X51,AA51,IF(OR(H51="NINGUNO",H51="RESTAURACION_POSTERIOR",H51="RESTAURACION_FALLIDA"),IF(J51="COMPLETA",AB51,"COBERTURA_INSUFICIENTE"),"LEXEMA_O_FORMA")),"PERFIL_NO_CONSTITUIDO"))))))))))))))))))</x:f>
        <x:v>OBSERVACION_INSUFICIENTE</x:v>
      </x:c>
      <x:c r="R51" s="12" t="str">
        <x:f>IF(AND(L51=O51,M51=P51,N51=Q51),"PASA","NO_PASA")</x:f>
        <x:v>PASA</x:v>
      </x:c>
      <x:c r="S51" s="4" t="str">
        <x:v>Una fuente del dominio no sustituye la observación específica del episodio.</x:v>
      </x:c>
      <x:c r="T51" s="12" t="str">
        <x:f>IFERROR(INDEX('55_Codificacion_ensayo'!$B$5:$B$13,MATCH(B51,'55_Codificacion_ensayo'!$A$5:$A$13,0)),"")</x:f>
        <x:v>TERMINACION-GENERACION-PROCESO-0.1</x:v>
      </x:c>
      <x:c r="U51" s="12" t="str">
        <x:f>IFERROR(INDEX('55_Codificacion_ensayo'!$C$5:$C$13,MATCH(B51,'55_Codificacion_ensayo'!$A$5:$A$13,0)),"")</x:f>
        <x:v>CICLO_GENERACION</x:v>
      </x:c>
      <x:c r="V51" s="12" t="str">
        <x:f>IFERROR(INDEX('55_Codificacion_ensayo'!$D$5:$D$13,MATCH(B51,'55_Codificacion_ensayo'!$A$5:$A$13,0)),"")</x:f>
        <x:v>ORDEN_ACREDITADO</x:v>
      </x:c>
      <x:c r="W51" s="12" t="str">
        <x:f>IFERROR(INDEX('55_Codificacion_ensayo'!$E$5:$E$13,MATCH(B51,'55_Codificacion_ensayo'!$A$5:$A$13,0)),"")</x:f>
        <x:v>EVENTO_PROC</x:v>
      </x:c>
      <x:c r="X51" s="12" t="str">
        <x:f>IFERROR(INDEX('55_Codificacion_ensayo'!$F$5:$F$13,MATCH(B51,'55_Codificacion_ensayo'!$A$5:$A$13,0)),"")</x:f>
        <x:v>TERMINADA</x:v>
      </x:c>
      <x:c r="Y51" s="12" t="str">
        <x:f>IFERROR(INDEX('55_Codificacion_ensayo'!$G$5:$G$13,MATCH(B51,'55_Codificacion_ensayo'!$A$5:$A$13,0)),"")</x:f>
      </x:c>
      <x:c r="Z51" s="12" t="str">
        <x:f>IFERROR(INDEX('55_Codificacion_ensayo'!$H$5:$H$13,MATCH(B51,'55_Codificacion_ensayo'!$A$5:$A$13,0)),"")</x:f>
        <x:v>NINGUNO</x:v>
      </x:c>
      <x:c r="AA51" s="12" t="str">
        <x:f>IFERROR(INDEX('55_Codificacion_ensayo'!$I$5:$I$13,MATCH(B51,'55_Codificacion_ensayo'!$A$5:$A$13,0)),"")</x:f>
        <x:v>GENERACION_TERMINADA</x:v>
      </x:c>
      <x:c r="AB51" s="12" t="str">
        <x:f>IFERROR(INDEX('55_Codificacion_ensayo'!$J$5:$J$13,MATCH(B51,'55_Codificacion_ensayo'!$A$5:$A$13,0)),"")</x:f>
        <x:v>SIN_TERMINACION</x:v>
      </x:c>
    </x:row>
    <x:row r="52" ht="47" customHeight="1">
      <x:c r="A52" s="4" t="str">
        <x:v>L10-05-08</x:v>
      </x:c>
      <x:c r="B52" s="4" t="str">
        <x:v>PAR-CYB-GENERACION-PROCESO-TERMINADA-001</x:v>
      </x:c>
      <x:c r="C52" s="4" t="str">
        <x:v>OTRO_PERFIL</x:v>
      </x:c>
      <x:c r="D52" s="4" t="str">
        <x:v>COINCIDE</x:v>
      </x:c>
      <x:c r="E52" s="4" t="str">
        <x:v>LEGIBLE</x:v>
      </x:c>
      <x:c r="F52" s="4" t="str">
        <x:v>CICLO_GENERACION</x:v>
      </x:c>
      <x:c r="G52" s="4" t="str">
        <x:v>UNICA</x:v>
      </x:c>
      <x:c r="H52" s="4" t="str">
        <x:v>TERMINADA</x:v>
      </x:c>
      <x:c r="I52" s="4" t="str"/>
      <x:c r="J52" s="4" t="str">
        <x:v>COMPLETA</x:v>
      </x:c>
      <x:c r="K52" s="4" t="str">
        <x:v>ORDEN_ACREDITADO</x:v>
      </x:c>
      <x:c r="L52" s="4" t="str">
        <x:v>FUERA_PERFIL</x:v>
      </x:c>
      <x:c r="M52" s="4" t="str"/>
      <x:c r="N52" s="4" t="str">
        <x:v>PERFIL_NO_CONSTITUIDO</x:v>
      </x:c>
      <x:c r="O52" s="12" t="str">
        <x:f>IF(Q52="SIN_EJECUCION_DOMINIO","FALLO_CAPTURA",IF(OR(Q52="CAPTURA_MAL_FORMADA",Q52="IDENTIDAD",Q52="OBSERVACION_MAL_FORMADA",Q52="LEXEMA_O_FORMA"),"NO_ADMISION",IF(OR(Q52="PERFIL_NO_CONSTITUIDO",Q52="RESULTADO_NO_TERMINAL"),"FUERA_PERFIL",IF(Q52="CONTEXTO_NO_CONSTITUIDO","CONFIGURACION_PENDIENTE","VALIDA"))))</x:f>
        <x:v>FUERA_PERFIL</x:v>
      </x:c>
      <x:c r="P52" s="12" t="str">
        <x:f>IF(O52&lt;&gt;"VALIDA","",IF(Q52=AA52,"1",IF(Q52=AB52,"0","U")))</x:f>
      </x:c>
      <x:c r="Q52" s="12" t="str">
        <x:f>IF(E52="FALLO","SIN_EJECUCION_DOMINIO",IF(E52&lt;&gt;"LEGIBLE","CAPTURA_MAL_FORMADA",IF(D52&lt;&gt;"COINCIDE","IDENTIDAD",IF(OR(T52="",C52&lt;&gt;T52),"PERFIL_NO_CONSTITUIDO",IF(K52&lt;&gt;V52,IF(V52="ORDEN_ACREDITADO","ORDEN_NO_ACREDITADO","CONTEXTO_NO_CONSTITUIDO"),IF(AND(G52="AUSENTE",H52="",I52=""),"DATO_AUSENTE",IF(AND(G52="CONFLICTO",H52="",I52=""),"CONFLICTO_OBSERVACIONAL",IF(G52&lt;&gt;"UNICA","OBSERVACION_MAL_FORMADA",IF(F52&lt;&gt;U52,"OBSERVACION_INSUFICIENTE",IF(W52="RESULTADO",IF(H52=X52,AA52,IF(OR(H52="orcSucceededWithErrors",H52="orcFailed",H52="orcAborted"),AB52,IF(OR(H52="orcNotStarted",H52="orcInProgress"),"RESULTADO_NO_TERMINAL","LEXEMA_O_FORMA"))),IF(W52="EVENTO_BOOT",IF(H52=X52,AA52,IF(OR(H52="NINGUNO",H52="SOLO_HIBRIDO"),IF(J52="COMPLETA",AB52,"COBERTURA_INSUFICIENTE"),"LEXEMA_O_FORMA")),IF(W52="REQUISITO_SOFT",IF(H52=X52,AA52,IF(H52=Z52,AB52,"LEXEMA_O_FORMA")),IF(W52="EVENTO_PROC",IF(H52=X52,AA52,IF(H52=Z52,IF(J52="COMPLETA",AB52,"COBERTURA_INSUFICIENTE"),"LEXEMA_O_FORMA")),IF(W52="IMAGEN",IF(AND(AND(ISTEXT(H52),LEN(("x"&amp;H52))=65,EXACT(("x"&amp;H52),LOWER(("x"&amp;H52))),ISERROR(SEARCH(" ",("x"&amp;H52))),ISERROR(SEARCH(CHAR(9),("x"&amp;H52))),ISERROR(SEARCH(CHAR(10),("x"&amp;H52))),ISERROR(SEARCH(CHAR(13),("x"&amp;H52))),IFERROR(HEX2DEC(MID(("x"&amp;H52),2,8))&gt;=0,FALSE),IFERROR(HEX2DEC(MID(("x"&amp;H52),10,8))&gt;=0,FALSE),IFERROR(HEX2DEC(MID(("x"&amp;H52),18,8))&gt;=0,FALSE),IFERROR(HEX2DEC(MID(("x"&amp;H52),26,8))&gt;=0,FALSE),IFERROR(HEX2DEC(MID(("x"&amp;H52),34,8))&gt;=0,FALSE),IFERROR(HEX2DEC(MID(("x"&amp;H52),42,8))&gt;=0,FALSE),IFERROR(HEX2DEC(MID(("x"&amp;H52),50,8))&gt;=0,FALSE),IFERROR(HEX2DEC(MID(("x"&amp;H52),58,8))&gt;=0,FALSE)),AND(ISTEXT(I52),LEN(("x"&amp;I52))=65,EXACT(("x"&amp;I52),LOWER(("x"&amp;I52))),ISERROR(SEARCH(" ",("x"&amp;I52))),ISERROR(SEARCH(CHAR(9),("x"&amp;I52))),ISERROR(SEARCH(CHAR(10),("x"&amp;I52))),ISERROR(SEARCH(CHAR(13),("x"&amp;I52))),IFERROR(HEX2DEC(MID(("x"&amp;I52),2,8))&gt;=0,FALSE),IFERROR(HEX2DEC(MID(("x"&amp;I52),10,8))&gt;=0,FALSE),IFERROR(HEX2DEC(MID(("x"&amp;I52),18,8))&gt;=0,FALSE),IFERROR(HEX2DEC(MID(("x"&amp;I52),26,8))&gt;=0,FALSE),IFERROR(HEX2DEC(MID(("x"&amp;I52),34,8))&gt;=0,FALSE),IFERROR(HEX2DEC(MID(("x"&amp;I52),42,8))&gt;=0,FALSE),IFERROR(HEX2DEC(MID(("x"&amp;I52),50,8))&gt;=0,FALSE),IFERROR(HEX2DEC(MID(("x"&amp;I52),58,8))&gt;=0,FALSE))),IF(EXACT("x"&amp;H52,"x"&amp;I52),AA52,AB52),"LEXEMA_O_FORMA"),IF(W52="PRUEBA",IF(H52=X52,AA52,IF(H52=Z52,AB52,"LEXEMA_O_FORMA")),IF(W52="RETIRADA",IF(AND(H52="NINGUNO",I52=""),IF(J52="COMPLETA",AB52,"COBERTURA_INSUFICIENTE"),IF(AND(OR(H52="uoInstallation",H52="uoUninstallation"),OR(I52="orcSucceeded",I52="orcSucceededWithErrors",I52="orcFailed",I52="orcAborted",I52="orcInProgress",I52="orcNotStarted")),IF(AND(H52=X52,I52=Y52),AA52,IF(AND(H52=X52,OR(I52="orcSucceededWithErrors",I52="orcInProgress",I52="orcNotStarted")),"RESULTADO_RETIRADA_INCIERTO",IF(J52="COMPLETA",AB52,"COBERTURA_INSUFICIENTE"))),"LEXEMA_O_FORMA")),IF(W52="CAMBIO",IF(OR(H52="CAMBIO",H52="CAMBIO_Y_RETORNO"),AA52,IF(OR(H52="NINGUNO",H52="SOLO_RENOMBRE"),IF(J52="COMPLETA",AB52,"COBERTURA_INSUFICIENTE"),"LEXEMA_O_FORMA")),IF(W52="RESTAURACION",IF(H52=X52,AA52,IF(OR(H52="NINGUNO",H52="RESTAURACION_POSTERIOR",H52="RESTAURACION_FALLIDA"),IF(J52="COMPLETA",AB52,"COBERTURA_INSUFICIENTE"),"LEXEMA_O_FORMA")),"PERFIL_NO_CONSTITUIDO"))))))))))))))))))</x:f>
        <x:v>PERFIL_NO_CONSTITUIDO</x:v>
      </x:c>
      <x:c r="R52" s="12" t="str">
        <x:f>IF(AND(L52=O52,M52=P52,N52=Q52),"PASA","NO_PASA")</x:f>
        <x:v>PASA</x:v>
      </x:c>
      <x:c r="S52" s="4" t="str">
        <x:v>Perfil de otro producto no se normaliza por analogía.</x:v>
      </x:c>
      <x:c r="T52" s="12" t="str">
        <x:f>IFERROR(INDEX('55_Codificacion_ensayo'!$B$5:$B$13,MATCH(B52,'55_Codificacion_ensayo'!$A$5:$A$13,0)),"")</x:f>
        <x:v>TERMINACION-GENERACION-PROCESO-0.1</x:v>
      </x:c>
      <x:c r="U52" s="12" t="str">
        <x:f>IFERROR(INDEX('55_Codificacion_ensayo'!$C$5:$C$13,MATCH(B52,'55_Codificacion_ensayo'!$A$5:$A$13,0)),"")</x:f>
        <x:v>CICLO_GENERACION</x:v>
      </x:c>
      <x:c r="V52" s="12" t="str">
        <x:f>IFERROR(INDEX('55_Codificacion_ensayo'!$D$5:$D$13,MATCH(B52,'55_Codificacion_ensayo'!$A$5:$A$13,0)),"")</x:f>
        <x:v>ORDEN_ACREDITADO</x:v>
      </x:c>
      <x:c r="W52" s="12" t="str">
        <x:f>IFERROR(INDEX('55_Codificacion_ensayo'!$E$5:$E$13,MATCH(B52,'55_Codificacion_ensayo'!$A$5:$A$13,0)),"")</x:f>
        <x:v>EVENTO_PROC</x:v>
      </x:c>
      <x:c r="X52" s="12" t="str">
        <x:f>IFERROR(INDEX('55_Codificacion_ensayo'!$F$5:$F$13,MATCH(B52,'55_Codificacion_ensayo'!$A$5:$A$13,0)),"")</x:f>
        <x:v>TERMINADA</x:v>
      </x:c>
      <x:c r="Y52" s="12" t="str">
        <x:f>IFERROR(INDEX('55_Codificacion_ensayo'!$G$5:$G$13,MATCH(B52,'55_Codificacion_ensayo'!$A$5:$A$13,0)),"")</x:f>
      </x:c>
      <x:c r="Z52" s="12" t="str">
        <x:f>IFERROR(INDEX('55_Codificacion_ensayo'!$H$5:$H$13,MATCH(B52,'55_Codificacion_ensayo'!$A$5:$A$13,0)),"")</x:f>
        <x:v>NINGUNO</x:v>
      </x:c>
      <x:c r="AA52" s="12" t="str">
        <x:f>IFERROR(INDEX('55_Codificacion_ensayo'!$I$5:$I$13,MATCH(B52,'55_Codificacion_ensayo'!$A$5:$A$13,0)),"")</x:f>
        <x:v>GENERACION_TERMINADA</x:v>
      </x:c>
      <x:c r="AB52" s="12" t="str">
        <x:f>IFERROR(INDEX('55_Codificacion_ensayo'!$J$5:$J$13,MATCH(B52,'55_Codificacion_ensayo'!$A$5:$A$13,0)),"")</x:f>
        <x:v>SIN_TERMINACION</x:v>
      </x:c>
    </x:row>
    <x:row r="53" ht="47" customHeight="1">
      <x:c r="A53" s="4" t="str">
        <x:v>L10-05-09</x:v>
      </x:c>
      <x:c r="B53" s="4" t="str">
        <x:v>PAR-CYB-GENERACION-PROCESO-TERMINADA-001</x:v>
      </x:c>
      <x:c r="C53" s="4" t="str">
        <x:v>TERMINACION-GENERACION-PROCESO-0.1</x:v>
      </x:c>
      <x:c r="D53" s="4" t="str">
        <x:v>COINCIDE</x:v>
      </x:c>
      <x:c r="E53" s="4" t="str">
        <x:v>LEGIBLE</x:v>
      </x:c>
      <x:c r="F53" s="4" t="str">
        <x:v>CICLO_GENERACION</x:v>
      </x:c>
      <x:c r="G53" s="4" t="str">
        <x:v>UNICA</x:v>
      </x:c>
      <x:c r="H53" s="4" t="str">
        <x:v>true false desconocido</x:v>
      </x:c>
      <x:c r="I53" s="4" t="str"/>
      <x:c r="J53" s="4" t="str">
        <x:v>COMPLETA</x:v>
      </x:c>
      <x:c r="K53" s="4" t="str">
        <x:v>ORDEN_ACREDITADO</x:v>
      </x:c>
      <x:c r="L53" s="4" t="str">
        <x:v>NO_ADMISION</x:v>
      </x:c>
      <x:c r="M53" s="4" t="str"/>
      <x:c r="N53" s="4" t="str">
        <x:v>LEXEMA_O_FORMA</x:v>
      </x:c>
      <x:c r="O53" s="12" t="str">
        <x:f>IF(Q53="SIN_EJECUCION_DOMINIO","FALLO_CAPTURA",IF(OR(Q53="CAPTURA_MAL_FORMADA",Q53="IDENTIDAD",Q53="OBSERVACION_MAL_FORMADA",Q53="LEXEMA_O_FORMA"),"NO_ADMISION",IF(OR(Q53="PERFIL_NO_CONSTITUIDO",Q53="RESULTADO_NO_TERMINAL"),"FUERA_PERFIL",IF(Q53="CONTEXTO_NO_CONSTITUIDO","CONFIGURACION_PENDIENTE","VALIDA"))))</x:f>
        <x:v>NO_ADMISION</x:v>
      </x:c>
      <x:c r="P53" s="12" t="str">
        <x:f>IF(O53&lt;&gt;"VALIDA","",IF(Q53=AA53,"1",IF(Q53=AB53,"0","U")))</x:f>
      </x:c>
      <x:c r="Q53" s="12" t="str">
        <x:f>IF(E53="FALLO","SIN_EJECUCION_DOMINIO",IF(E53&lt;&gt;"LEGIBLE","CAPTURA_MAL_FORMADA",IF(D53&lt;&gt;"COINCIDE","IDENTIDAD",IF(OR(T53="",C53&lt;&gt;T53),"PERFIL_NO_CONSTITUIDO",IF(K53&lt;&gt;V53,IF(V53="ORDEN_ACREDITADO","ORDEN_NO_ACREDITADO","CONTEXTO_NO_CONSTITUIDO"),IF(AND(G53="AUSENTE",H53="",I53=""),"DATO_AUSENTE",IF(AND(G53="CONFLICTO",H53="",I53=""),"CONFLICTO_OBSERVACIONAL",IF(G53&lt;&gt;"UNICA","OBSERVACION_MAL_FORMADA",IF(F53&lt;&gt;U53,"OBSERVACION_INSUFICIENTE",IF(W53="RESULTADO",IF(H53=X53,AA53,IF(OR(H53="orcSucceededWithErrors",H53="orcFailed",H53="orcAborted"),AB53,IF(OR(H53="orcNotStarted",H53="orcInProgress"),"RESULTADO_NO_TERMINAL","LEXEMA_O_FORMA"))),IF(W53="EVENTO_BOOT",IF(H53=X53,AA53,IF(OR(H53="NINGUNO",H53="SOLO_HIBRIDO"),IF(J53="COMPLETA",AB53,"COBERTURA_INSUFICIENTE"),"LEXEMA_O_FORMA")),IF(W53="REQUISITO_SOFT",IF(H53=X53,AA53,IF(H53=Z53,AB53,"LEXEMA_O_FORMA")),IF(W53="EVENTO_PROC",IF(H53=X53,AA53,IF(H53=Z53,IF(J53="COMPLETA",AB53,"COBERTURA_INSUFICIENTE"),"LEXEMA_O_FORMA")),IF(W53="IMAGEN",IF(AND(AND(ISTEXT(H53),LEN(("x"&amp;H53))=65,EXACT(("x"&amp;H53),LOWER(("x"&amp;H53))),ISERROR(SEARCH(" ",("x"&amp;H53))),ISERROR(SEARCH(CHAR(9),("x"&amp;H53))),ISERROR(SEARCH(CHAR(10),("x"&amp;H53))),ISERROR(SEARCH(CHAR(13),("x"&amp;H53))),IFERROR(HEX2DEC(MID(("x"&amp;H53),2,8))&gt;=0,FALSE),IFERROR(HEX2DEC(MID(("x"&amp;H53),10,8))&gt;=0,FALSE),IFERROR(HEX2DEC(MID(("x"&amp;H53),18,8))&gt;=0,FALSE),IFERROR(HEX2DEC(MID(("x"&amp;H53),26,8))&gt;=0,FALSE),IFERROR(HEX2DEC(MID(("x"&amp;H53),34,8))&gt;=0,FALSE),IFERROR(HEX2DEC(MID(("x"&amp;H53),42,8))&gt;=0,FALSE),IFERROR(HEX2DEC(MID(("x"&amp;H53),50,8))&gt;=0,FALSE),IFERROR(HEX2DEC(MID(("x"&amp;H53),58,8))&gt;=0,FALSE)),AND(ISTEXT(I53),LEN(("x"&amp;I53))=65,EXACT(("x"&amp;I53),LOWER(("x"&amp;I53))),ISERROR(SEARCH(" ",("x"&amp;I53))),ISERROR(SEARCH(CHAR(9),("x"&amp;I53))),ISERROR(SEARCH(CHAR(10),("x"&amp;I53))),ISERROR(SEARCH(CHAR(13),("x"&amp;I53))),IFERROR(HEX2DEC(MID(("x"&amp;I53),2,8))&gt;=0,FALSE),IFERROR(HEX2DEC(MID(("x"&amp;I53),10,8))&gt;=0,FALSE),IFERROR(HEX2DEC(MID(("x"&amp;I53),18,8))&gt;=0,FALSE),IFERROR(HEX2DEC(MID(("x"&amp;I53),26,8))&gt;=0,FALSE),IFERROR(HEX2DEC(MID(("x"&amp;I53),34,8))&gt;=0,FALSE),IFERROR(HEX2DEC(MID(("x"&amp;I53),42,8))&gt;=0,FALSE),IFERROR(HEX2DEC(MID(("x"&amp;I53),50,8))&gt;=0,FALSE),IFERROR(HEX2DEC(MID(("x"&amp;I53),58,8))&gt;=0,FALSE))),IF(EXACT("x"&amp;H53,"x"&amp;I53),AA53,AB53),"LEXEMA_O_FORMA"),IF(W53="PRUEBA",IF(H53=X53,AA53,IF(H53=Z53,AB53,"LEXEMA_O_FORMA")),IF(W53="RETIRADA",IF(AND(H53="NINGUNO",I53=""),IF(J53="COMPLETA",AB53,"COBERTURA_INSUFICIENTE"),IF(AND(OR(H53="uoInstallation",H53="uoUninstallation"),OR(I53="orcSucceeded",I53="orcSucceededWithErrors",I53="orcFailed",I53="orcAborted",I53="orcInProgress",I53="orcNotStarted")),IF(AND(H53=X53,I53=Y53),AA53,IF(AND(H53=X53,OR(I53="orcSucceededWithErrors",I53="orcInProgress",I53="orcNotStarted")),"RESULTADO_RETIRADA_INCIERTO",IF(J53="COMPLETA",AB53,"COBERTURA_INSUFICIENTE"))),"LEXEMA_O_FORMA")),IF(W53="CAMBIO",IF(OR(H53="CAMBIO",H53="CAMBIO_Y_RETORNO"),AA53,IF(OR(H53="NINGUNO",H53="SOLO_RENOMBRE"),IF(J53="COMPLETA",AB53,"COBERTURA_INSUFICIENTE"),"LEXEMA_O_FORMA")),IF(W53="RESTAURACION",IF(H53=X53,AA53,IF(OR(H53="NINGUNO",H53="RESTAURACION_POSTERIOR",H53="RESTAURACION_FALLIDA"),IF(J53="COMPLETA",AB53,"COBERTURA_INSUFICIENTE"),"LEXEMA_O_FORMA")),"PERFIL_NO_CONSTITUIDO"))))))))))))))))))</x:f>
        <x:v>LEXEMA_O_FORMA</x:v>
      </x:c>
      <x:c r="R53" s="12" t="str">
        <x:f>IF(AND(L53=O53,M53=P53,N53=Q53),"PASA","NO_PASA")</x:f>
        <x:v>PASA</x:v>
      </x:c>
      <x:c r="S53" s="4" t="str">
        <x:v>La observación usa un lexema ajeno al contrato.</x:v>
      </x:c>
      <x:c r="T53" s="12" t="str">
        <x:f>IFERROR(INDEX('55_Codificacion_ensayo'!$B$5:$B$13,MATCH(B53,'55_Codificacion_ensayo'!$A$5:$A$13,0)),"")</x:f>
        <x:v>TERMINACION-GENERACION-PROCESO-0.1</x:v>
      </x:c>
      <x:c r="U53" s="12" t="str">
        <x:f>IFERROR(INDEX('55_Codificacion_ensayo'!$C$5:$C$13,MATCH(B53,'55_Codificacion_ensayo'!$A$5:$A$13,0)),"")</x:f>
        <x:v>CICLO_GENERACION</x:v>
      </x:c>
      <x:c r="V53" s="12" t="str">
        <x:f>IFERROR(INDEX('55_Codificacion_ensayo'!$D$5:$D$13,MATCH(B53,'55_Codificacion_ensayo'!$A$5:$A$13,0)),"")</x:f>
        <x:v>ORDEN_ACREDITADO</x:v>
      </x:c>
      <x:c r="W53" s="12" t="str">
        <x:f>IFERROR(INDEX('55_Codificacion_ensayo'!$E$5:$E$13,MATCH(B53,'55_Codificacion_ensayo'!$A$5:$A$13,0)),"")</x:f>
        <x:v>EVENTO_PROC</x:v>
      </x:c>
      <x:c r="X53" s="12" t="str">
        <x:f>IFERROR(INDEX('55_Codificacion_ensayo'!$F$5:$F$13,MATCH(B53,'55_Codificacion_ensayo'!$A$5:$A$13,0)),"")</x:f>
        <x:v>TERMINADA</x:v>
      </x:c>
      <x:c r="Y53" s="12" t="str">
        <x:f>IFERROR(INDEX('55_Codificacion_ensayo'!$G$5:$G$13,MATCH(B53,'55_Codificacion_ensayo'!$A$5:$A$13,0)),"")</x:f>
      </x:c>
      <x:c r="Z53" s="12" t="str">
        <x:f>IFERROR(INDEX('55_Codificacion_ensayo'!$H$5:$H$13,MATCH(B53,'55_Codificacion_ensayo'!$A$5:$A$13,0)),"")</x:f>
        <x:v>NINGUNO</x:v>
      </x:c>
      <x:c r="AA53" s="12" t="str">
        <x:f>IFERROR(INDEX('55_Codificacion_ensayo'!$I$5:$I$13,MATCH(B53,'55_Codificacion_ensayo'!$A$5:$A$13,0)),"")</x:f>
        <x:v>GENERACION_TERMINADA</x:v>
      </x:c>
      <x:c r="AB53" s="12" t="str">
        <x:f>IFERROR(INDEX('55_Codificacion_ensayo'!$J$5:$J$13,MATCH(B53,'55_Codificacion_ensayo'!$A$5:$A$13,0)),"")</x:f>
        <x:v>SIN_TERMINACION</x:v>
      </x:c>
    </x:row>
    <x:row r="54" ht="47" customHeight="1">
      <x:c r="A54" s="4" t="str">
        <x:v>L10-05-10</x:v>
      </x:c>
      <x:c r="B54" s="4" t="str">
        <x:v>PAR-CYB-GENERACION-PROCESO-TERMINADA-001</x:v>
      </x:c>
      <x:c r="C54" s="4" t="str">
        <x:v>TERMINACION-GENERACION-PROCESO-0.1</x:v>
      </x:c>
      <x:c r="D54" s="4" t="str">
        <x:v>COINCIDE</x:v>
      </x:c>
      <x:c r="E54" s="4" t="str">
        <x:v>LEGIBLE</x:v>
      </x:c>
      <x:c r="F54" s="4" t="str">
        <x:v>CICLO_GENERACION</x:v>
      </x:c>
      <x:c r="G54" s="4" t="str">
        <x:v>UNICA</x:v>
      </x:c>
      <x:c r="H54" s="4" t="str">
        <x:v>NINGUNO</x:v>
      </x:c>
      <x:c r="I54" s="4" t="str"/>
      <x:c r="J54" s="4" t="str">
        <x:v>PARCIAL</x:v>
      </x:c>
      <x:c r="K54" s="4" t="str">
        <x:v>ORDEN_ACREDITADO</x:v>
      </x:c>
      <x:c r="L54" s="4" t="str">
        <x:v>VALIDA</x:v>
      </x:c>
      <x:c r="M54" s="4" t="str">
        <x:v>U</x:v>
      </x:c>
      <x:c r="N54" s="4" t="str">
        <x:v>COBERTURA_INSUFICIENTE</x:v>
      </x:c>
      <x:c r="O54" s="12" t="str">
        <x:f>IF(Q54="SIN_EJECUCION_DOMINIO","FALLO_CAPTURA",IF(OR(Q54="CAPTURA_MAL_FORMADA",Q54="IDENTIDAD",Q54="OBSERVACION_MAL_FORMADA",Q54="LEXEMA_O_FORMA"),"NO_ADMISION",IF(OR(Q54="PERFIL_NO_CONSTITUIDO",Q54="RESULTADO_NO_TERMINAL"),"FUERA_PERFIL",IF(Q54="CONTEXTO_NO_CONSTITUIDO","CONFIGURACION_PENDIENTE","VALIDA"))))</x:f>
        <x:v>VALIDA</x:v>
      </x:c>
      <x:c r="P54" s="12" t="str">
        <x:f>IF(O54&lt;&gt;"VALIDA","",IF(Q54=AA54,"1",IF(Q54=AB54,"0","U")))</x:f>
        <x:v>U</x:v>
      </x:c>
      <x:c r="Q54" s="12" t="str">
        <x:f>IF(E54="FALLO","SIN_EJECUCION_DOMINIO",IF(E54&lt;&gt;"LEGIBLE","CAPTURA_MAL_FORMADA",IF(D54&lt;&gt;"COINCIDE","IDENTIDAD",IF(OR(T54="",C54&lt;&gt;T54),"PERFIL_NO_CONSTITUIDO",IF(K54&lt;&gt;V54,IF(V54="ORDEN_ACREDITADO","ORDEN_NO_ACREDITADO","CONTEXTO_NO_CONSTITUIDO"),IF(AND(G54="AUSENTE",H54="",I54=""),"DATO_AUSENTE",IF(AND(G54="CONFLICTO",H54="",I54=""),"CONFLICTO_OBSERVACIONAL",IF(G54&lt;&gt;"UNICA","OBSERVACION_MAL_FORMADA",IF(F54&lt;&gt;U54,"OBSERVACION_INSUFICIENTE",IF(W54="RESULTADO",IF(H54=X54,AA54,IF(OR(H54="orcSucceededWithErrors",H54="orcFailed",H54="orcAborted"),AB54,IF(OR(H54="orcNotStarted",H54="orcInProgress"),"RESULTADO_NO_TERMINAL","LEXEMA_O_FORMA"))),IF(W54="EVENTO_BOOT",IF(H54=X54,AA54,IF(OR(H54="NINGUNO",H54="SOLO_HIBRIDO"),IF(J54="COMPLETA",AB54,"COBERTURA_INSUFICIENTE"),"LEXEMA_O_FORMA")),IF(W54="REQUISITO_SOFT",IF(H54=X54,AA54,IF(H54=Z54,AB54,"LEXEMA_O_FORMA")),IF(W54="EVENTO_PROC",IF(H54=X54,AA54,IF(H54=Z54,IF(J54="COMPLETA",AB54,"COBERTURA_INSUFICIENTE"),"LEXEMA_O_FORMA")),IF(W54="IMAGEN",IF(AND(AND(ISTEXT(H54),LEN(("x"&amp;H54))=65,EXACT(("x"&amp;H54),LOWER(("x"&amp;H54))),ISERROR(SEARCH(" ",("x"&amp;H54))),ISERROR(SEARCH(CHAR(9),("x"&amp;H54))),ISERROR(SEARCH(CHAR(10),("x"&amp;H54))),ISERROR(SEARCH(CHAR(13),("x"&amp;H54))),IFERROR(HEX2DEC(MID(("x"&amp;H54),2,8))&gt;=0,FALSE),IFERROR(HEX2DEC(MID(("x"&amp;H54),10,8))&gt;=0,FALSE),IFERROR(HEX2DEC(MID(("x"&amp;H54),18,8))&gt;=0,FALSE),IFERROR(HEX2DEC(MID(("x"&amp;H54),26,8))&gt;=0,FALSE),IFERROR(HEX2DEC(MID(("x"&amp;H54),34,8))&gt;=0,FALSE),IFERROR(HEX2DEC(MID(("x"&amp;H54),42,8))&gt;=0,FALSE),IFERROR(HEX2DEC(MID(("x"&amp;H54),50,8))&gt;=0,FALSE),IFERROR(HEX2DEC(MID(("x"&amp;H54),58,8))&gt;=0,FALSE)),AND(ISTEXT(I54),LEN(("x"&amp;I54))=65,EXACT(("x"&amp;I54),LOWER(("x"&amp;I54))),ISERROR(SEARCH(" ",("x"&amp;I54))),ISERROR(SEARCH(CHAR(9),("x"&amp;I54))),ISERROR(SEARCH(CHAR(10),("x"&amp;I54))),ISERROR(SEARCH(CHAR(13),("x"&amp;I54))),IFERROR(HEX2DEC(MID(("x"&amp;I54),2,8))&gt;=0,FALSE),IFERROR(HEX2DEC(MID(("x"&amp;I54),10,8))&gt;=0,FALSE),IFERROR(HEX2DEC(MID(("x"&amp;I54),18,8))&gt;=0,FALSE),IFERROR(HEX2DEC(MID(("x"&amp;I54),26,8))&gt;=0,FALSE),IFERROR(HEX2DEC(MID(("x"&amp;I54),34,8))&gt;=0,FALSE),IFERROR(HEX2DEC(MID(("x"&amp;I54),42,8))&gt;=0,FALSE),IFERROR(HEX2DEC(MID(("x"&amp;I54),50,8))&gt;=0,FALSE),IFERROR(HEX2DEC(MID(("x"&amp;I54),58,8))&gt;=0,FALSE))),IF(EXACT("x"&amp;H54,"x"&amp;I54),AA54,AB54),"LEXEMA_O_FORMA"),IF(W54="PRUEBA",IF(H54=X54,AA54,IF(H54=Z54,AB54,"LEXEMA_O_FORMA")),IF(W54="RETIRADA",IF(AND(H54="NINGUNO",I54=""),IF(J54="COMPLETA",AB54,"COBERTURA_INSUFICIENTE"),IF(AND(OR(H54="uoInstallation",H54="uoUninstallation"),OR(I54="orcSucceeded",I54="orcSucceededWithErrors",I54="orcFailed",I54="orcAborted",I54="orcInProgress",I54="orcNotStarted")),IF(AND(H54=X54,I54=Y54),AA54,IF(AND(H54=X54,OR(I54="orcSucceededWithErrors",I54="orcInProgress",I54="orcNotStarted")),"RESULTADO_RETIRADA_INCIERTO",IF(J54="COMPLETA",AB54,"COBERTURA_INSUFICIENTE"))),"LEXEMA_O_FORMA")),IF(W54="CAMBIO",IF(OR(H54="CAMBIO",H54="CAMBIO_Y_RETORNO"),AA54,IF(OR(H54="NINGUNO",H54="SOLO_RENOMBRE"),IF(J54="COMPLETA",AB54,"COBERTURA_INSUFICIENTE"),"LEXEMA_O_FORMA")),IF(W54="RESTAURACION",IF(H54=X54,AA54,IF(OR(H54="NINGUNO",H54="RESTAURACION_POSTERIOR",H54="RESTAURACION_FALLIDA"),IF(J54="COMPLETA",AB54,"COBERTURA_INSUFICIENTE"),"LEXEMA_O_FORMA")),"PERFIL_NO_CONSTITUIDO"))))))))))))))))))</x:f>
        <x:v>COBERTURA_INSUFICIENTE</x:v>
      </x:c>
      <x:c r="R54" s="12" t="str">
        <x:f>IF(AND(L54=O54,M54=P54,N54=Q54),"PASA","NO_PASA")</x:f>
        <x:v>PASA</x:v>
      </x:c>
      <x:c r="S54" s="4" t="str">
        <x:v>Ningún evento encontrado en cobertura parcial: U, no 0.</x:v>
      </x:c>
      <x:c r="T54" s="12" t="str">
        <x:f>IFERROR(INDEX('55_Codificacion_ensayo'!$B$5:$B$13,MATCH(B54,'55_Codificacion_ensayo'!$A$5:$A$13,0)),"")</x:f>
        <x:v>TERMINACION-GENERACION-PROCESO-0.1</x:v>
      </x:c>
      <x:c r="U54" s="12" t="str">
        <x:f>IFERROR(INDEX('55_Codificacion_ensayo'!$C$5:$C$13,MATCH(B54,'55_Codificacion_ensayo'!$A$5:$A$13,0)),"")</x:f>
        <x:v>CICLO_GENERACION</x:v>
      </x:c>
      <x:c r="V54" s="12" t="str">
        <x:f>IFERROR(INDEX('55_Codificacion_ensayo'!$D$5:$D$13,MATCH(B54,'55_Codificacion_ensayo'!$A$5:$A$13,0)),"")</x:f>
        <x:v>ORDEN_ACREDITADO</x:v>
      </x:c>
      <x:c r="W54" s="12" t="str">
        <x:f>IFERROR(INDEX('55_Codificacion_ensayo'!$E$5:$E$13,MATCH(B54,'55_Codificacion_ensayo'!$A$5:$A$13,0)),"")</x:f>
        <x:v>EVENTO_PROC</x:v>
      </x:c>
      <x:c r="X54" s="12" t="str">
        <x:f>IFERROR(INDEX('55_Codificacion_ensayo'!$F$5:$F$13,MATCH(B54,'55_Codificacion_ensayo'!$A$5:$A$13,0)),"")</x:f>
        <x:v>TERMINADA</x:v>
      </x:c>
      <x:c r="Y54" s="12" t="str">
        <x:f>IFERROR(INDEX('55_Codificacion_ensayo'!$G$5:$G$13,MATCH(B54,'55_Codificacion_ensayo'!$A$5:$A$13,0)),"")</x:f>
      </x:c>
      <x:c r="Z54" s="12" t="str">
        <x:f>IFERROR(INDEX('55_Codificacion_ensayo'!$H$5:$H$13,MATCH(B54,'55_Codificacion_ensayo'!$A$5:$A$13,0)),"")</x:f>
        <x:v>NINGUNO</x:v>
      </x:c>
      <x:c r="AA54" s="12" t="str">
        <x:f>IFERROR(INDEX('55_Codificacion_ensayo'!$I$5:$I$13,MATCH(B54,'55_Codificacion_ensayo'!$A$5:$A$13,0)),"")</x:f>
        <x:v>GENERACION_TERMINADA</x:v>
      </x:c>
      <x:c r="AB54" s="12" t="str">
        <x:f>IFERROR(INDEX('55_Codificacion_ensayo'!$J$5:$J$13,MATCH(B54,'55_Codificacion_ensayo'!$A$5:$A$13,0)),"")</x:f>
        <x:v>SIN_TERMINACION</x:v>
      </x:c>
    </x:row>
    <x:row r="55" ht="47" customHeight="1">
      <x:c r="A55" s="4" t="str">
        <x:v>L10-05-11</x:v>
      </x:c>
      <x:c r="B55" s="4" t="str">
        <x:v>PAR-CYB-GENERACION-PROCESO-TERMINADA-001</x:v>
      </x:c>
      <x:c r="C55" s="4" t="str">
        <x:v>TERMINACION-GENERACION-PROCESO-0.1</x:v>
      </x:c>
      <x:c r="D55" s="4" t="str">
        <x:v>COINCIDE</x:v>
      </x:c>
      <x:c r="E55" s="4" t="str">
        <x:v>LEGIBLE</x:v>
      </x:c>
      <x:c r="F55" s="4" t="str">
        <x:v>CICLO_GENERACION</x:v>
      </x:c>
      <x:c r="G55" s="4" t="str">
        <x:v>UNICA</x:v>
      </x:c>
      <x:c r="H55" s="4" t="str">
        <x:v>TERMINADA</x:v>
      </x:c>
      <x:c r="I55" s="4" t="str"/>
      <x:c r="J55" s="4" t="str">
        <x:v>PARCIAL</x:v>
      </x:c>
      <x:c r="K55" s="4" t="str">
        <x:v>ORDEN_ACREDITADO</x:v>
      </x:c>
      <x:c r="L55" s="4" t="str">
        <x:v>VALIDA</x:v>
      </x:c>
      <x:c r="M55" s="4" t="str">
        <x:v>1</x:v>
      </x:c>
      <x:c r="N55" s="4" t="str">
        <x:v>GENERACION_TERMINADA</x:v>
      </x:c>
      <x:c r="O55" s="12" t="str">
        <x:f>IF(Q55="SIN_EJECUCION_DOMINIO","FALLO_CAPTURA",IF(OR(Q55="CAPTURA_MAL_FORMADA",Q55="IDENTIDAD",Q55="OBSERVACION_MAL_FORMADA",Q55="LEXEMA_O_FORMA"),"NO_ADMISION",IF(OR(Q55="PERFIL_NO_CONSTITUIDO",Q55="RESULTADO_NO_TERMINAL"),"FUERA_PERFIL",IF(Q55="CONTEXTO_NO_CONSTITUIDO","CONFIGURACION_PENDIENTE","VALIDA"))))</x:f>
        <x:v>VALIDA</x:v>
      </x:c>
      <x:c r="P55" s="12" t="str">
        <x:f>IF(O55&lt;&gt;"VALIDA","",IF(Q55=AA55,"1",IF(Q55=AB55,"0","U")))</x:f>
        <x:v>1</x:v>
      </x:c>
      <x:c r="Q55" s="12" t="str">
        <x:f>IF(E55="FALLO","SIN_EJECUCION_DOMINIO",IF(E55&lt;&gt;"LEGIBLE","CAPTURA_MAL_FORMADA",IF(D55&lt;&gt;"COINCIDE","IDENTIDAD",IF(OR(T55="",C55&lt;&gt;T55),"PERFIL_NO_CONSTITUIDO",IF(K55&lt;&gt;V55,IF(V55="ORDEN_ACREDITADO","ORDEN_NO_ACREDITADO","CONTEXTO_NO_CONSTITUIDO"),IF(AND(G55="AUSENTE",H55="",I55=""),"DATO_AUSENTE",IF(AND(G55="CONFLICTO",H55="",I55=""),"CONFLICTO_OBSERVACIONAL",IF(G55&lt;&gt;"UNICA","OBSERVACION_MAL_FORMADA",IF(F55&lt;&gt;U55,"OBSERVACION_INSUFICIENTE",IF(W55="RESULTADO",IF(H55=X55,AA55,IF(OR(H55="orcSucceededWithErrors",H55="orcFailed",H55="orcAborted"),AB55,IF(OR(H55="orcNotStarted",H55="orcInProgress"),"RESULTADO_NO_TERMINAL","LEXEMA_O_FORMA"))),IF(W55="EVENTO_BOOT",IF(H55=X55,AA55,IF(OR(H55="NINGUNO",H55="SOLO_HIBRIDO"),IF(J55="COMPLETA",AB55,"COBERTURA_INSUFICIENTE"),"LEXEMA_O_FORMA")),IF(W55="REQUISITO_SOFT",IF(H55=X55,AA55,IF(H55=Z55,AB55,"LEXEMA_O_FORMA")),IF(W55="EVENTO_PROC",IF(H55=X55,AA55,IF(H55=Z55,IF(J55="COMPLETA",AB55,"COBERTURA_INSUFICIENTE"),"LEXEMA_O_FORMA")),IF(W55="IMAGEN",IF(AND(AND(ISTEXT(H55),LEN(("x"&amp;H55))=65,EXACT(("x"&amp;H55),LOWER(("x"&amp;H55))),ISERROR(SEARCH(" ",("x"&amp;H55))),ISERROR(SEARCH(CHAR(9),("x"&amp;H55))),ISERROR(SEARCH(CHAR(10),("x"&amp;H55))),ISERROR(SEARCH(CHAR(13),("x"&amp;H55))),IFERROR(HEX2DEC(MID(("x"&amp;H55),2,8))&gt;=0,FALSE),IFERROR(HEX2DEC(MID(("x"&amp;H55),10,8))&gt;=0,FALSE),IFERROR(HEX2DEC(MID(("x"&amp;H55),18,8))&gt;=0,FALSE),IFERROR(HEX2DEC(MID(("x"&amp;H55),26,8))&gt;=0,FALSE),IFERROR(HEX2DEC(MID(("x"&amp;H55),34,8))&gt;=0,FALSE),IFERROR(HEX2DEC(MID(("x"&amp;H55),42,8))&gt;=0,FALSE),IFERROR(HEX2DEC(MID(("x"&amp;H55),50,8))&gt;=0,FALSE),IFERROR(HEX2DEC(MID(("x"&amp;H55),58,8))&gt;=0,FALSE)),AND(ISTEXT(I55),LEN(("x"&amp;I55))=65,EXACT(("x"&amp;I55),LOWER(("x"&amp;I55))),ISERROR(SEARCH(" ",("x"&amp;I55))),ISERROR(SEARCH(CHAR(9),("x"&amp;I55))),ISERROR(SEARCH(CHAR(10),("x"&amp;I55))),ISERROR(SEARCH(CHAR(13),("x"&amp;I55))),IFERROR(HEX2DEC(MID(("x"&amp;I55),2,8))&gt;=0,FALSE),IFERROR(HEX2DEC(MID(("x"&amp;I55),10,8))&gt;=0,FALSE),IFERROR(HEX2DEC(MID(("x"&amp;I55),18,8))&gt;=0,FALSE),IFERROR(HEX2DEC(MID(("x"&amp;I55),26,8))&gt;=0,FALSE),IFERROR(HEX2DEC(MID(("x"&amp;I55),34,8))&gt;=0,FALSE),IFERROR(HEX2DEC(MID(("x"&amp;I55),42,8))&gt;=0,FALSE),IFERROR(HEX2DEC(MID(("x"&amp;I55),50,8))&gt;=0,FALSE),IFERROR(HEX2DEC(MID(("x"&amp;I55),58,8))&gt;=0,FALSE))),IF(EXACT("x"&amp;H55,"x"&amp;I55),AA55,AB55),"LEXEMA_O_FORMA"),IF(W55="PRUEBA",IF(H55=X55,AA55,IF(H55=Z55,AB55,"LEXEMA_O_FORMA")),IF(W55="RETIRADA",IF(AND(H55="NINGUNO",I55=""),IF(J55="COMPLETA",AB55,"COBERTURA_INSUFICIENTE"),IF(AND(OR(H55="uoInstallation",H55="uoUninstallation"),OR(I55="orcSucceeded",I55="orcSucceededWithErrors",I55="orcFailed",I55="orcAborted",I55="orcInProgress",I55="orcNotStarted")),IF(AND(H55=X55,I55=Y55),AA55,IF(AND(H55=X55,OR(I55="orcSucceededWithErrors",I55="orcInProgress",I55="orcNotStarted")),"RESULTADO_RETIRADA_INCIERTO",IF(J55="COMPLETA",AB55,"COBERTURA_INSUFICIENTE"))),"LEXEMA_O_FORMA")),IF(W55="CAMBIO",IF(OR(H55="CAMBIO",H55="CAMBIO_Y_RETORNO"),AA55,IF(OR(H55="NINGUNO",H55="SOLO_RENOMBRE"),IF(J55="COMPLETA",AB55,"COBERTURA_INSUFICIENTE"),"LEXEMA_O_FORMA")),IF(W55="RESTAURACION",IF(H55=X55,AA55,IF(OR(H55="NINGUNO",H55="RESTAURACION_POSTERIOR",H55="RESTAURACION_FALLIDA"),IF(J55="COMPLETA",AB55,"COBERTURA_INSUFICIENTE"),"LEXEMA_O_FORMA")),"PERFIL_NO_CONSTITUIDO"))))))))))))))))))</x:f>
        <x:v>GENERACION_TERMINADA</x:v>
      </x:c>
      <x:c r="R55" s="12" t="str">
        <x:f>IF(AND(L55=O55,M55=P55,N55=Q55),"PASA","NO_PASA")</x:f>
        <x:v>PASA</x:v>
      </x:c>
      <x:c r="S55" s="4" t="str">
        <x:v>Un testigo positivo acredita existencia aunque la historia restante sea parcial.</x:v>
      </x:c>
      <x:c r="T55" s="12" t="str">
        <x:f>IFERROR(INDEX('55_Codificacion_ensayo'!$B$5:$B$13,MATCH(B55,'55_Codificacion_ensayo'!$A$5:$A$13,0)),"")</x:f>
        <x:v>TERMINACION-GENERACION-PROCESO-0.1</x:v>
      </x:c>
      <x:c r="U55" s="12" t="str">
        <x:f>IFERROR(INDEX('55_Codificacion_ensayo'!$C$5:$C$13,MATCH(B55,'55_Codificacion_ensayo'!$A$5:$A$13,0)),"")</x:f>
        <x:v>CICLO_GENERACION</x:v>
      </x:c>
      <x:c r="V55" s="12" t="str">
        <x:f>IFERROR(INDEX('55_Codificacion_ensayo'!$D$5:$D$13,MATCH(B55,'55_Codificacion_ensayo'!$A$5:$A$13,0)),"")</x:f>
        <x:v>ORDEN_ACREDITADO</x:v>
      </x:c>
      <x:c r="W55" s="12" t="str">
        <x:f>IFERROR(INDEX('55_Codificacion_ensayo'!$E$5:$E$13,MATCH(B55,'55_Codificacion_ensayo'!$A$5:$A$13,0)),"")</x:f>
        <x:v>EVENTO_PROC</x:v>
      </x:c>
      <x:c r="X55" s="12" t="str">
        <x:f>IFERROR(INDEX('55_Codificacion_ensayo'!$F$5:$F$13,MATCH(B55,'55_Codificacion_ensayo'!$A$5:$A$13,0)),"")</x:f>
        <x:v>TERMINADA</x:v>
      </x:c>
      <x:c r="Y55" s="12" t="str">
        <x:f>IFERROR(INDEX('55_Codificacion_ensayo'!$G$5:$G$13,MATCH(B55,'55_Codificacion_ensayo'!$A$5:$A$13,0)),"")</x:f>
      </x:c>
      <x:c r="Z55" s="12" t="str">
        <x:f>IFERROR(INDEX('55_Codificacion_ensayo'!$H$5:$H$13,MATCH(B55,'55_Codificacion_ensayo'!$A$5:$A$13,0)),"")</x:f>
        <x:v>NINGUNO</x:v>
      </x:c>
      <x:c r="AA55" s="12" t="str">
        <x:f>IFERROR(INDEX('55_Codificacion_ensayo'!$I$5:$I$13,MATCH(B55,'55_Codificacion_ensayo'!$A$5:$A$13,0)),"")</x:f>
        <x:v>GENERACION_TERMINADA</x:v>
      </x:c>
      <x:c r="AB55" s="12" t="str">
        <x:f>IFERROR(INDEX('55_Codificacion_ensayo'!$J$5:$J$13,MATCH(B55,'55_Codificacion_ensayo'!$A$5:$A$13,0)),"")</x:f>
        <x:v>SIN_TERMINACION</x:v>
      </x:c>
    </x:row>
    <x:row r="56" ht="47" customHeight="1">
      <x:c r="A56" s="4" t="str">
        <x:v>L10-05-12</x:v>
      </x:c>
      <x:c r="B56" s="4" t="str">
        <x:v>PAR-CYB-GENERACION-PROCESO-TERMINADA-001</x:v>
      </x:c>
      <x:c r="C56" s="4" t="str">
        <x:v>TERMINACION-GENERACION-PROCESO-0.1</x:v>
      </x:c>
      <x:c r="D56" s="4" t="str">
        <x:v>COINCIDE</x:v>
      </x:c>
      <x:c r="E56" s="4" t="str">
        <x:v>LEGIBLE</x:v>
      </x:c>
      <x:c r="F56" s="4" t="str">
        <x:v>CICLO_GENERACION</x:v>
      </x:c>
      <x:c r="G56" s="4" t="str">
        <x:v>UNICA</x:v>
      </x:c>
      <x:c r="H56" s="4" t="str">
        <x:v>TERMINADA</x:v>
      </x:c>
      <x:c r="I56" s="4" t="str"/>
      <x:c r="J56" s="4" t="str">
        <x:v>COMPLETA</x:v>
      </x:c>
      <x:c r="K56" s="4" t="str">
        <x:v>ORDEN_INCIERTO</x:v>
      </x:c>
      <x:c r="L56" s="4" t="str">
        <x:v>VALIDA</x:v>
      </x:c>
      <x:c r="M56" s="4" t="str">
        <x:v>U</x:v>
      </x:c>
      <x:c r="N56" s="4" t="str">
        <x:v>ORDEN_NO_ACREDITADO</x:v>
      </x:c>
      <x:c r="O56" s="12" t="str">
        <x:f>IF(Q56="SIN_EJECUCION_DOMINIO","FALLO_CAPTURA",IF(OR(Q56="CAPTURA_MAL_FORMADA",Q56="IDENTIDAD",Q56="OBSERVACION_MAL_FORMADA",Q56="LEXEMA_O_FORMA"),"NO_ADMISION",IF(OR(Q56="PERFIL_NO_CONSTITUIDO",Q56="RESULTADO_NO_TERMINAL"),"FUERA_PERFIL",IF(Q56="CONTEXTO_NO_CONSTITUIDO","CONFIGURACION_PENDIENTE","VALIDA"))))</x:f>
        <x:v>VALIDA</x:v>
      </x:c>
      <x:c r="P56" s="12" t="str">
        <x:f>IF(O56&lt;&gt;"VALIDA","",IF(Q56=AA56,"1",IF(Q56=AB56,"0","U")))</x:f>
        <x:v>U</x:v>
      </x:c>
      <x:c r="Q56" s="12" t="str">
        <x:f>IF(E56="FALLO","SIN_EJECUCION_DOMINIO",IF(E56&lt;&gt;"LEGIBLE","CAPTURA_MAL_FORMADA",IF(D56&lt;&gt;"COINCIDE","IDENTIDAD",IF(OR(T56="",C56&lt;&gt;T56),"PERFIL_NO_CONSTITUIDO",IF(K56&lt;&gt;V56,IF(V56="ORDEN_ACREDITADO","ORDEN_NO_ACREDITADO","CONTEXTO_NO_CONSTITUIDO"),IF(AND(G56="AUSENTE",H56="",I56=""),"DATO_AUSENTE",IF(AND(G56="CONFLICTO",H56="",I56=""),"CONFLICTO_OBSERVACIONAL",IF(G56&lt;&gt;"UNICA","OBSERVACION_MAL_FORMADA",IF(F56&lt;&gt;U56,"OBSERVACION_INSUFICIENTE",IF(W56="RESULTADO",IF(H56=X56,AA56,IF(OR(H56="orcSucceededWithErrors",H56="orcFailed",H56="orcAborted"),AB56,IF(OR(H56="orcNotStarted",H56="orcInProgress"),"RESULTADO_NO_TERMINAL","LEXEMA_O_FORMA"))),IF(W56="EVENTO_BOOT",IF(H56=X56,AA56,IF(OR(H56="NINGUNO",H56="SOLO_HIBRIDO"),IF(J56="COMPLETA",AB56,"COBERTURA_INSUFICIENTE"),"LEXEMA_O_FORMA")),IF(W56="REQUISITO_SOFT",IF(H56=X56,AA56,IF(H56=Z56,AB56,"LEXEMA_O_FORMA")),IF(W56="EVENTO_PROC",IF(H56=X56,AA56,IF(H56=Z56,IF(J56="COMPLETA",AB56,"COBERTURA_INSUFICIENTE"),"LEXEMA_O_FORMA")),IF(W56="IMAGEN",IF(AND(AND(ISTEXT(H56),LEN(("x"&amp;H56))=65,EXACT(("x"&amp;H56),LOWER(("x"&amp;H56))),ISERROR(SEARCH(" ",("x"&amp;H56))),ISERROR(SEARCH(CHAR(9),("x"&amp;H56))),ISERROR(SEARCH(CHAR(10),("x"&amp;H56))),ISERROR(SEARCH(CHAR(13),("x"&amp;H56))),IFERROR(HEX2DEC(MID(("x"&amp;H56),2,8))&gt;=0,FALSE),IFERROR(HEX2DEC(MID(("x"&amp;H56),10,8))&gt;=0,FALSE),IFERROR(HEX2DEC(MID(("x"&amp;H56),18,8))&gt;=0,FALSE),IFERROR(HEX2DEC(MID(("x"&amp;H56),26,8))&gt;=0,FALSE),IFERROR(HEX2DEC(MID(("x"&amp;H56),34,8))&gt;=0,FALSE),IFERROR(HEX2DEC(MID(("x"&amp;H56),42,8))&gt;=0,FALSE),IFERROR(HEX2DEC(MID(("x"&amp;H56),50,8))&gt;=0,FALSE),IFERROR(HEX2DEC(MID(("x"&amp;H56),58,8))&gt;=0,FALSE)),AND(ISTEXT(I56),LEN(("x"&amp;I56))=65,EXACT(("x"&amp;I56),LOWER(("x"&amp;I56))),ISERROR(SEARCH(" ",("x"&amp;I56))),ISERROR(SEARCH(CHAR(9),("x"&amp;I56))),ISERROR(SEARCH(CHAR(10),("x"&amp;I56))),ISERROR(SEARCH(CHAR(13),("x"&amp;I56))),IFERROR(HEX2DEC(MID(("x"&amp;I56),2,8))&gt;=0,FALSE),IFERROR(HEX2DEC(MID(("x"&amp;I56),10,8))&gt;=0,FALSE),IFERROR(HEX2DEC(MID(("x"&amp;I56),18,8))&gt;=0,FALSE),IFERROR(HEX2DEC(MID(("x"&amp;I56),26,8))&gt;=0,FALSE),IFERROR(HEX2DEC(MID(("x"&amp;I56),34,8))&gt;=0,FALSE),IFERROR(HEX2DEC(MID(("x"&amp;I56),42,8))&gt;=0,FALSE),IFERROR(HEX2DEC(MID(("x"&amp;I56),50,8))&gt;=0,FALSE),IFERROR(HEX2DEC(MID(("x"&amp;I56),58,8))&gt;=0,FALSE))),IF(EXACT("x"&amp;H56,"x"&amp;I56),AA56,AB56),"LEXEMA_O_FORMA"),IF(W56="PRUEBA",IF(H56=X56,AA56,IF(H56=Z56,AB56,"LEXEMA_O_FORMA")),IF(W56="RETIRADA",IF(AND(H56="NINGUNO",I56=""),IF(J56="COMPLETA",AB56,"COBERTURA_INSUFICIENTE"),IF(AND(OR(H56="uoInstallation",H56="uoUninstallation"),OR(I56="orcSucceeded",I56="orcSucceededWithErrors",I56="orcFailed",I56="orcAborted",I56="orcInProgress",I56="orcNotStarted")),IF(AND(H56=X56,I56=Y56),AA56,IF(AND(H56=X56,OR(I56="orcSucceededWithErrors",I56="orcInProgress",I56="orcNotStarted")),"RESULTADO_RETIRADA_INCIERTO",IF(J56="COMPLETA",AB56,"COBERTURA_INSUFICIENTE"))),"LEXEMA_O_FORMA")),IF(W56="CAMBIO",IF(OR(H56="CAMBIO",H56="CAMBIO_Y_RETORNO"),AA56,IF(OR(H56="NINGUNO",H56="SOLO_RENOMBRE"),IF(J56="COMPLETA",AB56,"COBERTURA_INSUFICIENTE"),"LEXEMA_O_FORMA")),IF(W56="RESTAURACION",IF(H56=X56,AA56,IF(OR(H56="NINGUNO",H56="RESTAURACION_POSTERIOR",H56="RESTAURACION_FALLIDA"),IF(J56="COMPLETA",AB56,"COBERTURA_INSUFICIENTE"),"LEXEMA_O_FORMA")),"PERFIL_NO_CONSTITUIDO"))))))))))))))))))</x:f>
        <x:v>ORDEN_NO_ACREDITADO</x:v>
      </x:c>
      <x:c r="R56" s="12" t="str">
        <x:f>IF(AND(L56=O56,M56=P56,N56=Q56),"PASA","NO_PASA")</x:f>
        <x:v>PASA</x:v>
      </x:c>
      <x:c r="S56" s="4" t="str">
        <x:v>El orden no está acreditado; la mera fecha no prueba posterioridad.</x:v>
      </x:c>
      <x:c r="T56" s="12" t="str">
        <x:f>IFERROR(INDEX('55_Codificacion_ensayo'!$B$5:$B$13,MATCH(B56,'55_Codificacion_ensayo'!$A$5:$A$13,0)),"")</x:f>
        <x:v>TERMINACION-GENERACION-PROCESO-0.1</x:v>
      </x:c>
      <x:c r="U56" s="12" t="str">
        <x:f>IFERROR(INDEX('55_Codificacion_ensayo'!$C$5:$C$13,MATCH(B56,'55_Codificacion_ensayo'!$A$5:$A$13,0)),"")</x:f>
        <x:v>CICLO_GENERACION</x:v>
      </x:c>
      <x:c r="V56" s="12" t="str">
        <x:f>IFERROR(INDEX('55_Codificacion_ensayo'!$D$5:$D$13,MATCH(B56,'55_Codificacion_ensayo'!$A$5:$A$13,0)),"")</x:f>
        <x:v>ORDEN_ACREDITADO</x:v>
      </x:c>
      <x:c r="W56" s="12" t="str">
        <x:f>IFERROR(INDEX('55_Codificacion_ensayo'!$E$5:$E$13,MATCH(B56,'55_Codificacion_ensayo'!$A$5:$A$13,0)),"")</x:f>
        <x:v>EVENTO_PROC</x:v>
      </x:c>
      <x:c r="X56" s="12" t="str">
        <x:f>IFERROR(INDEX('55_Codificacion_ensayo'!$F$5:$F$13,MATCH(B56,'55_Codificacion_ensayo'!$A$5:$A$13,0)),"")</x:f>
        <x:v>TERMINADA</x:v>
      </x:c>
      <x:c r="Y56" s="12" t="str">
        <x:f>IFERROR(INDEX('55_Codificacion_ensayo'!$G$5:$G$13,MATCH(B56,'55_Codificacion_ensayo'!$A$5:$A$13,0)),"")</x:f>
      </x:c>
      <x:c r="Z56" s="12" t="str">
        <x:f>IFERROR(INDEX('55_Codificacion_ensayo'!$H$5:$H$13,MATCH(B56,'55_Codificacion_ensayo'!$A$5:$A$13,0)),"")</x:f>
        <x:v>NINGUNO</x:v>
      </x:c>
      <x:c r="AA56" s="12" t="str">
        <x:f>IFERROR(INDEX('55_Codificacion_ensayo'!$I$5:$I$13,MATCH(B56,'55_Codificacion_ensayo'!$A$5:$A$13,0)),"")</x:f>
        <x:v>GENERACION_TERMINADA</x:v>
      </x:c>
      <x:c r="AB56" s="12" t="str">
        <x:f>IFERROR(INDEX('55_Codificacion_ensayo'!$J$5:$J$13,MATCH(B56,'55_Codificacion_ensayo'!$A$5:$A$13,0)),"")</x:f>
        <x:v>SIN_TERMINACION</x:v>
      </x:c>
    </x:row>
    <x:row r="57" ht="47" customHeight="1">
      <x:c r="A57" s="4" t="str">
        <x:v>L10-05-13</x:v>
      </x:c>
      <x:c r="B57" s="4" t="str">
        <x:v>PAR-CYB-GENERACION-PROCESO-TERMINADA-001</x:v>
      </x:c>
      <x:c r="C57" s="4" t="str">
        <x:v>TERMINACION-GENERACION-PROCESO-0.1</x:v>
      </x:c>
      <x:c r="D57" s="4" t="str">
        <x:v>COINCIDE</x:v>
      </x:c>
      <x:c r="E57" s="4" t="str">
        <x:v>LEGIBLE</x:v>
      </x:c>
      <x:c r="F57" s="4" t="str">
        <x:v>PID_SOLO</x:v>
      </x:c>
      <x:c r="G57" s="4" t="str">
        <x:v>UNICA</x:v>
      </x:c>
      <x:c r="H57" s="4" t="str">
        <x:v>TERMINADA</x:v>
      </x:c>
      <x:c r="I57" s="4" t="str"/>
      <x:c r="J57" s="4" t="str">
        <x:v>COMPLETA</x:v>
      </x:c>
      <x:c r="K57" s="4" t="str">
        <x:v>ORDEN_ACREDITADO</x:v>
      </x:c>
      <x:c r="L57" s="4" t="str">
        <x:v>VALIDA</x:v>
      </x:c>
      <x:c r="M57" s="4" t="str">
        <x:v>U</x:v>
      </x:c>
      <x:c r="N57" s="4" t="str">
        <x:v>OBSERVACION_INSUFICIENTE</x:v>
      </x:c>
      <x:c r="O57" s="12" t="str">
        <x:f>IF(Q57="SIN_EJECUCION_DOMINIO","FALLO_CAPTURA",IF(OR(Q57="CAPTURA_MAL_FORMADA",Q57="IDENTIDAD",Q57="OBSERVACION_MAL_FORMADA",Q57="LEXEMA_O_FORMA"),"NO_ADMISION",IF(OR(Q57="PERFIL_NO_CONSTITUIDO",Q57="RESULTADO_NO_TERMINAL"),"FUERA_PERFIL",IF(Q57="CONTEXTO_NO_CONSTITUIDO","CONFIGURACION_PENDIENTE","VALIDA"))))</x:f>
        <x:v>VALIDA</x:v>
      </x:c>
      <x:c r="P57" s="12" t="str">
        <x:f>IF(O57&lt;&gt;"VALIDA","",IF(Q57=AA57,"1",IF(Q57=AB57,"0","U")))</x:f>
        <x:v>U</x:v>
      </x:c>
      <x:c r="Q57" s="12" t="str">
        <x:f>IF(E57="FALLO","SIN_EJECUCION_DOMINIO",IF(E57&lt;&gt;"LEGIBLE","CAPTURA_MAL_FORMADA",IF(D57&lt;&gt;"COINCIDE","IDENTIDAD",IF(OR(T57="",C57&lt;&gt;T57),"PERFIL_NO_CONSTITUIDO",IF(K57&lt;&gt;V57,IF(V57="ORDEN_ACREDITADO","ORDEN_NO_ACREDITADO","CONTEXTO_NO_CONSTITUIDO"),IF(AND(G57="AUSENTE",H57="",I57=""),"DATO_AUSENTE",IF(AND(G57="CONFLICTO",H57="",I57=""),"CONFLICTO_OBSERVACIONAL",IF(G57&lt;&gt;"UNICA","OBSERVACION_MAL_FORMADA",IF(F57&lt;&gt;U57,"OBSERVACION_INSUFICIENTE",IF(W57="RESULTADO",IF(H57=X57,AA57,IF(OR(H57="orcSucceededWithErrors",H57="orcFailed",H57="orcAborted"),AB57,IF(OR(H57="orcNotStarted",H57="orcInProgress"),"RESULTADO_NO_TERMINAL","LEXEMA_O_FORMA"))),IF(W57="EVENTO_BOOT",IF(H57=X57,AA57,IF(OR(H57="NINGUNO",H57="SOLO_HIBRIDO"),IF(J57="COMPLETA",AB57,"COBERTURA_INSUFICIENTE"),"LEXEMA_O_FORMA")),IF(W57="REQUISITO_SOFT",IF(H57=X57,AA57,IF(H57=Z57,AB57,"LEXEMA_O_FORMA")),IF(W57="EVENTO_PROC",IF(H57=X57,AA57,IF(H57=Z57,IF(J57="COMPLETA",AB57,"COBERTURA_INSUFICIENTE"),"LEXEMA_O_FORMA")),IF(W57="IMAGEN",IF(AND(AND(ISTEXT(H57),LEN(("x"&amp;H57))=65,EXACT(("x"&amp;H57),LOWER(("x"&amp;H57))),ISERROR(SEARCH(" ",("x"&amp;H57))),ISERROR(SEARCH(CHAR(9),("x"&amp;H57))),ISERROR(SEARCH(CHAR(10),("x"&amp;H57))),ISERROR(SEARCH(CHAR(13),("x"&amp;H57))),IFERROR(HEX2DEC(MID(("x"&amp;H57),2,8))&gt;=0,FALSE),IFERROR(HEX2DEC(MID(("x"&amp;H57),10,8))&gt;=0,FALSE),IFERROR(HEX2DEC(MID(("x"&amp;H57),18,8))&gt;=0,FALSE),IFERROR(HEX2DEC(MID(("x"&amp;H57),26,8))&gt;=0,FALSE),IFERROR(HEX2DEC(MID(("x"&amp;H57),34,8))&gt;=0,FALSE),IFERROR(HEX2DEC(MID(("x"&amp;H57),42,8))&gt;=0,FALSE),IFERROR(HEX2DEC(MID(("x"&amp;H57),50,8))&gt;=0,FALSE),IFERROR(HEX2DEC(MID(("x"&amp;H57),58,8))&gt;=0,FALSE)),AND(ISTEXT(I57),LEN(("x"&amp;I57))=65,EXACT(("x"&amp;I57),LOWER(("x"&amp;I57))),ISERROR(SEARCH(" ",("x"&amp;I57))),ISERROR(SEARCH(CHAR(9),("x"&amp;I57))),ISERROR(SEARCH(CHAR(10),("x"&amp;I57))),ISERROR(SEARCH(CHAR(13),("x"&amp;I57))),IFERROR(HEX2DEC(MID(("x"&amp;I57),2,8))&gt;=0,FALSE),IFERROR(HEX2DEC(MID(("x"&amp;I57),10,8))&gt;=0,FALSE),IFERROR(HEX2DEC(MID(("x"&amp;I57),18,8))&gt;=0,FALSE),IFERROR(HEX2DEC(MID(("x"&amp;I57),26,8))&gt;=0,FALSE),IFERROR(HEX2DEC(MID(("x"&amp;I57),34,8))&gt;=0,FALSE),IFERROR(HEX2DEC(MID(("x"&amp;I57),42,8))&gt;=0,FALSE),IFERROR(HEX2DEC(MID(("x"&amp;I57),50,8))&gt;=0,FALSE),IFERROR(HEX2DEC(MID(("x"&amp;I57),58,8))&gt;=0,FALSE))),IF(EXACT("x"&amp;H57,"x"&amp;I57),AA57,AB57),"LEXEMA_O_FORMA"),IF(W57="PRUEBA",IF(H57=X57,AA57,IF(H57=Z57,AB57,"LEXEMA_O_FORMA")),IF(W57="RETIRADA",IF(AND(H57="NINGUNO",I57=""),IF(J57="COMPLETA",AB57,"COBERTURA_INSUFICIENTE"),IF(AND(OR(H57="uoInstallation",H57="uoUninstallation"),OR(I57="orcSucceeded",I57="orcSucceededWithErrors",I57="orcFailed",I57="orcAborted",I57="orcInProgress",I57="orcNotStarted")),IF(AND(H57=X57,I57=Y57),AA57,IF(AND(H57=X57,OR(I57="orcSucceededWithErrors",I57="orcInProgress",I57="orcNotStarted")),"RESULTADO_RETIRADA_INCIERTO",IF(J57="COMPLETA",AB57,"COBERTURA_INSUFICIENTE"))),"LEXEMA_O_FORMA")),IF(W57="CAMBIO",IF(OR(H57="CAMBIO",H57="CAMBIO_Y_RETORNO"),AA57,IF(OR(H57="NINGUNO",H57="SOLO_RENOMBRE"),IF(J57="COMPLETA",AB57,"COBERTURA_INSUFICIENTE"),"LEXEMA_O_FORMA")),IF(W57="RESTAURACION",IF(H57=X57,AA57,IF(OR(H57="NINGUNO",H57="RESTAURACION_POSTERIOR",H57="RESTAURACION_FALLIDA"),IF(J57="COMPLETA",AB57,"COBERTURA_INSUFICIENTE"),"LEXEMA_O_FORMA")),"PERFIL_NO_CONSTITUIDO"))))))))))))))))))</x:f>
        <x:v>OBSERVACION_INSUFICIENTE</x:v>
      </x:c>
      <x:c r="R57" s="12" t="str">
        <x:f>IF(AND(L57=O57,M57=P57,N57=Q57),"PASA","NO_PASA")</x:f>
        <x:v>PASA</x:v>
      </x:c>
      <x:c r="S57" s="4" t="str">
        <x:v>Un PID sin identidad de generación no prueba terminación.</x:v>
      </x:c>
      <x:c r="T57" s="12" t="str">
        <x:f>IFERROR(INDEX('55_Codificacion_ensayo'!$B$5:$B$13,MATCH(B57,'55_Codificacion_ensayo'!$A$5:$A$13,0)),"")</x:f>
        <x:v>TERMINACION-GENERACION-PROCESO-0.1</x:v>
      </x:c>
      <x:c r="U57" s="12" t="str">
        <x:f>IFERROR(INDEX('55_Codificacion_ensayo'!$C$5:$C$13,MATCH(B57,'55_Codificacion_ensayo'!$A$5:$A$13,0)),"")</x:f>
        <x:v>CICLO_GENERACION</x:v>
      </x:c>
      <x:c r="V57" s="12" t="str">
        <x:f>IFERROR(INDEX('55_Codificacion_ensayo'!$D$5:$D$13,MATCH(B57,'55_Codificacion_ensayo'!$A$5:$A$13,0)),"")</x:f>
        <x:v>ORDEN_ACREDITADO</x:v>
      </x:c>
      <x:c r="W57" s="12" t="str">
        <x:f>IFERROR(INDEX('55_Codificacion_ensayo'!$E$5:$E$13,MATCH(B57,'55_Codificacion_ensayo'!$A$5:$A$13,0)),"")</x:f>
        <x:v>EVENTO_PROC</x:v>
      </x:c>
      <x:c r="X57" s="12" t="str">
        <x:f>IFERROR(INDEX('55_Codificacion_ensayo'!$F$5:$F$13,MATCH(B57,'55_Codificacion_ensayo'!$A$5:$A$13,0)),"")</x:f>
        <x:v>TERMINADA</x:v>
      </x:c>
      <x:c r="Y57" s="12" t="str">
        <x:f>IFERROR(INDEX('55_Codificacion_ensayo'!$G$5:$G$13,MATCH(B57,'55_Codificacion_ensayo'!$A$5:$A$13,0)),"")</x:f>
      </x:c>
      <x:c r="Z57" s="12" t="str">
        <x:f>IFERROR(INDEX('55_Codificacion_ensayo'!$H$5:$H$13,MATCH(B57,'55_Codificacion_ensayo'!$A$5:$A$13,0)),"")</x:f>
        <x:v>NINGUNO</x:v>
      </x:c>
      <x:c r="AA57" s="12" t="str">
        <x:f>IFERROR(INDEX('55_Codificacion_ensayo'!$I$5:$I$13,MATCH(B57,'55_Codificacion_ensayo'!$A$5:$A$13,0)),"")</x:f>
        <x:v>GENERACION_TERMINADA</x:v>
      </x:c>
      <x:c r="AB57" s="12" t="str">
        <x:f>IFERROR(INDEX('55_Codificacion_ensayo'!$J$5:$J$13,MATCH(B57,'55_Codificacion_ensayo'!$A$5:$A$13,0)),"")</x:f>
        <x:v>SIN_TERMINACION</x:v>
      </x:c>
    </x:row>
    <x:row r="58" ht="47" customHeight="1">
      <x:c r="A58" s="4" t="str">
        <x:v>L10-05-14</x:v>
      </x:c>
      <x:c r="B58" s="4" t="str">
        <x:v>PAR-CYB-GENERACION-PROCESO-TERMINADA-001</x:v>
      </x:c>
      <x:c r="C58" s="4" t="str">
        <x:v>TERMINACION-GENERACION-PROCESO-0.1</x:v>
      </x:c>
      <x:c r="D58" s="4" t="str">
        <x:v>COINCIDE</x:v>
      </x:c>
      <x:c r="E58" s="4" t="str">
        <x:v>LEGIBLE</x:v>
      </x:c>
      <x:c r="F58" s="4" t="str">
        <x:v>NUEVA_INSTANCIA</x:v>
      </x:c>
      <x:c r="G58" s="4" t="str">
        <x:v>UNICA</x:v>
      </x:c>
      <x:c r="H58" s="4" t="str">
        <x:v>TERMINADA</x:v>
      </x:c>
      <x:c r="I58" s="4" t="str"/>
      <x:c r="J58" s="4" t="str">
        <x:v>COMPLETA</x:v>
      </x:c>
      <x:c r="K58" s="4" t="str">
        <x:v>ORDEN_ACREDITADO</x:v>
      </x:c>
      <x:c r="L58" s="4" t="str">
        <x:v>VALIDA</x:v>
      </x:c>
      <x:c r="M58" s="4" t="str">
        <x:v>U</x:v>
      </x:c>
      <x:c r="N58" s="4" t="str">
        <x:v>OBSERVACION_INSUFICIENTE</x:v>
      </x:c>
      <x:c r="O58" s="12" t="str">
        <x:f>IF(Q58="SIN_EJECUCION_DOMINIO","FALLO_CAPTURA",IF(OR(Q58="CAPTURA_MAL_FORMADA",Q58="IDENTIDAD",Q58="OBSERVACION_MAL_FORMADA",Q58="LEXEMA_O_FORMA"),"NO_ADMISION",IF(OR(Q58="PERFIL_NO_CONSTITUIDO",Q58="RESULTADO_NO_TERMINAL"),"FUERA_PERFIL",IF(Q58="CONTEXTO_NO_CONSTITUIDO","CONFIGURACION_PENDIENTE","VALIDA"))))</x:f>
        <x:v>VALIDA</x:v>
      </x:c>
      <x:c r="P58" s="12" t="str">
        <x:f>IF(O58&lt;&gt;"VALIDA","",IF(Q58=AA58,"1",IF(Q58=AB58,"0","U")))</x:f>
        <x:v>U</x:v>
      </x:c>
      <x:c r="Q58" s="12" t="str">
        <x:f>IF(E58="FALLO","SIN_EJECUCION_DOMINIO",IF(E58&lt;&gt;"LEGIBLE","CAPTURA_MAL_FORMADA",IF(D58&lt;&gt;"COINCIDE","IDENTIDAD",IF(OR(T58="",C58&lt;&gt;T58),"PERFIL_NO_CONSTITUIDO",IF(K58&lt;&gt;V58,IF(V58="ORDEN_ACREDITADO","ORDEN_NO_ACREDITADO","CONTEXTO_NO_CONSTITUIDO"),IF(AND(G58="AUSENTE",H58="",I58=""),"DATO_AUSENTE",IF(AND(G58="CONFLICTO",H58="",I58=""),"CONFLICTO_OBSERVACIONAL",IF(G58&lt;&gt;"UNICA","OBSERVACION_MAL_FORMADA",IF(F58&lt;&gt;U58,"OBSERVACION_INSUFICIENTE",IF(W58="RESULTADO",IF(H58=X58,AA58,IF(OR(H58="orcSucceededWithErrors",H58="orcFailed",H58="orcAborted"),AB58,IF(OR(H58="orcNotStarted",H58="orcInProgress"),"RESULTADO_NO_TERMINAL","LEXEMA_O_FORMA"))),IF(W58="EVENTO_BOOT",IF(H58=X58,AA58,IF(OR(H58="NINGUNO",H58="SOLO_HIBRIDO"),IF(J58="COMPLETA",AB58,"COBERTURA_INSUFICIENTE"),"LEXEMA_O_FORMA")),IF(W58="REQUISITO_SOFT",IF(H58=X58,AA58,IF(H58=Z58,AB58,"LEXEMA_O_FORMA")),IF(W58="EVENTO_PROC",IF(H58=X58,AA58,IF(H58=Z58,IF(J58="COMPLETA",AB58,"COBERTURA_INSUFICIENTE"),"LEXEMA_O_FORMA")),IF(W58="IMAGEN",IF(AND(AND(ISTEXT(H58),LEN(("x"&amp;H58))=65,EXACT(("x"&amp;H58),LOWER(("x"&amp;H58))),ISERROR(SEARCH(" ",("x"&amp;H58))),ISERROR(SEARCH(CHAR(9),("x"&amp;H58))),ISERROR(SEARCH(CHAR(10),("x"&amp;H58))),ISERROR(SEARCH(CHAR(13),("x"&amp;H58))),IFERROR(HEX2DEC(MID(("x"&amp;H58),2,8))&gt;=0,FALSE),IFERROR(HEX2DEC(MID(("x"&amp;H58),10,8))&gt;=0,FALSE),IFERROR(HEX2DEC(MID(("x"&amp;H58),18,8))&gt;=0,FALSE),IFERROR(HEX2DEC(MID(("x"&amp;H58),26,8))&gt;=0,FALSE),IFERROR(HEX2DEC(MID(("x"&amp;H58),34,8))&gt;=0,FALSE),IFERROR(HEX2DEC(MID(("x"&amp;H58),42,8))&gt;=0,FALSE),IFERROR(HEX2DEC(MID(("x"&amp;H58),50,8))&gt;=0,FALSE),IFERROR(HEX2DEC(MID(("x"&amp;H58),58,8))&gt;=0,FALSE)),AND(ISTEXT(I58),LEN(("x"&amp;I58))=65,EXACT(("x"&amp;I58),LOWER(("x"&amp;I58))),ISERROR(SEARCH(" ",("x"&amp;I58))),ISERROR(SEARCH(CHAR(9),("x"&amp;I58))),ISERROR(SEARCH(CHAR(10),("x"&amp;I58))),ISERROR(SEARCH(CHAR(13),("x"&amp;I58))),IFERROR(HEX2DEC(MID(("x"&amp;I58),2,8))&gt;=0,FALSE),IFERROR(HEX2DEC(MID(("x"&amp;I58),10,8))&gt;=0,FALSE),IFERROR(HEX2DEC(MID(("x"&amp;I58),18,8))&gt;=0,FALSE),IFERROR(HEX2DEC(MID(("x"&amp;I58),26,8))&gt;=0,FALSE),IFERROR(HEX2DEC(MID(("x"&amp;I58),34,8))&gt;=0,FALSE),IFERROR(HEX2DEC(MID(("x"&amp;I58),42,8))&gt;=0,FALSE),IFERROR(HEX2DEC(MID(("x"&amp;I58),50,8))&gt;=0,FALSE),IFERROR(HEX2DEC(MID(("x"&amp;I58),58,8))&gt;=0,FALSE))),IF(EXACT("x"&amp;H58,"x"&amp;I58),AA58,AB58),"LEXEMA_O_FORMA"),IF(W58="PRUEBA",IF(H58=X58,AA58,IF(H58=Z58,AB58,"LEXEMA_O_FORMA")),IF(W58="RETIRADA",IF(AND(H58="NINGUNO",I58=""),IF(J58="COMPLETA",AB58,"COBERTURA_INSUFICIENTE"),IF(AND(OR(H58="uoInstallation",H58="uoUninstallation"),OR(I58="orcSucceeded",I58="orcSucceededWithErrors",I58="orcFailed",I58="orcAborted",I58="orcInProgress",I58="orcNotStarted")),IF(AND(H58=X58,I58=Y58),AA58,IF(AND(H58=X58,OR(I58="orcSucceededWithErrors",I58="orcInProgress",I58="orcNotStarted")),"RESULTADO_RETIRADA_INCIERTO",IF(J58="COMPLETA",AB58,"COBERTURA_INSUFICIENTE"))),"LEXEMA_O_FORMA")),IF(W58="CAMBIO",IF(OR(H58="CAMBIO",H58="CAMBIO_Y_RETORNO"),AA58,IF(OR(H58="NINGUNO",H58="SOLO_RENOMBRE"),IF(J58="COMPLETA",AB58,"COBERTURA_INSUFICIENTE"),"LEXEMA_O_FORMA")),IF(W58="RESTAURACION",IF(H58=X58,AA58,IF(OR(H58="NINGUNO",H58="RESTAURACION_POSTERIOR",H58="RESTAURACION_FALLIDA"),IF(J58="COMPLETA",AB58,"COBERTURA_INSUFICIENTE"),"LEXEMA_O_FORMA")),"PERFIL_NO_CONSTITUIDO"))))))))))))))))))</x:f>
        <x:v>OBSERVACION_INSUFICIENTE</x:v>
      </x:c>
      <x:c r="R58" s="12" t="str">
        <x:f>IF(AND(L58=O58,M58=P58,N58=Q58),"PASA","NO_PASA")</x:f>
        <x:v>PASA</x:v>
      </x:c>
      <x:c r="S58" s="4" t="str">
        <x:v>La nueva instancia no demuestra terminación de la generación previa.</x:v>
      </x:c>
      <x:c r="T58" s="12" t="str">
        <x:f>IFERROR(INDEX('55_Codificacion_ensayo'!$B$5:$B$13,MATCH(B58,'55_Codificacion_ensayo'!$A$5:$A$13,0)),"")</x:f>
        <x:v>TERMINACION-GENERACION-PROCESO-0.1</x:v>
      </x:c>
      <x:c r="U58" s="12" t="str">
        <x:f>IFERROR(INDEX('55_Codificacion_ensayo'!$C$5:$C$13,MATCH(B58,'55_Codificacion_ensayo'!$A$5:$A$13,0)),"")</x:f>
        <x:v>CICLO_GENERACION</x:v>
      </x:c>
      <x:c r="V58" s="12" t="str">
        <x:f>IFERROR(INDEX('55_Codificacion_ensayo'!$D$5:$D$13,MATCH(B58,'55_Codificacion_ensayo'!$A$5:$A$13,0)),"")</x:f>
        <x:v>ORDEN_ACREDITADO</x:v>
      </x:c>
      <x:c r="W58" s="12" t="str">
        <x:f>IFERROR(INDEX('55_Codificacion_ensayo'!$E$5:$E$13,MATCH(B58,'55_Codificacion_ensayo'!$A$5:$A$13,0)),"")</x:f>
        <x:v>EVENTO_PROC</x:v>
      </x:c>
      <x:c r="X58" s="12" t="str">
        <x:f>IFERROR(INDEX('55_Codificacion_ensayo'!$F$5:$F$13,MATCH(B58,'55_Codificacion_ensayo'!$A$5:$A$13,0)),"")</x:f>
        <x:v>TERMINADA</x:v>
      </x:c>
      <x:c r="Y58" s="12" t="str">
        <x:f>IFERROR(INDEX('55_Codificacion_ensayo'!$G$5:$G$13,MATCH(B58,'55_Codificacion_ensayo'!$A$5:$A$13,0)),"")</x:f>
      </x:c>
      <x:c r="Z58" s="12" t="str">
        <x:f>IFERROR(INDEX('55_Codificacion_ensayo'!$H$5:$H$13,MATCH(B58,'55_Codificacion_ensayo'!$A$5:$A$13,0)),"")</x:f>
        <x:v>NINGUNO</x:v>
      </x:c>
      <x:c r="AA58" s="12" t="str">
        <x:f>IFERROR(INDEX('55_Codificacion_ensayo'!$I$5:$I$13,MATCH(B58,'55_Codificacion_ensayo'!$A$5:$A$13,0)),"")</x:f>
        <x:v>GENERACION_TERMINADA</x:v>
      </x:c>
      <x:c r="AB58" s="12" t="str">
        <x:f>IFERROR(INDEX('55_Codificacion_ensayo'!$J$5:$J$13,MATCH(B58,'55_Codificacion_ensayo'!$A$5:$A$13,0)),"")</x:f>
        <x:v>SIN_TERMINACION</x:v>
      </x:c>
    </x:row>
    <x:row r="59" ht="47" customHeight="1">
      <x:c r="A59" s="4" t="str">
        <x:v>L10-06-01</x:v>
      </x:c>
      <x:c r="B59" s="4" t="str">
        <x:v>PAR-CYB-IMAGEN-OBJETIVO-ACTIVA-001</x:v>
      </x:c>
      <x:c r="C59" s="4" t="str">
        <x:v>IDENTIDAD-IMAGEN-CARGADA-0.1</x:v>
      </x:c>
      <x:c r="D59" s="4" t="str">
        <x:v>COINCIDE</x:v>
      </x:c>
      <x:c r="E59" s="4" t="str">
        <x:v>LEGIBLE</x:v>
      </x:c>
      <x:c r="F59" s="4" t="str">
        <x:v>IMAGEN_CARGADA</x:v>
      </x:c>
      <x:c r="G59" s="4" t="str">
        <x:v>UNICA</x:v>
      </x:c>
      <x:c r="H59" s="4" t="str">
        <x:v>aaaaaaaaaaaaaaaaaaaaaaaaaaaaaaaaaaaaaaaaaaaaaaaaaaaaaaaaaaaaaaaa</x:v>
      </x:c>
      <x:c r="I59" s="4" t="str">
        <x:v>aaaaaaaaaaaaaaaaaaaaaaaaaaaaaaaaaaaaaaaaaaaaaaaaaaaaaaaaaaaaaaaa</x:v>
      </x:c>
      <x:c r="J59" s="4" t="str">
        <x:v>COMPLETA</x:v>
      </x:c>
      <x:c r="K59" s="4" t="str">
        <x:v>METODO_ADMITIDO</x:v>
      </x:c>
      <x:c r="L59" s="4" t="str">
        <x:v>VALIDA</x:v>
      </x:c>
      <x:c r="M59" s="4" t="str">
        <x:v>1</x:v>
      </x:c>
      <x:c r="N59" s="4" t="str">
        <x:v>IMAGEN_OBJETIVO</x:v>
      </x:c>
      <x:c r="O59" s="12" t="str">
        <x:f>IF(Q59="SIN_EJECUCION_DOMINIO","FALLO_CAPTURA",IF(OR(Q59="CAPTURA_MAL_FORMADA",Q59="IDENTIDAD",Q59="OBSERVACION_MAL_FORMADA",Q59="LEXEMA_O_FORMA"),"NO_ADMISION",IF(OR(Q59="PERFIL_NO_CONSTITUIDO",Q59="RESULTADO_NO_TERMINAL"),"FUERA_PERFIL",IF(Q59="CONTEXTO_NO_CONSTITUIDO","CONFIGURACION_PENDIENTE","VALIDA"))))</x:f>
        <x:v>VALIDA</x:v>
      </x:c>
      <x:c r="P59" s="12" t="str">
        <x:f>IF(O59&lt;&gt;"VALIDA","",IF(Q59=AA59,"1",IF(Q59=AB59,"0","U")))</x:f>
        <x:v>1</x:v>
      </x:c>
      <x:c r="Q59" s="12" t="str">
        <x:f>IF(E59="FALLO","SIN_EJECUCION_DOMINIO",IF(E59&lt;&gt;"LEGIBLE","CAPTURA_MAL_FORMADA",IF(D59&lt;&gt;"COINCIDE","IDENTIDAD",IF(OR(T59="",C59&lt;&gt;T59),"PERFIL_NO_CONSTITUIDO",IF(K59&lt;&gt;V59,IF(V59="ORDEN_ACREDITADO","ORDEN_NO_ACREDITADO","CONTEXTO_NO_CONSTITUIDO"),IF(AND(G59="AUSENTE",H59="",I59=""),"DATO_AUSENTE",IF(AND(G59="CONFLICTO",H59="",I59=""),"CONFLICTO_OBSERVACIONAL",IF(G59&lt;&gt;"UNICA","OBSERVACION_MAL_FORMADA",IF(F59&lt;&gt;U59,"OBSERVACION_INSUFICIENTE",IF(W59="RESULTADO",IF(H59=X59,AA59,IF(OR(H59="orcSucceededWithErrors",H59="orcFailed",H59="orcAborted"),AB59,IF(OR(H59="orcNotStarted",H59="orcInProgress"),"RESULTADO_NO_TERMINAL","LEXEMA_O_FORMA"))),IF(W59="EVENTO_BOOT",IF(H59=X59,AA59,IF(OR(H59="NINGUNO",H59="SOLO_HIBRIDO"),IF(J59="COMPLETA",AB59,"COBERTURA_INSUFICIENTE"),"LEXEMA_O_FORMA")),IF(W59="REQUISITO_SOFT",IF(H59=X59,AA59,IF(H59=Z59,AB59,"LEXEMA_O_FORMA")),IF(W59="EVENTO_PROC",IF(H59=X59,AA59,IF(H59=Z59,IF(J59="COMPLETA",AB59,"COBERTURA_INSUFICIENTE"),"LEXEMA_O_FORMA")),IF(W59="IMAGEN",IF(AND(AND(ISTEXT(H59),LEN(("x"&amp;H59))=65,EXACT(("x"&amp;H59),LOWER(("x"&amp;H59))),ISERROR(SEARCH(" ",("x"&amp;H59))),ISERROR(SEARCH(CHAR(9),("x"&amp;H59))),ISERROR(SEARCH(CHAR(10),("x"&amp;H59))),ISERROR(SEARCH(CHAR(13),("x"&amp;H59))),IFERROR(HEX2DEC(MID(("x"&amp;H59),2,8))&gt;=0,FALSE),IFERROR(HEX2DEC(MID(("x"&amp;H59),10,8))&gt;=0,FALSE),IFERROR(HEX2DEC(MID(("x"&amp;H59),18,8))&gt;=0,FALSE),IFERROR(HEX2DEC(MID(("x"&amp;H59),26,8))&gt;=0,FALSE),IFERROR(HEX2DEC(MID(("x"&amp;H59),34,8))&gt;=0,FALSE),IFERROR(HEX2DEC(MID(("x"&amp;H59),42,8))&gt;=0,FALSE),IFERROR(HEX2DEC(MID(("x"&amp;H59),50,8))&gt;=0,FALSE),IFERROR(HEX2DEC(MID(("x"&amp;H59),58,8))&gt;=0,FALSE)),AND(ISTEXT(I59),LEN(("x"&amp;I59))=65,EXACT(("x"&amp;I59),LOWER(("x"&amp;I59))),ISERROR(SEARCH(" ",("x"&amp;I59))),ISERROR(SEARCH(CHAR(9),("x"&amp;I59))),ISERROR(SEARCH(CHAR(10),("x"&amp;I59))),ISERROR(SEARCH(CHAR(13),("x"&amp;I59))),IFERROR(HEX2DEC(MID(("x"&amp;I59),2,8))&gt;=0,FALSE),IFERROR(HEX2DEC(MID(("x"&amp;I59),10,8))&gt;=0,FALSE),IFERROR(HEX2DEC(MID(("x"&amp;I59),18,8))&gt;=0,FALSE),IFERROR(HEX2DEC(MID(("x"&amp;I59),26,8))&gt;=0,FALSE),IFERROR(HEX2DEC(MID(("x"&amp;I59),34,8))&gt;=0,FALSE),IFERROR(HEX2DEC(MID(("x"&amp;I59),42,8))&gt;=0,FALSE),IFERROR(HEX2DEC(MID(("x"&amp;I59),50,8))&gt;=0,FALSE),IFERROR(HEX2DEC(MID(("x"&amp;I59),58,8))&gt;=0,FALSE))),IF(EXACT("x"&amp;H59,"x"&amp;I59),AA59,AB59),"LEXEMA_O_FORMA"),IF(W59="PRUEBA",IF(H59=X59,AA59,IF(H59=Z59,AB59,"LEXEMA_O_FORMA")),IF(W59="RETIRADA",IF(AND(H59="NINGUNO",I59=""),IF(J59="COMPLETA",AB59,"COBERTURA_INSUFICIENTE"),IF(AND(OR(H59="uoInstallation",H59="uoUninstallation"),OR(I59="orcSucceeded",I59="orcSucceededWithErrors",I59="orcFailed",I59="orcAborted",I59="orcInProgress",I59="orcNotStarted")),IF(AND(H59=X59,I59=Y59),AA59,IF(AND(H59=X59,OR(I59="orcSucceededWithErrors",I59="orcInProgress",I59="orcNotStarted")),"RESULTADO_RETIRADA_INCIERTO",IF(J59="COMPLETA",AB59,"COBERTURA_INSUFICIENTE"))),"LEXEMA_O_FORMA")),IF(W59="CAMBIO",IF(OR(H59="CAMBIO",H59="CAMBIO_Y_RETORNO"),AA59,IF(OR(H59="NINGUNO",H59="SOLO_RENOMBRE"),IF(J59="COMPLETA",AB59,"COBERTURA_INSUFICIENTE"),"LEXEMA_O_FORMA")),IF(W59="RESTAURACION",IF(H59=X59,AA59,IF(OR(H59="NINGUNO",H59="RESTAURACION_POSTERIOR",H59="RESTAURACION_FALLIDA"),IF(J59="COMPLETA",AB59,"COBERTURA_INSUFICIENTE"),"LEXEMA_O_FORMA")),"PERFIL_NO_CONSTITUIDO"))))))))))))))))))</x:f>
        <x:v>IMAGEN_OBJETIVO</x:v>
      </x:c>
      <x:c r="R59" s="12" t="str">
        <x:f>IF(AND(L59=O59,M59=P59,N59=Q59),"PASA","NO_PASA")</x:f>
        <x:v>PASA</x:v>
      </x:c>
      <x:c r="S59" s="4" t="str">
        <x:v>Testigo positivo de la proposición; no licencia ninguna conclusión más amplia.</x:v>
      </x:c>
      <x:c r="T59" s="12" t="str">
        <x:f>IFERROR(INDEX('55_Codificacion_ensayo'!$B$5:$B$13,MATCH(B59,'55_Codificacion_ensayo'!$A$5:$A$13,0)),"")</x:f>
        <x:v>IDENTIDAD-IMAGEN-CARGADA-0.1</x:v>
      </x:c>
      <x:c r="U59" s="12" t="str">
        <x:f>IFERROR(INDEX('55_Codificacion_ensayo'!$C$5:$C$13,MATCH(B59,'55_Codificacion_ensayo'!$A$5:$A$13,0)),"")</x:f>
        <x:v>IMAGEN_CARGADA</x:v>
      </x:c>
      <x:c r="V59" s="12" t="str">
        <x:f>IFERROR(INDEX('55_Codificacion_ensayo'!$D$5:$D$13,MATCH(B59,'55_Codificacion_ensayo'!$A$5:$A$13,0)),"")</x:f>
        <x:v>METODO_ADMITIDO</x:v>
      </x:c>
      <x:c r="W59" s="12" t="str">
        <x:f>IFERROR(INDEX('55_Codificacion_ensayo'!$E$5:$E$13,MATCH(B59,'55_Codificacion_ensayo'!$A$5:$A$13,0)),"")</x:f>
        <x:v>IMAGEN</x:v>
      </x:c>
      <x:c r="X59" s="12" t="str">
        <x:f>IFERROR(INDEX('55_Codificacion_ensayo'!$F$5:$F$13,MATCH(B59,'55_Codificacion_ensayo'!$A$5:$A$13,0)),"")</x:f>
        <x:v>aaaaaaaaaaaaaaaaaaaaaaaaaaaaaaaaaaaaaaaaaaaaaaaaaaaaaaaaaaaaaaaa</x:v>
      </x:c>
      <x:c r="Y59" s="12" t="str">
        <x:f>IFERROR(INDEX('55_Codificacion_ensayo'!$G$5:$G$13,MATCH(B59,'55_Codificacion_ensayo'!$A$5:$A$13,0)),"")</x:f>
        <x:v>aaaaaaaaaaaaaaaaaaaaaaaaaaaaaaaaaaaaaaaaaaaaaaaaaaaaaaaaaaaaaaaa</x:v>
      </x:c>
      <x:c r="Z59" s="12" t="str">
        <x:f>IFERROR(INDEX('55_Codificacion_ensayo'!$H$5:$H$13,MATCH(B59,'55_Codificacion_ensayo'!$A$5:$A$13,0)),"")</x:f>
        <x:v>bbbbbbbbbbbbbbbbbbbbbbbbbbbbbbbbbbbbbbbbbbbbbbbbbbbbbbbbbbbbbbbb</x:v>
      </x:c>
      <x:c r="AA59" s="12" t="str">
        <x:f>IFERROR(INDEX('55_Codificacion_ensayo'!$I$5:$I$13,MATCH(B59,'55_Codificacion_ensayo'!$A$5:$A$13,0)),"")</x:f>
        <x:v>IMAGEN_OBJETIVO</x:v>
      </x:c>
      <x:c r="AB59" s="12" t="str">
        <x:f>IFERROR(INDEX('55_Codificacion_ensayo'!$J$5:$J$13,MATCH(B59,'55_Codificacion_ensayo'!$A$5:$A$13,0)),"")</x:f>
        <x:v>OTRA_IMAGEN</x:v>
      </x:c>
    </x:row>
    <x:row r="60" ht="47" customHeight="1">
      <x:c r="A60" s="4" t="str">
        <x:v>L10-06-02</x:v>
      </x:c>
      <x:c r="B60" s="4" t="str">
        <x:v>PAR-CYB-IMAGEN-OBJETIVO-ACTIVA-001</x:v>
      </x:c>
      <x:c r="C60" s="4" t="str">
        <x:v>IDENTIDAD-IMAGEN-CARGADA-0.1</x:v>
      </x:c>
      <x:c r="D60" s="4" t="str">
        <x:v>COINCIDE</x:v>
      </x:c>
      <x:c r="E60" s="4" t="str">
        <x:v>LEGIBLE</x:v>
      </x:c>
      <x:c r="F60" s="4" t="str">
        <x:v>IMAGEN_CARGADA</x:v>
      </x:c>
      <x:c r="G60" s="4" t="str">
        <x:v>UNICA</x:v>
      </x:c>
      <x:c r="H60" s="4" t="str">
        <x:v>bbbbbbbbbbbbbbbbbbbbbbbbbbbbbbbbbbbbbbbbbbbbbbbbbbbbbbbbbbbbbbbb</x:v>
      </x:c>
      <x:c r="I60" s="4" t="str">
        <x:v>aaaaaaaaaaaaaaaaaaaaaaaaaaaaaaaaaaaaaaaaaaaaaaaaaaaaaaaaaaaaaaaa</x:v>
      </x:c>
      <x:c r="J60" s="4" t="str">
        <x:v>COMPLETA</x:v>
      </x:c>
      <x:c r="K60" s="4" t="str">
        <x:v>METODO_ADMITIDO</x:v>
      </x:c>
      <x:c r="L60" s="4" t="str">
        <x:v>VALIDA</x:v>
      </x:c>
      <x:c r="M60" s="4" t="str">
        <x:v>0</x:v>
      </x:c>
      <x:c r="N60" s="4" t="str">
        <x:v>OTRA_IMAGEN</x:v>
      </x:c>
      <x:c r="O60" s="12" t="str">
        <x:f>IF(Q60="SIN_EJECUCION_DOMINIO","FALLO_CAPTURA",IF(OR(Q60="CAPTURA_MAL_FORMADA",Q60="IDENTIDAD",Q60="OBSERVACION_MAL_FORMADA",Q60="LEXEMA_O_FORMA"),"NO_ADMISION",IF(OR(Q60="PERFIL_NO_CONSTITUIDO",Q60="RESULTADO_NO_TERMINAL"),"FUERA_PERFIL",IF(Q60="CONTEXTO_NO_CONSTITUIDO","CONFIGURACION_PENDIENTE","VALIDA"))))</x:f>
        <x:v>VALIDA</x:v>
      </x:c>
      <x:c r="P60" s="12" t="str">
        <x:f>IF(O60&lt;&gt;"VALIDA","",IF(Q60=AA60,"1",IF(Q60=AB60,"0","U")))</x:f>
        <x:v>0</x:v>
      </x:c>
      <x:c r="Q60" s="12" t="str">
        <x:f>IF(E60="FALLO","SIN_EJECUCION_DOMINIO",IF(E60&lt;&gt;"LEGIBLE","CAPTURA_MAL_FORMADA",IF(D60&lt;&gt;"COINCIDE","IDENTIDAD",IF(OR(T60="",C60&lt;&gt;T60),"PERFIL_NO_CONSTITUIDO",IF(K60&lt;&gt;V60,IF(V60="ORDEN_ACREDITADO","ORDEN_NO_ACREDITADO","CONTEXTO_NO_CONSTITUIDO"),IF(AND(G60="AUSENTE",H60="",I60=""),"DATO_AUSENTE",IF(AND(G60="CONFLICTO",H60="",I60=""),"CONFLICTO_OBSERVACIONAL",IF(G60&lt;&gt;"UNICA","OBSERVACION_MAL_FORMADA",IF(F60&lt;&gt;U60,"OBSERVACION_INSUFICIENTE",IF(W60="RESULTADO",IF(H60=X60,AA60,IF(OR(H60="orcSucceededWithErrors",H60="orcFailed",H60="orcAborted"),AB60,IF(OR(H60="orcNotStarted",H60="orcInProgress"),"RESULTADO_NO_TERMINAL","LEXEMA_O_FORMA"))),IF(W60="EVENTO_BOOT",IF(H60=X60,AA60,IF(OR(H60="NINGUNO",H60="SOLO_HIBRIDO"),IF(J60="COMPLETA",AB60,"COBERTURA_INSUFICIENTE"),"LEXEMA_O_FORMA")),IF(W60="REQUISITO_SOFT",IF(H60=X60,AA60,IF(H60=Z60,AB60,"LEXEMA_O_FORMA")),IF(W60="EVENTO_PROC",IF(H60=X60,AA60,IF(H60=Z60,IF(J60="COMPLETA",AB60,"COBERTURA_INSUFICIENTE"),"LEXEMA_O_FORMA")),IF(W60="IMAGEN",IF(AND(AND(ISTEXT(H60),LEN(("x"&amp;H60))=65,EXACT(("x"&amp;H60),LOWER(("x"&amp;H60))),ISERROR(SEARCH(" ",("x"&amp;H60))),ISERROR(SEARCH(CHAR(9),("x"&amp;H60))),ISERROR(SEARCH(CHAR(10),("x"&amp;H60))),ISERROR(SEARCH(CHAR(13),("x"&amp;H60))),IFERROR(HEX2DEC(MID(("x"&amp;H60),2,8))&gt;=0,FALSE),IFERROR(HEX2DEC(MID(("x"&amp;H60),10,8))&gt;=0,FALSE),IFERROR(HEX2DEC(MID(("x"&amp;H60),18,8))&gt;=0,FALSE),IFERROR(HEX2DEC(MID(("x"&amp;H60),26,8))&gt;=0,FALSE),IFERROR(HEX2DEC(MID(("x"&amp;H60),34,8))&gt;=0,FALSE),IFERROR(HEX2DEC(MID(("x"&amp;H60),42,8))&gt;=0,FALSE),IFERROR(HEX2DEC(MID(("x"&amp;H60),50,8))&gt;=0,FALSE),IFERROR(HEX2DEC(MID(("x"&amp;H60),58,8))&gt;=0,FALSE)),AND(ISTEXT(I60),LEN(("x"&amp;I60))=65,EXACT(("x"&amp;I60),LOWER(("x"&amp;I60))),ISERROR(SEARCH(" ",("x"&amp;I60))),ISERROR(SEARCH(CHAR(9),("x"&amp;I60))),ISERROR(SEARCH(CHAR(10),("x"&amp;I60))),ISERROR(SEARCH(CHAR(13),("x"&amp;I60))),IFERROR(HEX2DEC(MID(("x"&amp;I60),2,8))&gt;=0,FALSE),IFERROR(HEX2DEC(MID(("x"&amp;I60),10,8))&gt;=0,FALSE),IFERROR(HEX2DEC(MID(("x"&amp;I60),18,8))&gt;=0,FALSE),IFERROR(HEX2DEC(MID(("x"&amp;I60),26,8))&gt;=0,FALSE),IFERROR(HEX2DEC(MID(("x"&amp;I60),34,8))&gt;=0,FALSE),IFERROR(HEX2DEC(MID(("x"&amp;I60),42,8))&gt;=0,FALSE),IFERROR(HEX2DEC(MID(("x"&amp;I60),50,8))&gt;=0,FALSE),IFERROR(HEX2DEC(MID(("x"&amp;I60),58,8))&gt;=0,FALSE))),IF(EXACT("x"&amp;H60,"x"&amp;I60),AA60,AB60),"LEXEMA_O_FORMA"),IF(W60="PRUEBA",IF(H60=X60,AA60,IF(H60=Z60,AB60,"LEXEMA_O_FORMA")),IF(W60="RETIRADA",IF(AND(H60="NINGUNO",I60=""),IF(J60="COMPLETA",AB60,"COBERTURA_INSUFICIENTE"),IF(AND(OR(H60="uoInstallation",H60="uoUninstallation"),OR(I60="orcSucceeded",I60="orcSucceededWithErrors",I60="orcFailed",I60="orcAborted",I60="orcInProgress",I60="orcNotStarted")),IF(AND(H60=X60,I60=Y60),AA60,IF(AND(H60=X60,OR(I60="orcSucceededWithErrors",I60="orcInProgress",I60="orcNotStarted")),"RESULTADO_RETIRADA_INCIERTO",IF(J60="COMPLETA",AB60,"COBERTURA_INSUFICIENTE"))),"LEXEMA_O_FORMA")),IF(W60="CAMBIO",IF(OR(H60="CAMBIO",H60="CAMBIO_Y_RETORNO"),AA60,IF(OR(H60="NINGUNO",H60="SOLO_RENOMBRE"),IF(J60="COMPLETA",AB60,"COBERTURA_INSUFICIENTE"),"LEXEMA_O_FORMA")),IF(W60="RESTAURACION",IF(H60=X60,AA60,IF(OR(H60="NINGUNO",H60="RESTAURACION_POSTERIOR",H60="RESTAURACION_FALLIDA"),IF(J60="COMPLETA",AB60,"COBERTURA_INSUFICIENTE"),"LEXEMA_O_FORMA")),"PERFIL_NO_CONSTITUIDO"))))))))))))))))))</x:f>
        <x:v>OTRA_IMAGEN</x:v>
      </x:c>
      <x:c r="R60" s="12" t="str">
        <x:f>IF(AND(L60=O60,M60=P60,N60=Q60),"PASA","NO_PASA")</x:f>
        <x:v>PASA</x:v>
      </x:c>
      <x:c r="S60" s="4" t="str">
        <x:v>Negativo explícito; en eventos exige cobertura del intervalo.</x:v>
      </x:c>
      <x:c r="T60" s="12" t="str">
        <x:f>IFERROR(INDEX('55_Codificacion_ensayo'!$B$5:$B$13,MATCH(B60,'55_Codificacion_ensayo'!$A$5:$A$13,0)),"")</x:f>
        <x:v>IDENTIDAD-IMAGEN-CARGADA-0.1</x:v>
      </x:c>
      <x:c r="U60" s="12" t="str">
        <x:f>IFERROR(INDEX('55_Codificacion_ensayo'!$C$5:$C$13,MATCH(B60,'55_Codificacion_ensayo'!$A$5:$A$13,0)),"")</x:f>
        <x:v>IMAGEN_CARGADA</x:v>
      </x:c>
      <x:c r="V60" s="12" t="str">
        <x:f>IFERROR(INDEX('55_Codificacion_ensayo'!$D$5:$D$13,MATCH(B60,'55_Codificacion_ensayo'!$A$5:$A$13,0)),"")</x:f>
        <x:v>METODO_ADMITIDO</x:v>
      </x:c>
      <x:c r="W60" s="12" t="str">
        <x:f>IFERROR(INDEX('55_Codificacion_ensayo'!$E$5:$E$13,MATCH(B60,'55_Codificacion_ensayo'!$A$5:$A$13,0)),"")</x:f>
        <x:v>IMAGEN</x:v>
      </x:c>
      <x:c r="X60" s="12" t="str">
        <x:f>IFERROR(INDEX('55_Codificacion_ensayo'!$F$5:$F$13,MATCH(B60,'55_Codificacion_ensayo'!$A$5:$A$13,0)),"")</x:f>
        <x:v>aaaaaaaaaaaaaaaaaaaaaaaaaaaaaaaaaaaaaaaaaaaaaaaaaaaaaaaaaaaaaaaa</x:v>
      </x:c>
      <x:c r="Y60" s="12" t="str">
        <x:f>IFERROR(INDEX('55_Codificacion_ensayo'!$G$5:$G$13,MATCH(B60,'55_Codificacion_ensayo'!$A$5:$A$13,0)),"")</x:f>
        <x:v>aaaaaaaaaaaaaaaaaaaaaaaaaaaaaaaaaaaaaaaaaaaaaaaaaaaaaaaaaaaaaaaa</x:v>
      </x:c>
      <x:c r="Z60" s="12" t="str">
        <x:f>IFERROR(INDEX('55_Codificacion_ensayo'!$H$5:$H$13,MATCH(B60,'55_Codificacion_ensayo'!$A$5:$A$13,0)),"")</x:f>
        <x:v>bbbbbbbbbbbbbbbbbbbbbbbbbbbbbbbbbbbbbbbbbbbbbbbbbbbbbbbbbbbbbbbb</x:v>
      </x:c>
      <x:c r="AA60" s="12" t="str">
        <x:f>IFERROR(INDEX('55_Codificacion_ensayo'!$I$5:$I$13,MATCH(B60,'55_Codificacion_ensayo'!$A$5:$A$13,0)),"")</x:f>
        <x:v>IMAGEN_OBJETIVO</x:v>
      </x:c>
      <x:c r="AB60" s="12" t="str">
        <x:f>IFERROR(INDEX('55_Codificacion_ensayo'!$J$5:$J$13,MATCH(B60,'55_Codificacion_ensayo'!$A$5:$A$13,0)),"")</x:f>
        <x:v>OTRA_IMAGEN</x:v>
      </x:c>
    </x:row>
    <x:row r="61" ht="47" customHeight="1">
      <x:c r="A61" s="4" t="str">
        <x:v>L10-06-03</x:v>
      </x:c>
      <x:c r="B61" s="4" t="str">
        <x:v>PAR-CYB-IMAGEN-OBJETIVO-ACTIVA-001</x:v>
      </x:c>
      <x:c r="C61" s="4" t="str">
        <x:v>IDENTIDAD-IMAGEN-CARGADA-0.1</x:v>
      </x:c>
      <x:c r="D61" s="4" t="str">
        <x:v>COINCIDE</x:v>
      </x:c>
      <x:c r="E61" s="4" t="str">
        <x:v>LEGIBLE</x:v>
      </x:c>
      <x:c r="F61" s="4" t="str">
        <x:v>IMAGEN_CARGADA</x:v>
      </x:c>
      <x:c r="G61" s="4" t="str">
        <x:v>AUSENTE</x:v>
      </x:c>
      <x:c r="H61" s="4" t="str"/>
      <x:c r="I61" s="4" t="str"/>
      <x:c r="J61" s="4" t="str">
        <x:v>COMPLETA</x:v>
      </x:c>
      <x:c r="K61" s="4" t="str">
        <x:v>METODO_ADMITIDO</x:v>
      </x:c>
      <x:c r="L61" s="4" t="str">
        <x:v>VALIDA</x:v>
      </x:c>
      <x:c r="M61" s="4" t="str">
        <x:v>U</x:v>
      </x:c>
      <x:c r="N61" s="4" t="str">
        <x:v>DATO_AUSENTE</x:v>
      </x:c>
      <x:c r="O61" s="12" t="str">
        <x:f>IF(Q61="SIN_EJECUCION_DOMINIO","FALLO_CAPTURA",IF(OR(Q61="CAPTURA_MAL_FORMADA",Q61="IDENTIDAD",Q61="OBSERVACION_MAL_FORMADA",Q61="LEXEMA_O_FORMA"),"NO_ADMISION",IF(OR(Q61="PERFIL_NO_CONSTITUIDO",Q61="RESULTADO_NO_TERMINAL"),"FUERA_PERFIL",IF(Q61="CONTEXTO_NO_CONSTITUIDO","CONFIGURACION_PENDIENTE","VALIDA"))))</x:f>
        <x:v>VALIDA</x:v>
      </x:c>
      <x:c r="P61" s="12" t="str">
        <x:f>IF(O61&lt;&gt;"VALIDA","",IF(Q61=AA61,"1",IF(Q61=AB61,"0","U")))</x:f>
        <x:v>U</x:v>
      </x:c>
      <x:c r="Q61" s="12" t="str">
        <x:f>IF(E61="FALLO","SIN_EJECUCION_DOMINIO",IF(E61&lt;&gt;"LEGIBLE","CAPTURA_MAL_FORMADA",IF(D61&lt;&gt;"COINCIDE","IDENTIDAD",IF(OR(T61="",C61&lt;&gt;T61),"PERFIL_NO_CONSTITUIDO",IF(K61&lt;&gt;V61,IF(V61="ORDEN_ACREDITADO","ORDEN_NO_ACREDITADO","CONTEXTO_NO_CONSTITUIDO"),IF(AND(G61="AUSENTE",H61="",I61=""),"DATO_AUSENTE",IF(AND(G61="CONFLICTO",H61="",I61=""),"CONFLICTO_OBSERVACIONAL",IF(G61&lt;&gt;"UNICA","OBSERVACION_MAL_FORMADA",IF(F61&lt;&gt;U61,"OBSERVACION_INSUFICIENTE",IF(W61="RESULTADO",IF(H61=X61,AA61,IF(OR(H61="orcSucceededWithErrors",H61="orcFailed",H61="orcAborted"),AB61,IF(OR(H61="orcNotStarted",H61="orcInProgress"),"RESULTADO_NO_TERMINAL","LEXEMA_O_FORMA"))),IF(W61="EVENTO_BOOT",IF(H61=X61,AA61,IF(OR(H61="NINGUNO",H61="SOLO_HIBRIDO"),IF(J61="COMPLETA",AB61,"COBERTURA_INSUFICIENTE"),"LEXEMA_O_FORMA")),IF(W61="REQUISITO_SOFT",IF(H61=X61,AA61,IF(H61=Z61,AB61,"LEXEMA_O_FORMA")),IF(W61="EVENTO_PROC",IF(H61=X61,AA61,IF(H61=Z61,IF(J61="COMPLETA",AB61,"COBERTURA_INSUFICIENTE"),"LEXEMA_O_FORMA")),IF(W61="IMAGEN",IF(AND(AND(ISTEXT(H61),LEN(("x"&amp;H61))=65,EXACT(("x"&amp;H61),LOWER(("x"&amp;H61))),ISERROR(SEARCH(" ",("x"&amp;H61))),ISERROR(SEARCH(CHAR(9),("x"&amp;H61))),ISERROR(SEARCH(CHAR(10),("x"&amp;H61))),ISERROR(SEARCH(CHAR(13),("x"&amp;H61))),IFERROR(HEX2DEC(MID(("x"&amp;H61),2,8))&gt;=0,FALSE),IFERROR(HEX2DEC(MID(("x"&amp;H61),10,8))&gt;=0,FALSE),IFERROR(HEX2DEC(MID(("x"&amp;H61),18,8))&gt;=0,FALSE),IFERROR(HEX2DEC(MID(("x"&amp;H61),26,8))&gt;=0,FALSE),IFERROR(HEX2DEC(MID(("x"&amp;H61),34,8))&gt;=0,FALSE),IFERROR(HEX2DEC(MID(("x"&amp;H61),42,8))&gt;=0,FALSE),IFERROR(HEX2DEC(MID(("x"&amp;H61),50,8))&gt;=0,FALSE),IFERROR(HEX2DEC(MID(("x"&amp;H61),58,8))&gt;=0,FALSE)),AND(ISTEXT(I61),LEN(("x"&amp;I61))=65,EXACT(("x"&amp;I61),LOWER(("x"&amp;I61))),ISERROR(SEARCH(" ",("x"&amp;I61))),ISERROR(SEARCH(CHAR(9),("x"&amp;I61))),ISERROR(SEARCH(CHAR(10),("x"&amp;I61))),ISERROR(SEARCH(CHAR(13),("x"&amp;I61))),IFERROR(HEX2DEC(MID(("x"&amp;I61),2,8))&gt;=0,FALSE),IFERROR(HEX2DEC(MID(("x"&amp;I61),10,8))&gt;=0,FALSE),IFERROR(HEX2DEC(MID(("x"&amp;I61),18,8))&gt;=0,FALSE),IFERROR(HEX2DEC(MID(("x"&amp;I61),26,8))&gt;=0,FALSE),IFERROR(HEX2DEC(MID(("x"&amp;I61),34,8))&gt;=0,FALSE),IFERROR(HEX2DEC(MID(("x"&amp;I61),42,8))&gt;=0,FALSE),IFERROR(HEX2DEC(MID(("x"&amp;I61),50,8))&gt;=0,FALSE),IFERROR(HEX2DEC(MID(("x"&amp;I61),58,8))&gt;=0,FALSE))),IF(EXACT("x"&amp;H61,"x"&amp;I61),AA61,AB61),"LEXEMA_O_FORMA"),IF(W61="PRUEBA",IF(H61=X61,AA61,IF(H61=Z61,AB61,"LEXEMA_O_FORMA")),IF(W61="RETIRADA",IF(AND(H61="NINGUNO",I61=""),IF(J61="COMPLETA",AB61,"COBERTURA_INSUFICIENTE"),IF(AND(OR(H61="uoInstallation",H61="uoUninstallation"),OR(I61="orcSucceeded",I61="orcSucceededWithErrors",I61="orcFailed",I61="orcAborted",I61="orcInProgress",I61="orcNotStarted")),IF(AND(H61=X61,I61=Y61),AA61,IF(AND(H61=X61,OR(I61="orcSucceededWithErrors",I61="orcInProgress",I61="orcNotStarted")),"RESULTADO_RETIRADA_INCIERTO",IF(J61="COMPLETA",AB61,"COBERTURA_INSUFICIENTE"))),"LEXEMA_O_FORMA")),IF(W61="CAMBIO",IF(OR(H61="CAMBIO",H61="CAMBIO_Y_RETORNO"),AA61,IF(OR(H61="NINGUNO",H61="SOLO_RENOMBRE"),IF(J61="COMPLETA",AB61,"COBERTURA_INSUFICIENTE"),"LEXEMA_O_FORMA")),IF(W61="RESTAURACION",IF(H61=X61,AA61,IF(OR(H61="NINGUNO",H61="RESTAURACION_POSTERIOR",H61="RESTAURACION_FALLIDA"),IF(J61="COMPLETA",AB61,"COBERTURA_INSUFICIENTE"),"LEXEMA_O_FORMA")),"PERFIL_NO_CONSTITUIDO"))))))))))))))))))</x:f>
        <x:v>DATO_AUSENTE</x:v>
      </x:c>
      <x:c r="R61" s="12" t="str">
        <x:f>IF(AND(L61=O61,M61=P61,N61=Q61),"PASA","NO_PASA")</x:f>
        <x:v>PASA</x:v>
      </x:c>
      <x:c r="S61" s="4" t="str">
        <x:v>Documento declara que falta la observación, sin convertir ausencia en 0.</x:v>
      </x:c>
      <x:c r="T61" s="12" t="str">
        <x:f>IFERROR(INDEX('55_Codificacion_ensayo'!$B$5:$B$13,MATCH(B61,'55_Codificacion_ensayo'!$A$5:$A$13,0)),"")</x:f>
        <x:v>IDENTIDAD-IMAGEN-CARGADA-0.1</x:v>
      </x:c>
      <x:c r="U61" s="12" t="str">
        <x:f>IFERROR(INDEX('55_Codificacion_ensayo'!$C$5:$C$13,MATCH(B61,'55_Codificacion_ensayo'!$A$5:$A$13,0)),"")</x:f>
        <x:v>IMAGEN_CARGADA</x:v>
      </x:c>
      <x:c r="V61" s="12" t="str">
        <x:f>IFERROR(INDEX('55_Codificacion_ensayo'!$D$5:$D$13,MATCH(B61,'55_Codificacion_ensayo'!$A$5:$A$13,0)),"")</x:f>
        <x:v>METODO_ADMITIDO</x:v>
      </x:c>
      <x:c r="W61" s="12" t="str">
        <x:f>IFERROR(INDEX('55_Codificacion_ensayo'!$E$5:$E$13,MATCH(B61,'55_Codificacion_ensayo'!$A$5:$A$13,0)),"")</x:f>
        <x:v>IMAGEN</x:v>
      </x:c>
      <x:c r="X61" s="12" t="str">
        <x:f>IFERROR(INDEX('55_Codificacion_ensayo'!$F$5:$F$13,MATCH(B61,'55_Codificacion_ensayo'!$A$5:$A$13,0)),"")</x:f>
        <x:v>aaaaaaaaaaaaaaaaaaaaaaaaaaaaaaaaaaaaaaaaaaaaaaaaaaaaaaaaaaaaaaaa</x:v>
      </x:c>
      <x:c r="Y61" s="12" t="str">
        <x:f>IFERROR(INDEX('55_Codificacion_ensayo'!$G$5:$G$13,MATCH(B61,'55_Codificacion_ensayo'!$A$5:$A$13,0)),"")</x:f>
        <x:v>aaaaaaaaaaaaaaaaaaaaaaaaaaaaaaaaaaaaaaaaaaaaaaaaaaaaaaaaaaaaaaaa</x:v>
      </x:c>
      <x:c r="Z61" s="12" t="str">
        <x:f>IFERROR(INDEX('55_Codificacion_ensayo'!$H$5:$H$13,MATCH(B61,'55_Codificacion_ensayo'!$A$5:$A$13,0)),"")</x:f>
        <x:v>bbbbbbbbbbbbbbbbbbbbbbbbbbbbbbbbbbbbbbbbbbbbbbbbbbbbbbbbbbbbbbbb</x:v>
      </x:c>
      <x:c r="AA61" s="12" t="str">
        <x:f>IFERROR(INDEX('55_Codificacion_ensayo'!$I$5:$I$13,MATCH(B61,'55_Codificacion_ensayo'!$A$5:$A$13,0)),"")</x:f>
        <x:v>IMAGEN_OBJETIVO</x:v>
      </x:c>
      <x:c r="AB61" s="12" t="str">
        <x:f>IFERROR(INDEX('55_Codificacion_ensayo'!$J$5:$J$13,MATCH(B61,'55_Codificacion_ensayo'!$A$5:$A$13,0)),"")</x:f>
        <x:v>OTRA_IMAGEN</x:v>
      </x:c>
    </x:row>
    <x:row r="62" ht="47" customHeight="1">
      <x:c r="A62" s="4" t="str">
        <x:v>L10-06-04</x:v>
      </x:c>
      <x:c r="B62" s="4" t="str">
        <x:v>PAR-CYB-IMAGEN-OBJETIVO-ACTIVA-001</x:v>
      </x:c>
      <x:c r="C62" s="4" t="str">
        <x:v>IDENTIDAD-IMAGEN-CARGADA-0.1</x:v>
      </x:c>
      <x:c r="D62" s="4" t="str">
        <x:v>COINCIDE</x:v>
      </x:c>
      <x:c r="E62" s="4" t="str">
        <x:v>LEGIBLE</x:v>
      </x:c>
      <x:c r="F62" s="4" t="str">
        <x:v>IMAGEN_CARGADA</x:v>
      </x:c>
      <x:c r="G62" s="4" t="str">
        <x:v>CONFLICTO</x:v>
      </x:c>
      <x:c r="H62" s="4" t="str"/>
      <x:c r="I62" s="4" t="str"/>
      <x:c r="J62" s="4" t="str">
        <x:v>COMPLETA</x:v>
      </x:c>
      <x:c r="K62" s="4" t="str">
        <x:v>METODO_ADMITIDO</x:v>
      </x:c>
      <x:c r="L62" s="4" t="str">
        <x:v>VALIDA</x:v>
      </x:c>
      <x:c r="M62" s="4" t="str">
        <x:v>U</x:v>
      </x:c>
      <x:c r="N62" s="4" t="str">
        <x:v>CONFLICTO_OBSERVACIONAL</x:v>
      </x:c>
      <x:c r="O62" s="12" t="str">
        <x:f>IF(Q62="SIN_EJECUCION_DOMINIO","FALLO_CAPTURA",IF(OR(Q62="CAPTURA_MAL_FORMADA",Q62="IDENTIDAD",Q62="OBSERVACION_MAL_FORMADA",Q62="LEXEMA_O_FORMA"),"NO_ADMISION",IF(OR(Q62="PERFIL_NO_CONSTITUIDO",Q62="RESULTADO_NO_TERMINAL"),"FUERA_PERFIL",IF(Q62="CONTEXTO_NO_CONSTITUIDO","CONFIGURACION_PENDIENTE","VALIDA"))))</x:f>
        <x:v>VALIDA</x:v>
      </x:c>
      <x:c r="P62" s="12" t="str">
        <x:f>IF(O62&lt;&gt;"VALIDA","",IF(Q62=AA62,"1",IF(Q62=AB62,"0","U")))</x:f>
        <x:v>U</x:v>
      </x:c>
      <x:c r="Q62" s="12" t="str">
        <x:f>IF(E62="FALLO","SIN_EJECUCION_DOMINIO",IF(E62&lt;&gt;"LEGIBLE","CAPTURA_MAL_FORMADA",IF(D62&lt;&gt;"COINCIDE","IDENTIDAD",IF(OR(T62="",C62&lt;&gt;T62),"PERFIL_NO_CONSTITUIDO",IF(K62&lt;&gt;V62,IF(V62="ORDEN_ACREDITADO","ORDEN_NO_ACREDITADO","CONTEXTO_NO_CONSTITUIDO"),IF(AND(G62="AUSENTE",H62="",I62=""),"DATO_AUSENTE",IF(AND(G62="CONFLICTO",H62="",I62=""),"CONFLICTO_OBSERVACIONAL",IF(G62&lt;&gt;"UNICA","OBSERVACION_MAL_FORMADA",IF(F62&lt;&gt;U62,"OBSERVACION_INSUFICIENTE",IF(W62="RESULTADO",IF(H62=X62,AA62,IF(OR(H62="orcSucceededWithErrors",H62="orcFailed",H62="orcAborted"),AB62,IF(OR(H62="orcNotStarted",H62="orcInProgress"),"RESULTADO_NO_TERMINAL","LEXEMA_O_FORMA"))),IF(W62="EVENTO_BOOT",IF(H62=X62,AA62,IF(OR(H62="NINGUNO",H62="SOLO_HIBRIDO"),IF(J62="COMPLETA",AB62,"COBERTURA_INSUFICIENTE"),"LEXEMA_O_FORMA")),IF(W62="REQUISITO_SOFT",IF(H62=X62,AA62,IF(H62=Z62,AB62,"LEXEMA_O_FORMA")),IF(W62="EVENTO_PROC",IF(H62=X62,AA62,IF(H62=Z62,IF(J62="COMPLETA",AB62,"COBERTURA_INSUFICIENTE"),"LEXEMA_O_FORMA")),IF(W62="IMAGEN",IF(AND(AND(ISTEXT(H62),LEN(("x"&amp;H62))=65,EXACT(("x"&amp;H62),LOWER(("x"&amp;H62))),ISERROR(SEARCH(" ",("x"&amp;H62))),ISERROR(SEARCH(CHAR(9),("x"&amp;H62))),ISERROR(SEARCH(CHAR(10),("x"&amp;H62))),ISERROR(SEARCH(CHAR(13),("x"&amp;H62))),IFERROR(HEX2DEC(MID(("x"&amp;H62),2,8))&gt;=0,FALSE),IFERROR(HEX2DEC(MID(("x"&amp;H62),10,8))&gt;=0,FALSE),IFERROR(HEX2DEC(MID(("x"&amp;H62),18,8))&gt;=0,FALSE),IFERROR(HEX2DEC(MID(("x"&amp;H62),26,8))&gt;=0,FALSE),IFERROR(HEX2DEC(MID(("x"&amp;H62),34,8))&gt;=0,FALSE),IFERROR(HEX2DEC(MID(("x"&amp;H62),42,8))&gt;=0,FALSE),IFERROR(HEX2DEC(MID(("x"&amp;H62),50,8))&gt;=0,FALSE),IFERROR(HEX2DEC(MID(("x"&amp;H62),58,8))&gt;=0,FALSE)),AND(ISTEXT(I62),LEN(("x"&amp;I62))=65,EXACT(("x"&amp;I62),LOWER(("x"&amp;I62))),ISERROR(SEARCH(" ",("x"&amp;I62))),ISERROR(SEARCH(CHAR(9),("x"&amp;I62))),ISERROR(SEARCH(CHAR(10),("x"&amp;I62))),ISERROR(SEARCH(CHAR(13),("x"&amp;I62))),IFERROR(HEX2DEC(MID(("x"&amp;I62),2,8))&gt;=0,FALSE),IFERROR(HEX2DEC(MID(("x"&amp;I62),10,8))&gt;=0,FALSE),IFERROR(HEX2DEC(MID(("x"&amp;I62),18,8))&gt;=0,FALSE),IFERROR(HEX2DEC(MID(("x"&amp;I62),26,8))&gt;=0,FALSE),IFERROR(HEX2DEC(MID(("x"&amp;I62),34,8))&gt;=0,FALSE),IFERROR(HEX2DEC(MID(("x"&amp;I62),42,8))&gt;=0,FALSE),IFERROR(HEX2DEC(MID(("x"&amp;I62),50,8))&gt;=0,FALSE),IFERROR(HEX2DEC(MID(("x"&amp;I62),58,8))&gt;=0,FALSE))),IF(EXACT("x"&amp;H62,"x"&amp;I62),AA62,AB62),"LEXEMA_O_FORMA"),IF(W62="PRUEBA",IF(H62=X62,AA62,IF(H62=Z62,AB62,"LEXEMA_O_FORMA")),IF(W62="RETIRADA",IF(AND(H62="NINGUNO",I62=""),IF(J62="COMPLETA",AB62,"COBERTURA_INSUFICIENTE"),IF(AND(OR(H62="uoInstallation",H62="uoUninstallation"),OR(I62="orcSucceeded",I62="orcSucceededWithErrors",I62="orcFailed",I62="orcAborted",I62="orcInProgress",I62="orcNotStarted")),IF(AND(H62=X62,I62=Y62),AA62,IF(AND(H62=X62,OR(I62="orcSucceededWithErrors",I62="orcInProgress",I62="orcNotStarted")),"RESULTADO_RETIRADA_INCIERTO",IF(J62="COMPLETA",AB62,"COBERTURA_INSUFICIENTE"))),"LEXEMA_O_FORMA")),IF(W62="CAMBIO",IF(OR(H62="CAMBIO",H62="CAMBIO_Y_RETORNO"),AA62,IF(OR(H62="NINGUNO",H62="SOLO_RENOMBRE"),IF(J62="COMPLETA",AB62,"COBERTURA_INSUFICIENTE"),"LEXEMA_O_FORMA")),IF(W62="RESTAURACION",IF(H62=X62,AA62,IF(OR(H62="NINGUNO",H62="RESTAURACION_POSTERIOR",H62="RESTAURACION_FALLIDA"),IF(J62="COMPLETA",AB62,"COBERTURA_INSUFICIENTE"),"LEXEMA_O_FORMA")),"PERFIL_NO_CONSTITUIDO"))))))))))))))))))</x:f>
        <x:v>CONFLICTO_OBSERVACIONAL</x:v>
      </x:c>
      <x:c r="R62" s="12" t="str">
        <x:f>IF(AND(L62=O62,M62=P62,N62=Q62),"PASA","NO_PASA")</x:f>
        <x:v>PASA</x:v>
      </x:c>
      <x:c r="S62" s="4" t="str">
        <x:v>Conflicto entre observaciones admitidas del mismo sujeto y corte.</x:v>
      </x:c>
      <x:c r="T62" s="12" t="str">
        <x:f>IFERROR(INDEX('55_Codificacion_ensayo'!$B$5:$B$13,MATCH(B62,'55_Codificacion_ensayo'!$A$5:$A$13,0)),"")</x:f>
        <x:v>IDENTIDAD-IMAGEN-CARGADA-0.1</x:v>
      </x:c>
      <x:c r="U62" s="12" t="str">
        <x:f>IFERROR(INDEX('55_Codificacion_ensayo'!$C$5:$C$13,MATCH(B62,'55_Codificacion_ensayo'!$A$5:$A$13,0)),"")</x:f>
        <x:v>IMAGEN_CARGADA</x:v>
      </x:c>
      <x:c r="V62" s="12" t="str">
        <x:f>IFERROR(INDEX('55_Codificacion_ensayo'!$D$5:$D$13,MATCH(B62,'55_Codificacion_ensayo'!$A$5:$A$13,0)),"")</x:f>
        <x:v>METODO_ADMITIDO</x:v>
      </x:c>
      <x:c r="W62" s="12" t="str">
        <x:f>IFERROR(INDEX('55_Codificacion_ensayo'!$E$5:$E$13,MATCH(B62,'55_Codificacion_ensayo'!$A$5:$A$13,0)),"")</x:f>
        <x:v>IMAGEN</x:v>
      </x:c>
      <x:c r="X62" s="12" t="str">
        <x:f>IFERROR(INDEX('55_Codificacion_ensayo'!$F$5:$F$13,MATCH(B62,'55_Codificacion_ensayo'!$A$5:$A$13,0)),"")</x:f>
        <x:v>aaaaaaaaaaaaaaaaaaaaaaaaaaaaaaaaaaaaaaaaaaaaaaaaaaaaaaaaaaaaaaaa</x:v>
      </x:c>
      <x:c r="Y62" s="12" t="str">
        <x:f>IFERROR(INDEX('55_Codificacion_ensayo'!$G$5:$G$13,MATCH(B62,'55_Codificacion_ensayo'!$A$5:$A$13,0)),"")</x:f>
        <x:v>aaaaaaaaaaaaaaaaaaaaaaaaaaaaaaaaaaaaaaaaaaaaaaaaaaaaaaaaaaaaaaaa</x:v>
      </x:c>
      <x:c r="Z62" s="12" t="str">
        <x:f>IFERROR(INDEX('55_Codificacion_ensayo'!$H$5:$H$13,MATCH(B62,'55_Codificacion_ensayo'!$A$5:$A$13,0)),"")</x:f>
        <x:v>bbbbbbbbbbbbbbbbbbbbbbbbbbbbbbbbbbbbbbbbbbbbbbbbbbbbbbbbbbbbbbbb</x:v>
      </x:c>
      <x:c r="AA62" s="12" t="str">
        <x:f>IFERROR(INDEX('55_Codificacion_ensayo'!$I$5:$I$13,MATCH(B62,'55_Codificacion_ensayo'!$A$5:$A$13,0)),"")</x:f>
        <x:v>IMAGEN_OBJETIVO</x:v>
      </x:c>
      <x:c r="AB62" s="12" t="str">
        <x:f>IFERROR(INDEX('55_Codificacion_ensayo'!$J$5:$J$13,MATCH(B62,'55_Codificacion_ensayo'!$A$5:$A$13,0)),"")</x:f>
        <x:v>OTRA_IMAGEN</x:v>
      </x:c>
    </x:row>
    <x:row r="63" ht="47" customHeight="1">
      <x:c r="A63" s="4" t="str">
        <x:v>L10-06-05</x:v>
      </x:c>
      <x:c r="B63" s="4" t="str">
        <x:v>PAR-CYB-IMAGEN-OBJETIVO-ACTIVA-001</x:v>
      </x:c>
      <x:c r="C63" s="4" t="str">
        <x:v>IDENTIDAD-IMAGEN-CARGADA-0.1</x:v>
      </x:c>
      <x:c r="D63" s="4" t="str">
        <x:v>COINCIDE</x:v>
      </x:c>
      <x:c r="E63" s="4" t="str">
        <x:v>FALLO</x:v>
      </x:c>
      <x:c r="F63" s="4" t="str">
        <x:v>IMAGEN_CARGADA</x:v>
      </x:c>
      <x:c r="G63" s="4" t="str">
        <x:v>UNICA</x:v>
      </x:c>
      <x:c r="H63" s="4" t="str">
        <x:v>aaaaaaaaaaaaaaaaaaaaaaaaaaaaaaaaaaaaaaaaaaaaaaaaaaaaaaaaaaaaaaaa</x:v>
      </x:c>
      <x:c r="I63" s="4" t="str">
        <x:v>aaaaaaaaaaaaaaaaaaaaaaaaaaaaaaaaaaaaaaaaaaaaaaaaaaaaaaaaaaaaaaaa</x:v>
      </x:c>
      <x:c r="J63" s="4" t="str">
        <x:v>COMPLETA</x:v>
      </x:c>
      <x:c r="K63" s="4" t="str">
        <x:v>METODO_ADMITIDO</x:v>
      </x:c>
      <x:c r="L63" s="4" t="str">
        <x:v>FALLO_CAPTURA</x:v>
      </x:c>
      <x:c r="M63" s="4" t="str"/>
      <x:c r="N63" s="4" t="str">
        <x:v>SIN_EJECUCION_DOMINIO</x:v>
      </x:c>
      <x:c r="O63" s="12" t="str">
        <x:f>IF(Q63="SIN_EJECUCION_DOMINIO","FALLO_CAPTURA",IF(OR(Q63="CAPTURA_MAL_FORMADA",Q63="IDENTIDAD",Q63="OBSERVACION_MAL_FORMADA",Q63="LEXEMA_O_FORMA"),"NO_ADMISION",IF(OR(Q63="PERFIL_NO_CONSTITUIDO",Q63="RESULTADO_NO_TERMINAL"),"FUERA_PERFIL",IF(Q63="CONTEXTO_NO_CONSTITUIDO","CONFIGURACION_PENDIENTE","VALIDA"))))</x:f>
        <x:v>FALLO_CAPTURA</x:v>
      </x:c>
      <x:c r="P63" s="12" t="str">
        <x:f>IF(O63&lt;&gt;"VALIDA","",IF(Q63=AA63,"1",IF(Q63=AB63,"0","U")))</x:f>
      </x:c>
      <x:c r="Q63" s="12" t="str">
        <x:f>IF(E63="FALLO","SIN_EJECUCION_DOMINIO",IF(E63&lt;&gt;"LEGIBLE","CAPTURA_MAL_FORMADA",IF(D63&lt;&gt;"COINCIDE","IDENTIDAD",IF(OR(T63="",C63&lt;&gt;T63),"PERFIL_NO_CONSTITUIDO",IF(K63&lt;&gt;V63,IF(V63="ORDEN_ACREDITADO","ORDEN_NO_ACREDITADO","CONTEXTO_NO_CONSTITUIDO"),IF(AND(G63="AUSENTE",H63="",I63=""),"DATO_AUSENTE",IF(AND(G63="CONFLICTO",H63="",I63=""),"CONFLICTO_OBSERVACIONAL",IF(G63&lt;&gt;"UNICA","OBSERVACION_MAL_FORMADA",IF(F63&lt;&gt;U63,"OBSERVACION_INSUFICIENTE",IF(W63="RESULTADO",IF(H63=X63,AA63,IF(OR(H63="orcSucceededWithErrors",H63="orcFailed",H63="orcAborted"),AB63,IF(OR(H63="orcNotStarted",H63="orcInProgress"),"RESULTADO_NO_TERMINAL","LEXEMA_O_FORMA"))),IF(W63="EVENTO_BOOT",IF(H63=X63,AA63,IF(OR(H63="NINGUNO",H63="SOLO_HIBRIDO"),IF(J63="COMPLETA",AB63,"COBERTURA_INSUFICIENTE"),"LEXEMA_O_FORMA")),IF(W63="REQUISITO_SOFT",IF(H63=X63,AA63,IF(H63=Z63,AB63,"LEXEMA_O_FORMA")),IF(W63="EVENTO_PROC",IF(H63=X63,AA63,IF(H63=Z63,IF(J63="COMPLETA",AB63,"COBERTURA_INSUFICIENTE"),"LEXEMA_O_FORMA")),IF(W63="IMAGEN",IF(AND(AND(ISTEXT(H63),LEN(("x"&amp;H63))=65,EXACT(("x"&amp;H63),LOWER(("x"&amp;H63))),ISERROR(SEARCH(" ",("x"&amp;H63))),ISERROR(SEARCH(CHAR(9),("x"&amp;H63))),ISERROR(SEARCH(CHAR(10),("x"&amp;H63))),ISERROR(SEARCH(CHAR(13),("x"&amp;H63))),IFERROR(HEX2DEC(MID(("x"&amp;H63),2,8))&gt;=0,FALSE),IFERROR(HEX2DEC(MID(("x"&amp;H63),10,8))&gt;=0,FALSE),IFERROR(HEX2DEC(MID(("x"&amp;H63),18,8))&gt;=0,FALSE),IFERROR(HEX2DEC(MID(("x"&amp;H63),26,8))&gt;=0,FALSE),IFERROR(HEX2DEC(MID(("x"&amp;H63),34,8))&gt;=0,FALSE),IFERROR(HEX2DEC(MID(("x"&amp;H63),42,8))&gt;=0,FALSE),IFERROR(HEX2DEC(MID(("x"&amp;H63),50,8))&gt;=0,FALSE),IFERROR(HEX2DEC(MID(("x"&amp;H63),58,8))&gt;=0,FALSE)),AND(ISTEXT(I63),LEN(("x"&amp;I63))=65,EXACT(("x"&amp;I63),LOWER(("x"&amp;I63))),ISERROR(SEARCH(" ",("x"&amp;I63))),ISERROR(SEARCH(CHAR(9),("x"&amp;I63))),ISERROR(SEARCH(CHAR(10),("x"&amp;I63))),ISERROR(SEARCH(CHAR(13),("x"&amp;I63))),IFERROR(HEX2DEC(MID(("x"&amp;I63),2,8))&gt;=0,FALSE),IFERROR(HEX2DEC(MID(("x"&amp;I63),10,8))&gt;=0,FALSE),IFERROR(HEX2DEC(MID(("x"&amp;I63),18,8))&gt;=0,FALSE),IFERROR(HEX2DEC(MID(("x"&amp;I63),26,8))&gt;=0,FALSE),IFERROR(HEX2DEC(MID(("x"&amp;I63),34,8))&gt;=0,FALSE),IFERROR(HEX2DEC(MID(("x"&amp;I63),42,8))&gt;=0,FALSE),IFERROR(HEX2DEC(MID(("x"&amp;I63),50,8))&gt;=0,FALSE),IFERROR(HEX2DEC(MID(("x"&amp;I63),58,8))&gt;=0,FALSE))),IF(EXACT("x"&amp;H63,"x"&amp;I63),AA63,AB63),"LEXEMA_O_FORMA"),IF(W63="PRUEBA",IF(H63=X63,AA63,IF(H63=Z63,AB63,"LEXEMA_O_FORMA")),IF(W63="RETIRADA",IF(AND(H63="NINGUNO",I63=""),IF(J63="COMPLETA",AB63,"COBERTURA_INSUFICIENTE"),IF(AND(OR(H63="uoInstallation",H63="uoUninstallation"),OR(I63="orcSucceeded",I63="orcSucceededWithErrors",I63="orcFailed",I63="orcAborted",I63="orcInProgress",I63="orcNotStarted")),IF(AND(H63=X63,I63=Y63),AA63,IF(AND(H63=X63,OR(I63="orcSucceededWithErrors",I63="orcInProgress",I63="orcNotStarted")),"RESULTADO_RETIRADA_INCIERTO",IF(J63="COMPLETA",AB63,"COBERTURA_INSUFICIENTE"))),"LEXEMA_O_FORMA")),IF(W63="CAMBIO",IF(OR(H63="CAMBIO",H63="CAMBIO_Y_RETORNO"),AA63,IF(OR(H63="NINGUNO",H63="SOLO_RENOMBRE"),IF(J63="COMPLETA",AB63,"COBERTURA_INSUFICIENTE"),"LEXEMA_O_FORMA")),IF(W63="RESTAURACION",IF(H63=X63,AA63,IF(OR(H63="NINGUNO",H63="RESTAURACION_POSTERIOR",H63="RESTAURACION_FALLIDA"),IF(J63="COMPLETA",AB63,"COBERTURA_INSUFICIENTE"),"LEXEMA_O_FORMA")),"PERFIL_NO_CONSTITUIDO"))))))))))))))))))</x:f>
        <x:v>SIN_EJECUCION_DOMINIO</x:v>
      </x:c>
      <x:c r="R63" s="12" t="str">
        <x:f>IF(AND(L63=O63,M63=P63,N63=Q63),"PASA","NO_PASA")</x:f>
        <x:v>PASA</x:v>
      </x:c>
      <x:c r="S63" s="4" t="str">
        <x:v>El observador falla; no existe ejecución de dominio ni Tri alternativo.</x:v>
      </x:c>
      <x:c r="T63" s="12" t="str">
        <x:f>IFERROR(INDEX('55_Codificacion_ensayo'!$B$5:$B$13,MATCH(B63,'55_Codificacion_ensayo'!$A$5:$A$13,0)),"")</x:f>
        <x:v>IDENTIDAD-IMAGEN-CARGADA-0.1</x:v>
      </x:c>
      <x:c r="U63" s="12" t="str">
        <x:f>IFERROR(INDEX('55_Codificacion_ensayo'!$C$5:$C$13,MATCH(B63,'55_Codificacion_ensayo'!$A$5:$A$13,0)),"")</x:f>
        <x:v>IMAGEN_CARGADA</x:v>
      </x:c>
      <x:c r="V63" s="12" t="str">
        <x:f>IFERROR(INDEX('55_Codificacion_ensayo'!$D$5:$D$13,MATCH(B63,'55_Codificacion_ensayo'!$A$5:$A$13,0)),"")</x:f>
        <x:v>METODO_ADMITIDO</x:v>
      </x:c>
      <x:c r="W63" s="12" t="str">
        <x:f>IFERROR(INDEX('55_Codificacion_ensayo'!$E$5:$E$13,MATCH(B63,'55_Codificacion_ensayo'!$A$5:$A$13,0)),"")</x:f>
        <x:v>IMAGEN</x:v>
      </x:c>
      <x:c r="X63" s="12" t="str">
        <x:f>IFERROR(INDEX('55_Codificacion_ensayo'!$F$5:$F$13,MATCH(B63,'55_Codificacion_ensayo'!$A$5:$A$13,0)),"")</x:f>
        <x:v>aaaaaaaaaaaaaaaaaaaaaaaaaaaaaaaaaaaaaaaaaaaaaaaaaaaaaaaaaaaaaaaa</x:v>
      </x:c>
      <x:c r="Y63" s="12" t="str">
        <x:f>IFERROR(INDEX('55_Codificacion_ensayo'!$G$5:$G$13,MATCH(B63,'55_Codificacion_ensayo'!$A$5:$A$13,0)),"")</x:f>
        <x:v>aaaaaaaaaaaaaaaaaaaaaaaaaaaaaaaaaaaaaaaaaaaaaaaaaaaaaaaaaaaaaaaa</x:v>
      </x:c>
      <x:c r="Z63" s="12" t="str">
        <x:f>IFERROR(INDEX('55_Codificacion_ensayo'!$H$5:$H$13,MATCH(B63,'55_Codificacion_ensayo'!$A$5:$A$13,0)),"")</x:f>
        <x:v>bbbbbbbbbbbbbbbbbbbbbbbbbbbbbbbbbbbbbbbbbbbbbbbbbbbbbbbbbbbbbbbb</x:v>
      </x:c>
      <x:c r="AA63" s="12" t="str">
        <x:f>IFERROR(INDEX('55_Codificacion_ensayo'!$I$5:$I$13,MATCH(B63,'55_Codificacion_ensayo'!$A$5:$A$13,0)),"")</x:f>
        <x:v>IMAGEN_OBJETIVO</x:v>
      </x:c>
      <x:c r="AB63" s="12" t="str">
        <x:f>IFERROR(INDEX('55_Codificacion_ensayo'!$J$5:$J$13,MATCH(B63,'55_Codificacion_ensayo'!$A$5:$A$13,0)),"")</x:f>
        <x:v>OTRA_IMAGEN</x:v>
      </x:c>
    </x:row>
    <x:row r="64" ht="47" customHeight="1">
      <x:c r="A64" s="4" t="str">
        <x:v>L10-06-06</x:v>
      </x:c>
      <x:c r="B64" s="4" t="str">
        <x:v>PAR-CYB-IMAGEN-OBJETIVO-ACTIVA-001</x:v>
      </x:c>
      <x:c r="C64" s="4" t="str">
        <x:v>IDENTIDAD-IMAGEN-CARGADA-0.1</x:v>
      </x:c>
      <x:c r="D64" s="4" t="str">
        <x:v>OTRO</x:v>
      </x:c>
      <x:c r="E64" s="4" t="str">
        <x:v>LEGIBLE</x:v>
      </x:c>
      <x:c r="F64" s="4" t="str">
        <x:v>IMAGEN_CARGADA</x:v>
      </x:c>
      <x:c r="G64" s="4" t="str">
        <x:v>UNICA</x:v>
      </x:c>
      <x:c r="H64" s="4" t="str">
        <x:v>aaaaaaaaaaaaaaaaaaaaaaaaaaaaaaaaaaaaaaaaaaaaaaaaaaaaaaaaaaaaaaaa</x:v>
      </x:c>
      <x:c r="I64" s="4" t="str">
        <x:v>aaaaaaaaaaaaaaaaaaaaaaaaaaaaaaaaaaaaaaaaaaaaaaaaaaaaaaaaaaaaaaaa</x:v>
      </x:c>
      <x:c r="J64" s="4" t="str">
        <x:v>COMPLETA</x:v>
      </x:c>
      <x:c r="K64" s="4" t="str">
        <x:v>METODO_ADMITIDO</x:v>
      </x:c>
      <x:c r="L64" s="4" t="str">
        <x:v>NO_ADMISION</x:v>
      </x:c>
      <x:c r="M64" s="4" t="str"/>
      <x:c r="N64" s="4" t="str">
        <x:v>IDENTIDAD</x:v>
      </x:c>
      <x:c r="O64" s="12" t="str">
        <x:f>IF(Q64="SIN_EJECUCION_DOMINIO","FALLO_CAPTURA",IF(OR(Q64="CAPTURA_MAL_FORMADA",Q64="IDENTIDAD",Q64="OBSERVACION_MAL_FORMADA",Q64="LEXEMA_O_FORMA"),"NO_ADMISION",IF(OR(Q64="PERFIL_NO_CONSTITUIDO",Q64="RESULTADO_NO_TERMINAL"),"FUERA_PERFIL",IF(Q64="CONTEXTO_NO_CONSTITUIDO","CONFIGURACION_PENDIENTE","VALIDA"))))</x:f>
        <x:v>NO_ADMISION</x:v>
      </x:c>
      <x:c r="P64" s="12" t="str">
        <x:f>IF(O64&lt;&gt;"VALIDA","",IF(Q64=AA64,"1",IF(Q64=AB64,"0","U")))</x:f>
      </x:c>
      <x:c r="Q64" s="12" t="str">
        <x:f>IF(E64="FALLO","SIN_EJECUCION_DOMINIO",IF(E64&lt;&gt;"LEGIBLE","CAPTURA_MAL_FORMADA",IF(D64&lt;&gt;"COINCIDE","IDENTIDAD",IF(OR(T64="",C64&lt;&gt;T64),"PERFIL_NO_CONSTITUIDO",IF(K64&lt;&gt;V64,IF(V64="ORDEN_ACREDITADO","ORDEN_NO_ACREDITADO","CONTEXTO_NO_CONSTITUIDO"),IF(AND(G64="AUSENTE",H64="",I64=""),"DATO_AUSENTE",IF(AND(G64="CONFLICTO",H64="",I64=""),"CONFLICTO_OBSERVACIONAL",IF(G64&lt;&gt;"UNICA","OBSERVACION_MAL_FORMADA",IF(F64&lt;&gt;U64,"OBSERVACION_INSUFICIENTE",IF(W64="RESULTADO",IF(H64=X64,AA64,IF(OR(H64="orcSucceededWithErrors",H64="orcFailed",H64="orcAborted"),AB64,IF(OR(H64="orcNotStarted",H64="orcInProgress"),"RESULTADO_NO_TERMINAL","LEXEMA_O_FORMA"))),IF(W64="EVENTO_BOOT",IF(H64=X64,AA64,IF(OR(H64="NINGUNO",H64="SOLO_HIBRIDO"),IF(J64="COMPLETA",AB64,"COBERTURA_INSUFICIENTE"),"LEXEMA_O_FORMA")),IF(W64="REQUISITO_SOFT",IF(H64=X64,AA64,IF(H64=Z64,AB64,"LEXEMA_O_FORMA")),IF(W64="EVENTO_PROC",IF(H64=X64,AA64,IF(H64=Z64,IF(J64="COMPLETA",AB64,"COBERTURA_INSUFICIENTE"),"LEXEMA_O_FORMA")),IF(W64="IMAGEN",IF(AND(AND(ISTEXT(H64),LEN(("x"&amp;H64))=65,EXACT(("x"&amp;H64),LOWER(("x"&amp;H64))),ISERROR(SEARCH(" ",("x"&amp;H64))),ISERROR(SEARCH(CHAR(9),("x"&amp;H64))),ISERROR(SEARCH(CHAR(10),("x"&amp;H64))),ISERROR(SEARCH(CHAR(13),("x"&amp;H64))),IFERROR(HEX2DEC(MID(("x"&amp;H64),2,8))&gt;=0,FALSE),IFERROR(HEX2DEC(MID(("x"&amp;H64),10,8))&gt;=0,FALSE),IFERROR(HEX2DEC(MID(("x"&amp;H64),18,8))&gt;=0,FALSE),IFERROR(HEX2DEC(MID(("x"&amp;H64),26,8))&gt;=0,FALSE),IFERROR(HEX2DEC(MID(("x"&amp;H64),34,8))&gt;=0,FALSE),IFERROR(HEX2DEC(MID(("x"&amp;H64),42,8))&gt;=0,FALSE),IFERROR(HEX2DEC(MID(("x"&amp;H64),50,8))&gt;=0,FALSE),IFERROR(HEX2DEC(MID(("x"&amp;H64),58,8))&gt;=0,FALSE)),AND(ISTEXT(I64),LEN(("x"&amp;I64))=65,EXACT(("x"&amp;I64),LOWER(("x"&amp;I64))),ISERROR(SEARCH(" ",("x"&amp;I64))),ISERROR(SEARCH(CHAR(9),("x"&amp;I64))),ISERROR(SEARCH(CHAR(10),("x"&amp;I64))),ISERROR(SEARCH(CHAR(13),("x"&amp;I64))),IFERROR(HEX2DEC(MID(("x"&amp;I64),2,8))&gt;=0,FALSE),IFERROR(HEX2DEC(MID(("x"&amp;I64),10,8))&gt;=0,FALSE),IFERROR(HEX2DEC(MID(("x"&amp;I64),18,8))&gt;=0,FALSE),IFERROR(HEX2DEC(MID(("x"&amp;I64),26,8))&gt;=0,FALSE),IFERROR(HEX2DEC(MID(("x"&amp;I64),34,8))&gt;=0,FALSE),IFERROR(HEX2DEC(MID(("x"&amp;I64),42,8))&gt;=0,FALSE),IFERROR(HEX2DEC(MID(("x"&amp;I64),50,8))&gt;=0,FALSE),IFERROR(HEX2DEC(MID(("x"&amp;I64),58,8))&gt;=0,FALSE))),IF(EXACT("x"&amp;H64,"x"&amp;I64),AA64,AB64),"LEXEMA_O_FORMA"),IF(W64="PRUEBA",IF(H64=X64,AA64,IF(H64=Z64,AB64,"LEXEMA_O_FORMA")),IF(W64="RETIRADA",IF(AND(H64="NINGUNO",I64=""),IF(J64="COMPLETA",AB64,"COBERTURA_INSUFICIENTE"),IF(AND(OR(H64="uoInstallation",H64="uoUninstallation"),OR(I64="orcSucceeded",I64="orcSucceededWithErrors",I64="orcFailed",I64="orcAborted",I64="orcInProgress",I64="orcNotStarted")),IF(AND(H64=X64,I64=Y64),AA64,IF(AND(H64=X64,OR(I64="orcSucceededWithErrors",I64="orcInProgress",I64="orcNotStarted")),"RESULTADO_RETIRADA_INCIERTO",IF(J64="COMPLETA",AB64,"COBERTURA_INSUFICIENTE"))),"LEXEMA_O_FORMA")),IF(W64="CAMBIO",IF(OR(H64="CAMBIO",H64="CAMBIO_Y_RETORNO"),AA64,IF(OR(H64="NINGUNO",H64="SOLO_RENOMBRE"),IF(J64="COMPLETA",AB64,"COBERTURA_INSUFICIENTE"),"LEXEMA_O_FORMA")),IF(W64="RESTAURACION",IF(H64=X64,AA64,IF(OR(H64="NINGUNO",H64="RESTAURACION_POSTERIOR",H64="RESTAURACION_FALLIDA"),IF(J64="COMPLETA",AB64,"COBERTURA_INSUFICIENTE"),"LEXEMA_O_FORMA")),"PERFIL_NO_CONSTITUIDO"))))))))))))))))))</x:f>
        <x:v>IDENTIDAD</x:v>
      </x:c>
      <x:c r="R64" s="12" t="str">
        <x:f>IF(AND(L64=O64,M64=P64,N64=Q64),"PASA","NO_PASA")</x:f>
        <x:v>PASA</x:v>
      </x:c>
      <x:c r="S64" s="4" t="str">
        <x:v>El testigo pertenece a otro sujeto; no se recicla su dato.</x:v>
      </x:c>
      <x:c r="T64" s="12" t="str">
        <x:f>IFERROR(INDEX('55_Codificacion_ensayo'!$B$5:$B$13,MATCH(B64,'55_Codificacion_ensayo'!$A$5:$A$13,0)),"")</x:f>
        <x:v>IDENTIDAD-IMAGEN-CARGADA-0.1</x:v>
      </x:c>
      <x:c r="U64" s="12" t="str">
        <x:f>IFERROR(INDEX('55_Codificacion_ensayo'!$C$5:$C$13,MATCH(B64,'55_Codificacion_ensayo'!$A$5:$A$13,0)),"")</x:f>
        <x:v>IMAGEN_CARGADA</x:v>
      </x:c>
      <x:c r="V64" s="12" t="str">
        <x:f>IFERROR(INDEX('55_Codificacion_ensayo'!$D$5:$D$13,MATCH(B64,'55_Codificacion_ensayo'!$A$5:$A$13,0)),"")</x:f>
        <x:v>METODO_ADMITIDO</x:v>
      </x:c>
      <x:c r="W64" s="12" t="str">
        <x:f>IFERROR(INDEX('55_Codificacion_ensayo'!$E$5:$E$13,MATCH(B64,'55_Codificacion_ensayo'!$A$5:$A$13,0)),"")</x:f>
        <x:v>IMAGEN</x:v>
      </x:c>
      <x:c r="X64" s="12" t="str">
        <x:f>IFERROR(INDEX('55_Codificacion_ensayo'!$F$5:$F$13,MATCH(B64,'55_Codificacion_ensayo'!$A$5:$A$13,0)),"")</x:f>
        <x:v>aaaaaaaaaaaaaaaaaaaaaaaaaaaaaaaaaaaaaaaaaaaaaaaaaaaaaaaaaaaaaaaa</x:v>
      </x:c>
      <x:c r="Y64" s="12" t="str">
        <x:f>IFERROR(INDEX('55_Codificacion_ensayo'!$G$5:$G$13,MATCH(B64,'55_Codificacion_ensayo'!$A$5:$A$13,0)),"")</x:f>
        <x:v>aaaaaaaaaaaaaaaaaaaaaaaaaaaaaaaaaaaaaaaaaaaaaaaaaaaaaaaaaaaaaaaa</x:v>
      </x:c>
      <x:c r="Z64" s="12" t="str">
        <x:f>IFERROR(INDEX('55_Codificacion_ensayo'!$H$5:$H$13,MATCH(B64,'55_Codificacion_ensayo'!$A$5:$A$13,0)),"")</x:f>
        <x:v>bbbbbbbbbbbbbbbbbbbbbbbbbbbbbbbbbbbbbbbbbbbbbbbbbbbbbbbbbbbbbbbb</x:v>
      </x:c>
      <x:c r="AA64" s="12" t="str">
        <x:f>IFERROR(INDEX('55_Codificacion_ensayo'!$I$5:$I$13,MATCH(B64,'55_Codificacion_ensayo'!$A$5:$A$13,0)),"")</x:f>
        <x:v>IMAGEN_OBJETIVO</x:v>
      </x:c>
      <x:c r="AB64" s="12" t="str">
        <x:f>IFERROR(INDEX('55_Codificacion_ensayo'!$J$5:$J$13,MATCH(B64,'55_Codificacion_ensayo'!$A$5:$A$13,0)),"")</x:f>
        <x:v>OTRA_IMAGEN</x:v>
      </x:c>
    </x:row>
    <x:row r="65" ht="47" customHeight="1">
      <x:c r="A65" s="4" t="str">
        <x:v>L10-06-07</x:v>
      </x:c>
      <x:c r="B65" s="4" t="str">
        <x:v>PAR-CYB-IMAGEN-OBJETIVO-ACTIVA-001</x:v>
      </x:c>
      <x:c r="C65" s="4" t="str">
        <x:v>IDENTIDAD-IMAGEN-CARGADA-0.1</x:v>
      </x:c>
      <x:c r="D65" s="4" t="str">
        <x:v>COINCIDE</x:v>
      </x:c>
      <x:c r="E65" s="4" t="str">
        <x:v>LEGIBLE</x:v>
      </x:c>
      <x:c r="F65" s="4" t="str">
        <x:v>FUENTE_GENERAL</x:v>
      </x:c>
      <x:c r="G65" s="4" t="str">
        <x:v>UNICA</x:v>
      </x:c>
      <x:c r="H65" s="4" t="str">
        <x:v>aaaaaaaaaaaaaaaaaaaaaaaaaaaaaaaaaaaaaaaaaaaaaaaaaaaaaaaaaaaaaaaa</x:v>
      </x:c>
      <x:c r="I65" s="4" t="str">
        <x:v>aaaaaaaaaaaaaaaaaaaaaaaaaaaaaaaaaaaaaaaaaaaaaaaaaaaaaaaaaaaaaaaa</x:v>
      </x:c>
      <x:c r="J65" s="4" t="str">
        <x:v>COMPLETA</x:v>
      </x:c>
      <x:c r="K65" s="4" t="str">
        <x:v>METODO_ADMITIDO</x:v>
      </x:c>
      <x:c r="L65" s="4" t="str">
        <x:v>VALIDA</x:v>
      </x:c>
      <x:c r="M65" s="4" t="str">
        <x:v>U</x:v>
      </x:c>
      <x:c r="N65" s="4" t="str">
        <x:v>OBSERVACION_INSUFICIENTE</x:v>
      </x:c>
      <x:c r="O65" s="12" t="str">
        <x:f>IF(Q65="SIN_EJECUCION_DOMINIO","FALLO_CAPTURA",IF(OR(Q65="CAPTURA_MAL_FORMADA",Q65="IDENTIDAD",Q65="OBSERVACION_MAL_FORMADA",Q65="LEXEMA_O_FORMA"),"NO_ADMISION",IF(OR(Q65="PERFIL_NO_CONSTITUIDO",Q65="RESULTADO_NO_TERMINAL"),"FUERA_PERFIL",IF(Q65="CONTEXTO_NO_CONSTITUIDO","CONFIGURACION_PENDIENTE","VALIDA"))))</x:f>
        <x:v>VALIDA</x:v>
      </x:c>
      <x:c r="P65" s="12" t="str">
        <x:f>IF(O65&lt;&gt;"VALIDA","",IF(Q65=AA65,"1",IF(Q65=AB65,"0","U")))</x:f>
        <x:v>U</x:v>
      </x:c>
      <x:c r="Q65" s="12" t="str">
        <x:f>IF(E65="FALLO","SIN_EJECUCION_DOMINIO",IF(E65&lt;&gt;"LEGIBLE","CAPTURA_MAL_FORMADA",IF(D65&lt;&gt;"COINCIDE","IDENTIDAD",IF(OR(T65="",C65&lt;&gt;T65),"PERFIL_NO_CONSTITUIDO",IF(K65&lt;&gt;V65,IF(V65="ORDEN_ACREDITADO","ORDEN_NO_ACREDITADO","CONTEXTO_NO_CONSTITUIDO"),IF(AND(G65="AUSENTE",H65="",I65=""),"DATO_AUSENTE",IF(AND(G65="CONFLICTO",H65="",I65=""),"CONFLICTO_OBSERVACIONAL",IF(G65&lt;&gt;"UNICA","OBSERVACION_MAL_FORMADA",IF(F65&lt;&gt;U65,"OBSERVACION_INSUFICIENTE",IF(W65="RESULTADO",IF(H65=X65,AA65,IF(OR(H65="orcSucceededWithErrors",H65="orcFailed",H65="orcAborted"),AB65,IF(OR(H65="orcNotStarted",H65="orcInProgress"),"RESULTADO_NO_TERMINAL","LEXEMA_O_FORMA"))),IF(W65="EVENTO_BOOT",IF(H65=X65,AA65,IF(OR(H65="NINGUNO",H65="SOLO_HIBRIDO"),IF(J65="COMPLETA",AB65,"COBERTURA_INSUFICIENTE"),"LEXEMA_O_FORMA")),IF(W65="REQUISITO_SOFT",IF(H65=X65,AA65,IF(H65=Z65,AB65,"LEXEMA_O_FORMA")),IF(W65="EVENTO_PROC",IF(H65=X65,AA65,IF(H65=Z65,IF(J65="COMPLETA",AB65,"COBERTURA_INSUFICIENTE"),"LEXEMA_O_FORMA")),IF(W65="IMAGEN",IF(AND(AND(ISTEXT(H65),LEN(("x"&amp;H65))=65,EXACT(("x"&amp;H65),LOWER(("x"&amp;H65))),ISERROR(SEARCH(" ",("x"&amp;H65))),ISERROR(SEARCH(CHAR(9),("x"&amp;H65))),ISERROR(SEARCH(CHAR(10),("x"&amp;H65))),ISERROR(SEARCH(CHAR(13),("x"&amp;H65))),IFERROR(HEX2DEC(MID(("x"&amp;H65),2,8))&gt;=0,FALSE),IFERROR(HEX2DEC(MID(("x"&amp;H65),10,8))&gt;=0,FALSE),IFERROR(HEX2DEC(MID(("x"&amp;H65),18,8))&gt;=0,FALSE),IFERROR(HEX2DEC(MID(("x"&amp;H65),26,8))&gt;=0,FALSE),IFERROR(HEX2DEC(MID(("x"&amp;H65),34,8))&gt;=0,FALSE),IFERROR(HEX2DEC(MID(("x"&amp;H65),42,8))&gt;=0,FALSE),IFERROR(HEX2DEC(MID(("x"&amp;H65),50,8))&gt;=0,FALSE),IFERROR(HEX2DEC(MID(("x"&amp;H65),58,8))&gt;=0,FALSE)),AND(ISTEXT(I65),LEN(("x"&amp;I65))=65,EXACT(("x"&amp;I65),LOWER(("x"&amp;I65))),ISERROR(SEARCH(" ",("x"&amp;I65))),ISERROR(SEARCH(CHAR(9),("x"&amp;I65))),ISERROR(SEARCH(CHAR(10),("x"&amp;I65))),ISERROR(SEARCH(CHAR(13),("x"&amp;I65))),IFERROR(HEX2DEC(MID(("x"&amp;I65),2,8))&gt;=0,FALSE),IFERROR(HEX2DEC(MID(("x"&amp;I65),10,8))&gt;=0,FALSE),IFERROR(HEX2DEC(MID(("x"&amp;I65),18,8))&gt;=0,FALSE),IFERROR(HEX2DEC(MID(("x"&amp;I65),26,8))&gt;=0,FALSE),IFERROR(HEX2DEC(MID(("x"&amp;I65),34,8))&gt;=0,FALSE),IFERROR(HEX2DEC(MID(("x"&amp;I65),42,8))&gt;=0,FALSE),IFERROR(HEX2DEC(MID(("x"&amp;I65),50,8))&gt;=0,FALSE),IFERROR(HEX2DEC(MID(("x"&amp;I65),58,8))&gt;=0,FALSE))),IF(EXACT("x"&amp;H65,"x"&amp;I65),AA65,AB65),"LEXEMA_O_FORMA"),IF(W65="PRUEBA",IF(H65=X65,AA65,IF(H65=Z65,AB65,"LEXEMA_O_FORMA")),IF(W65="RETIRADA",IF(AND(H65="NINGUNO",I65=""),IF(J65="COMPLETA",AB65,"COBERTURA_INSUFICIENTE"),IF(AND(OR(H65="uoInstallation",H65="uoUninstallation"),OR(I65="orcSucceeded",I65="orcSucceededWithErrors",I65="orcFailed",I65="orcAborted",I65="orcInProgress",I65="orcNotStarted")),IF(AND(H65=X65,I65=Y65),AA65,IF(AND(H65=X65,OR(I65="orcSucceededWithErrors",I65="orcInProgress",I65="orcNotStarted")),"RESULTADO_RETIRADA_INCIERTO",IF(J65="COMPLETA",AB65,"COBERTURA_INSUFICIENTE"))),"LEXEMA_O_FORMA")),IF(W65="CAMBIO",IF(OR(H65="CAMBIO",H65="CAMBIO_Y_RETORNO"),AA65,IF(OR(H65="NINGUNO",H65="SOLO_RENOMBRE"),IF(J65="COMPLETA",AB65,"COBERTURA_INSUFICIENTE"),"LEXEMA_O_FORMA")),IF(W65="RESTAURACION",IF(H65=X65,AA65,IF(OR(H65="NINGUNO",H65="RESTAURACION_POSTERIOR",H65="RESTAURACION_FALLIDA"),IF(J65="COMPLETA",AB65,"COBERTURA_INSUFICIENTE"),"LEXEMA_O_FORMA")),"PERFIL_NO_CONSTITUIDO"))))))))))))))))))</x:f>
        <x:v>OBSERVACION_INSUFICIENTE</x:v>
      </x:c>
      <x:c r="R65" s="12" t="str">
        <x:f>IF(AND(L65=O65,M65=P65,N65=Q65),"PASA","NO_PASA")</x:f>
        <x:v>PASA</x:v>
      </x:c>
      <x:c r="S65" s="4" t="str">
        <x:v>Una fuente del dominio no sustituye la observación específica del episodio.</x:v>
      </x:c>
      <x:c r="T65" s="12" t="str">
        <x:f>IFERROR(INDEX('55_Codificacion_ensayo'!$B$5:$B$13,MATCH(B65,'55_Codificacion_ensayo'!$A$5:$A$13,0)),"")</x:f>
        <x:v>IDENTIDAD-IMAGEN-CARGADA-0.1</x:v>
      </x:c>
      <x:c r="U65" s="12" t="str">
        <x:f>IFERROR(INDEX('55_Codificacion_ensayo'!$C$5:$C$13,MATCH(B65,'55_Codificacion_ensayo'!$A$5:$A$13,0)),"")</x:f>
        <x:v>IMAGEN_CARGADA</x:v>
      </x:c>
      <x:c r="V65" s="12" t="str">
        <x:f>IFERROR(INDEX('55_Codificacion_ensayo'!$D$5:$D$13,MATCH(B65,'55_Codificacion_ensayo'!$A$5:$A$13,0)),"")</x:f>
        <x:v>METODO_ADMITIDO</x:v>
      </x:c>
      <x:c r="W65" s="12" t="str">
        <x:f>IFERROR(INDEX('55_Codificacion_ensayo'!$E$5:$E$13,MATCH(B65,'55_Codificacion_ensayo'!$A$5:$A$13,0)),"")</x:f>
        <x:v>IMAGEN</x:v>
      </x:c>
      <x:c r="X65" s="12" t="str">
        <x:f>IFERROR(INDEX('55_Codificacion_ensayo'!$F$5:$F$13,MATCH(B65,'55_Codificacion_ensayo'!$A$5:$A$13,0)),"")</x:f>
        <x:v>aaaaaaaaaaaaaaaaaaaaaaaaaaaaaaaaaaaaaaaaaaaaaaaaaaaaaaaaaaaaaaaa</x:v>
      </x:c>
      <x:c r="Y65" s="12" t="str">
        <x:f>IFERROR(INDEX('55_Codificacion_ensayo'!$G$5:$G$13,MATCH(B65,'55_Codificacion_ensayo'!$A$5:$A$13,0)),"")</x:f>
        <x:v>aaaaaaaaaaaaaaaaaaaaaaaaaaaaaaaaaaaaaaaaaaaaaaaaaaaaaaaaaaaaaaaa</x:v>
      </x:c>
      <x:c r="Z65" s="12" t="str">
        <x:f>IFERROR(INDEX('55_Codificacion_ensayo'!$H$5:$H$13,MATCH(B65,'55_Codificacion_ensayo'!$A$5:$A$13,0)),"")</x:f>
        <x:v>bbbbbbbbbbbbbbbbbbbbbbbbbbbbbbbbbbbbbbbbbbbbbbbbbbbbbbbbbbbbbbbb</x:v>
      </x:c>
      <x:c r="AA65" s="12" t="str">
        <x:f>IFERROR(INDEX('55_Codificacion_ensayo'!$I$5:$I$13,MATCH(B65,'55_Codificacion_ensayo'!$A$5:$A$13,0)),"")</x:f>
        <x:v>IMAGEN_OBJETIVO</x:v>
      </x:c>
      <x:c r="AB65" s="12" t="str">
        <x:f>IFERROR(INDEX('55_Codificacion_ensayo'!$J$5:$J$13,MATCH(B65,'55_Codificacion_ensayo'!$A$5:$A$13,0)),"")</x:f>
        <x:v>OTRA_IMAGEN</x:v>
      </x:c>
    </x:row>
    <x:row r="66" ht="47" customHeight="1">
      <x:c r="A66" s="4" t="str">
        <x:v>L10-06-08</x:v>
      </x:c>
      <x:c r="B66" s="4" t="str">
        <x:v>PAR-CYB-IMAGEN-OBJETIVO-ACTIVA-001</x:v>
      </x:c>
      <x:c r="C66" s="4" t="str">
        <x:v>OTRO_PERFIL</x:v>
      </x:c>
      <x:c r="D66" s="4" t="str">
        <x:v>COINCIDE</x:v>
      </x:c>
      <x:c r="E66" s="4" t="str">
        <x:v>LEGIBLE</x:v>
      </x:c>
      <x:c r="F66" s="4" t="str">
        <x:v>IMAGEN_CARGADA</x:v>
      </x:c>
      <x:c r="G66" s="4" t="str">
        <x:v>UNICA</x:v>
      </x:c>
      <x:c r="H66" s="4" t="str">
        <x:v>aaaaaaaaaaaaaaaaaaaaaaaaaaaaaaaaaaaaaaaaaaaaaaaaaaaaaaaaaaaaaaaa</x:v>
      </x:c>
      <x:c r="I66" s="4" t="str">
        <x:v>aaaaaaaaaaaaaaaaaaaaaaaaaaaaaaaaaaaaaaaaaaaaaaaaaaaaaaaaaaaaaaaa</x:v>
      </x:c>
      <x:c r="J66" s="4" t="str">
        <x:v>COMPLETA</x:v>
      </x:c>
      <x:c r="K66" s="4" t="str">
        <x:v>METODO_ADMITIDO</x:v>
      </x:c>
      <x:c r="L66" s="4" t="str">
        <x:v>FUERA_PERFIL</x:v>
      </x:c>
      <x:c r="M66" s="4" t="str"/>
      <x:c r="N66" s="4" t="str">
        <x:v>PERFIL_NO_CONSTITUIDO</x:v>
      </x:c>
      <x:c r="O66" s="12" t="str">
        <x:f>IF(Q66="SIN_EJECUCION_DOMINIO","FALLO_CAPTURA",IF(OR(Q66="CAPTURA_MAL_FORMADA",Q66="IDENTIDAD",Q66="OBSERVACION_MAL_FORMADA",Q66="LEXEMA_O_FORMA"),"NO_ADMISION",IF(OR(Q66="PERFIL_NO_CONSTITUIDO",Q66="RESULTADO_NO_TERMINAL"),"FUERA_PERFIL",IF(Q66="CONTEXTO_NO_CONSTITUIDO","CONFIGURACION_PENDIENTE","VALIDA"))))</x:f>
        <x:v>FUERA_PERFIL</x:v>
      </x:c>
      <x:c r="P66" s="12" t="str">
        <x:f>IF(O66&lt;&gt;"VALIDA","",IF(Q66=AA66,"1",IF(Q66=AB66,"0","U")))</x:f>
      </x:c>
      <x:c r="Q66" s="12" t="str">
        <x:f>IF(E66="FALLO","SIN_EJECUCION_DOMINIO",IF(E66&lt;&gt;"LEGIBLE","CAPTURA_MAL_FORMADA",IF(D66&lt;&gt;"COINCIDE","IDENTIDAD",IF(OR(T66="",C66&lt;&gt;T66),"PERFIL_NO_CONSTITUIDO",IF(K66&lt;&gt;V66,IF(V66="ORDEN_ACREDITADO","ORDEN_NO_ACREDITADO","CONTEXTO_NO_CONSTITUIDO"),IF(AND(G66="AUSENTE",H66="",I66=""),"DATO_AUSENTE",IF(AND(G66="CONFLICTO",H66="",I66=""),"CONFLICTO_OBSERVACIONAL",IF(G66&lt;&gt;"UNICA","OBSERVACION_MAL_FORMADA",IF(F66&lt;&gt;U66,"OBSERVACION_INSUFICIENTE",IF(W66="RESULTADO",IF(H66=X66,AA66,IF(OR(H66="orcSucceededWithErrors",H66="orcFailed",H66="orcAborted"),AB66,IF(OR(H66="orcNotStarted",H66="orcInProgress"),"RESULTADO_NO_TERMINAL","LEXEMA_O_FORMA"))),IF(W66="EVENTO_BOOT",IF(H66=X66,AA66,IF(OR(H66="NINGUNO",H66="SOLO_HIBRIDO"),IF(J66="COMPLETA",AB66,"COBERTURA_INSUFICIENTE"),"LEXEMA_O_FORMA")),IF(W66="REQUISITO_SOFT",IF(H66=X66,AA66,IF(H66=Z66,AB66,"LEXEMA_O_FORMA")),IF(W66="EVENTO_PROC",IF(H66=X66,AA66,IF(H66=Z66,IF(J66="COMPLETA",AB66,"COBERTURA_INSUFICIENTE"),"LEXEMA_O_FORMA")),IF(W66="IMAGEN",IF(AND(AND(ISTEXT(H66),LEN(("x"&amp;H66))=65,EXACT(("x"&amp;H66),LOWER(("x"&amp;H66))),ISERROR(SEARCH(" ",("x"&amp;H66))),ISERROR(SEARCH(CHAR(9),("x"&amp;H66))),ISERROR(SEARCH(CHAR(10),("x"&amp;H66))),ISERROR(SEARCH(CHAR(13),("x"&amp;H66))),IFERROR(HEX2DEC(MID(("x"&amp;H66),2,8))&gt;=0,FALSE),IFERROR(HEX2DEC(MID(("x"&amp;H66),10,8))&gt;=0,FALSE),IFERROR(HEX2DEC(MID(("x"&amp;H66),18,8))&gt;=0,FALSE),IFERROR(HEX2DEC(MID(("x"&amp;H66),26,8))&gt;=0,FALSE),IFERROR(HEX2DEC(MID(("x"&amp;H66),34,8))&gt;=0,FALSE),IFERROR(HEX2DEC(MID(("x"&amp;H66),42,8))&gt;=0,FALSE),IFERROR(HEX2DEC(MID(("x"&amp;H66),50,8))&gt;=0,FALSE),IFERROR(HEX2DEC(MID(("x"&amp;H66),58,8))&gt;=0,FALSE)),AND(ISTEXT(I66),LEN(("x"&amp;I66))=65,EXACT(("x"&amp;I66),LOWER(("x"&amp;I66))),ISERROR(SEARCH(" ",("x"&amp;I66))),ISERROR(SEARCH(CHAR(9),("x"&amp;I66))),ISERROR(SEARCH(CHAR(10),("x"&amp;I66))),ISERROR(SEARCH(CHAR(13),("x"&amp;I66))),IFERROR(HEX2DEC(MID(("x"&amp;I66),2,8))&gt;=0,FALSE),IFERROR(HEX2DEC(MID(("x"&amp;I66),10,8))&gt;=0,FALSE),IFERROR(HEX2DEC(MID(("x"&amp;I66),18,8))&gt;=0,FALSE),IFERROR(HEX2DEC(MID(("x"&amp;I66),26,8))&gt;=0,FALSE),IFERROR(HEX2DEC(MID(("x"&amp;I66),34,8))&gt;=0,FALSE),IFERROR(HEX2DEC(MID(("x"&amp;I66),42,8))&gt;=0,FALSE),IFERROR(HEX2DEC(MID(("x"&amp;I66),50,8))&gt;=0,FALSE),IFERROR(HEX2DEC(MID(("x"&amp;I66),58,8))&gt;=0,FALSE))),IF(EXACT("x"&amp;H66,"x"&amp;I66),AA66,AB66),"LEXEMA_O_FORMA"),IF(W66="PRUEBA",IF(H66=X66,AA66,IF(H66=Z66,AB66,"LEXEMA_O_FORMA")),IF(W66="RETIRADA",IF(AND(H66="NINGUNO",I66=""),IF(J66="COMPLETA",AB66,"COBERTURA_INSUFICIENTE"),IF(AND(OR(H66="uoInstallation",H66="uoUninstallation"),OR(I66="orcSucceeded",I66="orcSucceededWithErrors",I66="orcFailed",I66="orcAborted",I66="orcInProgress",I66="orcNotStarted")),IF(AND(H66=X66,I66=Y66),AA66,IF(AND(H66=X66,OR(I66="orcSucceededWithErrors",I66="orcInProgress",I66="orcNotStarted")),"RESULTADO_RETIRADA_INCIERTO",IF(J66="COMPLETA",AB66,"COBERTURA_INSUFICIENTE"))),"LEXEMA_O_FORMA")),IF(W66="CAMBIO",IF(OR(H66="CAMBIO",H66="CAMBIO_Y_RETORNO"),AA66,IF(OR(H66="NINGUNO",H66="SOLO_RENOMBRE"),IF(J66="COMPLETA",AB66,"COBERTURA_INSUFICIENTE"),"LEXEMA_O_FORMA")),IF(W66="RESTAURACION",IF(H66=X66,AA66,IF(OR(H66="NINGUNO",H66="RESTAURACION_POSTERIOR",H66="RESTAURACION_FALLIDA"),IF(J66="COMPLETA",AB66,"COBERTURA_INSUFICIENTE"),"LEXEMA_O_FORMA")),"PERFIL_NO_CONSTITUIDO"))))))))))))))))))</x:f>
        <x:v>PERFIL_NO_CONSTITUIDO</x:v>
      </x:c>
      <x:c r="R66" s="12" t="str">
        <x:f>IF(AND(L66=O66,M66=P66,N66=Q66),"PASA","NO_PASA")</x:f>
        <x:v>PASA</x:v>
      </x:c>
      <x:c r="S66" s="4" t="str">
        <x:v>Perfil de otro producto no se normaliza por analogía.</x:v>
      </x:c>
      <x:c r="T66" s="12" t="str">
        <x:f>IFERROR(INDEX('55_Codificacion_ensayo'!$B$5:$B$13,MATCH(B66,'55_Codificacion_ensayo'!$A$5:$A$13,0)),"")</x:f>
        <x:v>IDENTIDAD-IMAGEN-CARGADA-0.1</x:v>
      </x:c>
      <x:c r="U66" s="12" t="str">
        <x:f>IFERROR(INDEX('55_Codificacion_ensayo'!$C$5:$C$13,MATCH(B66,'55_Codificacion_ensayo'!$A$5:$A$13,0)),"")</x:f>
        <x:v>IMAGEN_CARGADA</x:v>
      </x:c>
      <x:c r="V66" s="12" t="str">
        <x:f>IFERROR(INDEX('55_Codificacion_ensayo'!$D$5:$D$13,MATCH(B66,'55_Codificacion_ensayo'!$A$5:$A$13,0)),"")</x:f>
        <x:v>METODO_ADMITIDO</x:v>
      </x:c>
      <x:c r="W66" s="12" t="str">
        <x:f>IFERROR(INDEX('55_Codificacion_ensayo'!$E$5:$E$13,MATCH(B66,'55_Codificacion_ensayo'!$A$5:$A$13,0)),"")</x:f>
        <x:v>IMAGEN</x:v>
      </x:c>
      <x:c r="X66" s="12" t="str">
        <x:f>IFERROR(INDEX('55_Codificacion_ensayo'!$F$5:$F$13,MATCH(B66,'55_Codificacion_ensayo'!$A$5:$A$13,0)),"")</x:f>
        <x:v>aaaaaaaaaaaaaaaaaaaaaaaaaaaaaaaaaaaaaaaaaaaaaaaaaaaaaaaaaaaaaaaa</x:v>
      </x:c>
      <x:c r="Y66" s="12" t="str">
        <x:f>IFERROR(INDEX('55_Codificacion_ensayo'!$G$5:$G$13,MATCH(B66,'55_Codificacion_ensayo'!$A$5:$A$13,0)),"")</x:f>
        <x:v>aaaaaaaaaaaaaaaaaaaaaaaaaaaaaaaaaaaaaaaaaaaaaaaaaaaaaaaaaaaaaaaa</x:v>
      </x:c>
      <x:c r="Z66" s="12" t="str">
        <x:f>IFERROR(INDEX('55_Codificacion_ensayo'!$H$5:$H$13,MATCH(B66,'55_Codificacion_ensayo'!$A$5:$A$13,0)),"")</x:f>
        <x:v>bbbbbbbbbbbbbbbbbbbbbbbbbbbbbbbbbbbbbbbbbbbbbbbbbbbbbbbbbbbbbbbb</x:v>
      </x:c>
      <x:c r="AA66" s="12" t="str">
        <x:f>IFERROR(INDEX('55_Codificacion_ensayo'!$I$5:$I$13,MATCH(B66,'55_Codificacion_ensayo'!$A$5:$A$13,0)),"")</x:f>
        <x:v>IMAGEN_OBJETIVO</x:v>
      </x:c>
      <x:c r="AB66" s="12" t="str">
        <x:f>IFERROR(INDEX('55_Codificacion_ensayo'!$J$5:$J$13,MATCH(B66,'55_Codificacion_ensayo'!$A$5:$A$13,0)),"")</x:f>
        <x:v>OTRA_IMAGEN</x:v>
      </x:c>
    </x:row>
    <x:row r="67" ht="47" customHeight="1">
      <x:c r="A67" s="4" t="str">
        <x:v>L10-06-09</x:v>
      </x:c>
      <x:c r="B67" s="4" t="str">
        <x:v>PAR-CYB-IMAGEN-OBJETIVO-ACTIVA-001</x:v>
      </x:c>
      <x:c r="C67" s="4" t="str">
        <x:v>IDENTIDAD-IMAGEN-CARGADA-0.1</x:v>
      </x:c>
      <x:c r="D67" s="4" t="str">
        <x:v>COINCIDE</x:v>
      </x:c>
      <x:c r="E67" s="4" t="str">
        <x:v>LEGIBLE</x:v>
      </x:c>
      <x:c r="F67" s="4" t="str">
        <x:v>IMAGEN_CARGADA</x:v>
      </x:c>
      <x:c r="G67" s="4" t="str">
        <x:v>UNICA</x:v>
      </x:c>
      <x:c r="H67" s="4" t="str">
        <x:v>true false desconocido</x:v>
      </x:c>
      <x:c r="I67" s="4" t="str">
        <x:v>aaaaaaaaaaaaaaaaaaaaaaaaaaaaaaaaaaaaaaaaaaaaaaaaaaaaaaaaaaaaaaaa</x:v>
      </x:c>
      <x:c r="J67" s="4" t="str">
        <x:v>COMPLETA</x:v>
      </x:c>
      <x:c r="K67" s="4" t="str">
        <x:v>METODO_ADMITIDO</x:v>
      </x:c>
      <x:c r="L67" s="4" t="str">
        <x:v>NO_ADMISION</x:v>
      </x:c>
      <x:c r="M67" s="4" t="str"/>
      <x:c r="N67" s="4" t="str">
        <x:v>LEXEMA_O_FORMA</x:v>
      </x:c>
      <x:c r="O67" s="12" t="str">
        <x:f>IF(Q67="SIN_EJECUCION_DOMINIO","FALLO_CAPTURA",IF(OR(Q67="CAPTURA_MAL_FORMADA",Q67="IDENTIDAD",Q67="OBSERVACION_MAL_FORMADA",Q67="LEXEMA_O_FORMA"),"NO_ADMISION",IF(OR(Q67="PERFIL_NO_CONSTITUIDO",Q67="RESULTADO_NO_TERMINAL"),"FUERA_PERFIL",IF(Q67="CONTEXTO_NO_CONSTITUIDO","CONFIGURACION_PENDIENTE","VALIDA"))))</x:f>
        <x:v>NO_ADMISION</x:v>
      </x:c>
      <x:c r="P67" s="12" t="str">
        <x:f>IF(O67&lt;&gt;"VALIDA","",IF(Q67=AA67,"1",IF(Q67=AB67,"0","U")))</x:f>
      </x:c>
      <x:c r="Q67" s="12" t="str">
        <x:f>IF(E67="FALLO","SIN_EJECUCION_DOMINIO",IF(E67&lt;&gt;"LEGIBLE","CAPTURA_MAL_FORMADA",IF(D67&lt;&gt;"COINCIDE","IDENTIDAD",IF(OR(T67="",C67&lt;&gt;T67),"PERFIL_NO_CONSTITUIDO",IF(K67&lt;&gt;V67,IF(V67="ORDEN_ACREDITADO","ORDEN_NO_ACREDITADO","CONTEXTO_NO_CONSTITUIDO"),IF(AND(G67="AUSENTE",H67="",I67=""),"DATO_AUSENTE",IF(AND(G67="CONFLICTO",H67="",I67=""),"CONFLICTO_OBSERVACIONAL",IF(G67&lt;&gt;"UNICA","OBSERVACION_MAL_FORMADA",IF(F67&lt;&gt;U67,"OBSERVACION_INSUFICIENTE",IF(W67="RESULTADO",IF(H67=X67,AA67,IF(OR(H67="orcSucceededWithErrors",H67="orcFailed",H67="orcAborted"),AB67,IF(OR(H67="orcNotStarted",H67="orcInProgress"),"RESULTADO_NO_TERMINAL","LEXEMA_O_FORMA"))),IF(W67="EVENTO_BOOT",IF(H67=X67,AA67,IF(OR(H67="NINGUNO",H67="SOLO_HIBRIDO"),IF(J67="COMPLETA",AB67,"COBERTURA_INSUFICIENTE"),"LEXEMA_O_FORMA")),IF(W67="REQUISITO_SOFT",IF(H67=X67,AA67,IF(H67=Z67,AB67,"LEXEMA_O_FORMA")),IF(W67="EVENTO_PROC",IF(H67=X67,AA67,IF(H67=Z67,IF(J67="COMPLETA",AB67,"COBERTURA_INSUFICIENTE"),"LEXEMA_O_FORMA")),IF(W67="IMAGEN",IF(AND(AND(ISTEXT(H67),LEN(("x"&amp;H67))=65,EXACT(("x"&amp;H67),LOWER(("x"&amp;H67))),ISERROR(SEARCH(" ",("x"&amp;H67))),ISERROR(SEARCH(CHAR(9),("x"&amp;H67))),ISERROR(SEARCH(CHAR(10),("x"&amp;H67))),ISERROR(SEARCH(CHAR(13),("x"&amp;H67))),IFERROR(HEX2DEC(MID(("x"&amp;H67),2,8))&gt;=0,FALSE),IFERROR(HEX2DEC(MID(("x"&amp;H67),10,8))&gt;=0,FALSE),IFERROR(HEX2DEC(MID(("x"&amp;H67),18,8))&gt;=0,FALSE),IFERROR(HEX2DEC(MID(("x"&amp;H67),26,8))&gt;=0,FALSE),IFERROR(HEX2DEC(MID(("x"&amp;H67),34,8))&gt;=0,FALSE),IFERROR(HEX2DEC(MID(("x"&amp;H67),42,8))&gt;=0,FALSE),IFERROR(HEX2DEC(MID(("x"&amp;H67),50,8))&gt;=0,FALSE),IFERROR(HEX2DEC(MID(("x"&amp;H67),58,8))&gt;=0,FALSE)),AND(ISTEXT(I67),LEN(("x"&amp;I67))=65,EXACT(("x"&amp;I67),LOWER(("x"&amp;I67))),ISERROR(SEARCH(" ",("x"&amp;I67))),ISERROR(SEARCH(CHAR(9),("x"&amp;I67))),ISERROR(SEARCH(CHAR(10),("x"&amp;I67))),ISERROR(SEARCH(CHAR(13),("x"&amp;I67))),IFERROR(HEX2DEC(MID(("x"&amp;I67),2,8))&gt;=0,FALSE),IFERROR(HEX2DEC(MID(("x"&amp;I67),10,8))&gt;=0,FALSE),IFERROR(HEX2DEC(MID(("x"&amp;I67),18,8))&gt;=0,FALSE),IFERROR(HEX2DEC(MID(("x"&amp;I67),26,8))&gt;=0,FALSE),IFERROR(HEX2DEC(MID(("x"&amp;I67),34,8))&gt;=0,FALSE),IFERROR(HEX2DEC(MID(("x"&amp;I67),42,8))&gt;=0,FALSE),IFERROR(HEX2DEC(MID(("x"&amp;I67),50,8))&gt;=0,FALSE),IFERROR(HEX2DEC(MID(("x"&amp;I67),58,8))&gt;=0,FALSE))),IF(EXACT("x"&amp;H67,"x"&amp;I67),AA67,AB67),"LEXEMA_O_FORMA"),IF(W67="PRUEBA",IF(H67=X67,AA67,IF(H67=Z67,AB67,"LEXEMA_O_FORMA")),IF(W67="RETIRADA",IF(AND(H67="NINGUNO",I67=""),IF(J67="COMPLETA",AB67,"COBERTURA_INSUFICIENTE"),IF(AND(OR(H67="uoInstallation",H67="uoUninstallation"),OR(I67="orcSucceeded",I67="orcSucceededWithErrors",I67="orcFailed",I67="orcAborted",I67="orcInProgress",I67="orcNotStarted")),IF(AND(H67=X67,I67=Y67),AA67,IF(AND(H67=X67,OR(I67="orcSucceededWithErrors",I67="orcInProgress",I67="orcNotStarted")),"RESULTADO_RETIRADA_INCIERTO",IF(J67="COMPLETA",AB67,"COBERTURA_INSUFICIENTE"))),"LEXEMA_O_FORMA")),IF(W67="CAMBIO",IF(OR(H67="CAMBIO",H67="CAMBIO_Y_RETORNO"),AA67,IF(OR(H67="NINGUNO",H67="SOLO_RENOMBRE"),IF(J67="COMPLETA",AB67,"COBERTURA_INSUFICIENTE"),"LEXEMA_O_FORMA")),IF(W67="RESTAURACION",IF(H67=X67,AA67,IF(OR(H67="NINGUNO",H67="RESTAURACION_POSTERIOR",H67="RESTAURACION_FALLIDA"),IF(J67="COMPLETA",AB67,"COBERTURA_INSUFICIENTE"),"LEXEMA_O_FORMA")),"PERFIL_NO_CONSTITUIDO"))))))))))))))))))</x:f>
        <x:v>LEXEMA_O_FORMA</x:v>
      </x:c>
      <x:c r="R67" s="12" t="str">
        <x:f>IF(AND(L67=O67,M67=P67,N67=Q67),"PASA","NO_PASA")</x:f>
        <x:v>PASA</x:v>
      </x:c>
      <x:c r="S67" s="4" t="str">
        <x:v>La observación usa un lexema ajeno al contrato.</x:v>
      </x:c>
      <x:c r="T67" s="12" t="str">
        <x:f>IFERROR(INDEX('55_Codificacion_ensayo'!$B$5:$B$13,MATCH(B67,'55_Codificacion_ensayo'!$A$5:$A$13,0)),"")</x:f>
        <x:v>IDENTIDAD-IMAGEN-CARGADA-0.1</x:v>
      </x:c>
      <x:c r="U67" s="12" t="str">
        <x:f>IFERROR(INDEX('55_Codificacion_ensayo'!$C$5:$C$13,MATCH(B67,'55_Codificacion_ensayo'!$A$5:$A$13,0)),"")</x:f>
        <x:v>IMAGEN_CARGADA</x:v>
      </x:c>
      <x:c r="V67" s="12" t="str">
        <x:f>IFERROR(INDEX('55_Codificacion_ensayo'!$D$5:$D$13,MATCH(B67,'55_Codificacion_ensayo'!$A$5:$A$13,0)),"")</x:f>
        <x:v>METODO_ADMITIDO</x:v>
      </x:c>
      <x:c r="W67" s="12" t="str">
        <x:f>IFERROR(INDEX('55_Codificacion_ensayo'!$E$5:$E$13,MATCH(B67,'55_Codificacion_ensayo'!$A$5:$A$13,0)),"")</x:f>
        <x:v>IMAGEN</x:v>
      </x:c>
      <x:c r="X67" s="12" t="str">
        <x:f>IFERROR(INDEX('55_Codificacion_ensayo'!$F$5:$F$13,MATCH(B67,'55_Codificacion_ensayo'!$A$5:$A$13,0)),"")</x:f>
        <x:v>aaaaaaaaaaaaaaaaaaaaaaaaaaaaaaaaaaaaaaaaaaaaaaaaaaaaaaaaaaaaaaaa</x:v>
      </x:c>
      <x:c r="Y67" s="12" t="str">
        <x:f>IFERROR(INDEX('55_Codificacion_ensayo'!$G$5:$G$13,MATCH(B67,'55_Codificacion_ensayo'!$A$5:$A$13,0)),"")</x:f>
        <x:v>aaaaaaaaaaaaaaaaaaaaaaaaaaaaaaaaaaaaaaaaaaaaaaaaaaaaaaaaaaaaaaaa</x:v>
      </x:c>
      <x:c r="Z67" s="12" t="str">
        <x:f>IFERROR(INDEX('55_Codificacion_ensayo'!$H$5:$H$13,MATCH(B67,'55_Codificacion_ensayo'!$A$5:$A$13,0)),"")</x:f>
        <x:v>bbbbbbbbbbbbbbbbbbbbbbbbbbbbbbbbbbbbbbbbbbbbbbbbbbbbbbbbbbbbbbbb</x:v>
      </x:c>
      <x:c r="AA67" s="12" t="str">
        <x:f>IFERROR(INDEX('55_Codificacion_ensayo'!$I$5:$I$13,MATCH(B67,'55_Codificacion_ensayo'!$A$5:$A$13,0)),"")</x:f>
        <x:v>IMAGEN_OBJETIVO</x:v>
      </x:c>
      <x:c r="AB67" s="12" t="str">
        <x:f>IFERROR(INDEX('55_Codificacion_ensayo'!$J$5:$J$13,MATCH(B67,'55_Codificacion_ensayo'!$A$5:$A$13,0)),"")</x:f>
        <x:v>OTRA_IMAGEN</x:v>
      </x:c>
    </x:row>
    <x:row r="68" ht="47" customHeight="1">
      <x:c r="A68" s="4" t="str">
        <x:v>L10-06-10</x:v>
      </x:c>
      <x:c r="B68" s="4" t="str">
        <x:v>PAR-CYB-IMAGEN-OBJETIVO-ACTIVA-001</x:v>
      </x:c>
      <x:c r="C68" s="4" t="str">
        <x:v>IDENTIDAD-IMAGEN-CARGADA-0.1</x:v>
      </x:c>
      <x:c r="D68" s="4" t="str">
        <x:v>COINCIDE</x:v>
      </x:c>
      <x:c r="E68" s="4" t="str">
        <x:v>LEGIBLE</x:v>
      </x:c>
      <x:c r="F68" s="4" t="str">
        <x:v>IMAGEN_CARGADA</x:v>
      </x:c>
      <x:c r="G68" s="4" t="str">
        <x:v>UNICA</x:v>
      </x:c>
      <x:c r="H68" s="4" t="str">
        <x:v>aaaaaaaaaaaaaaaaaaaaaaaaaaaaaaaaaaaaaaaaaaaaaaaaaaaaaaaaaaaaaaaa</x:v>
      </x:c>
      <x:c r="I68" s="4" t="str">
        <x:v>aaaaaaaaaaaaaaaaaaaaaaaaaaaaaaaaaaaaaaaaaaaaaaaaaaaaaaaaaaaaaaaa</x:v>
      </x:c>
      <x:c r="J68" s="4" t="str">
        <x:v>COMPLETA</x:v>
      </x:c>
      <x:c r="K68" s="4" t="str">
        <x:v>PENDIENTE</x:v>
      </x:c>
      <x:c r="L68" s="4" t="str">
        <x:v>CONFIGURACION_PENDIENTE</x:v>
      </x:c>
      <x:c r="M68" s="4" t="str"/>
      <x:c r="N68" s="4" t="str">
        <x:v>CONTEXTO_NO_CONSTITUIDO</x:v>
      </x:c>
      <x:c r="O68" s="12" t="str">
        <x:f>IF(Q68="SIN_EJECUCION_DOMINIO","FALLO_CAPTURA",IF(OR(Q68="CAPTURA_MAL_FORMADA",Q68="IDENTIDAD",Q68="OBSERVACION_MAL_FORMADA",Q68="LEXEMA_O_FORMA"),"NO_ADMISION",IF(OR(Q68="PERFIL_NO_CONSTITUIDO",Q68="RESULTADO_NO_TERMINAL"),"FUERA_PERFIL",IF(Q68="CONTEXTO_NO_CONSTITUIDO","CONFIGURACION_PENDIENTE","VALIDA"))))</x:f>
        <x:v>CONFIGURACION_PENDIENTE</x:v>
      </x:c>
      <x:c r="P68" s="12" t="str">
        <x:f>IF(O68&lt;&gt;"VALIDA","",IF(Q68=AA68,"1",IF(Q68=AB68,"0","U")))</x:f>
      </x:c>
      <x:c r="Q68" s="12" t="str">
        <x:f>IF(E68="FALLO","SIN_EJECUCION_DOMINIO",IF(E68&lt;&gt;"LEGIBLE","CAPTURA_MAL_FORMADA",IF(D68&lt;&gt;"COINCIDE","IDENTIDAD",IF(OR(T68="",C68&lt;&gt;T68),"PERFIL_NO_CONSTITUIDO",IF(K68&lt;&gt;V68,IF(V68="ORDEN_ACREDITADO","ORDEN_NO_ACREDITADO","CONTEXTO_NO_CONSTITUIDO"),IF(AND(G68="AUSENTE",H68="",I68=""),"DATO_AUSENTE",IF(AND(G68="CONFLICTO",H68="",I68=""),"CONFLICTO_OBSERVACIONAL",IF(G68&lt;&gt;"UNICA","OBSERVACION_MAL_FORMADA",IF(F68&lt;&gt;U68,"OBSERVACION_INSUFICIENTE",IF(W68="RESULTADO",IF(H68=X68,AA68,IF(OR(H68="orcSucceededWithErrors",H68="orcFailed",H68="orcAborted"),AB68,IF(OR(H68="orcNotStarted",H68="orcInProgress"),"RESULTADO_NO_TERMINAL","LEXEMA_O_FORMA"))),IF(W68="EVENTO_BOOT",IF(H68=X68,AA68,IF(OR(H68="NINGUNO",H68="SOLO_HIBRIDO"),IF(J68="COMPLETA",AB68,"COBERTURA_INSUFICIENTE"),"LEXEMA_O_FORMA")),IF(W68="REQUISITO_SOFT",IF(H68=X68,AA68,IF(H68=Z68,AB68,"LEXEMA_O_FORMA")),IF(W68="EVENTO_PROC",IF(H68=X68,AA68,IF(H68=Z68,IF(J68="COMPLETA",AB68,"COBERTURA_INSUFICIENTE"),"LEXEMA_O_FORMA")),IF(W68="IMAGEN",IF(AND(AND(ISTEXT(H68),LEN(("x"&amp;H68))=65,EXACT(("x"&amp;H68),LOWER(("x"&amp;H68))),ISERROR(SEARCH(" ",("x"&amp;H68))),ISERROR(SEARCH(CHAR(9),("x"&amp;H68))),ISERROR(SEARCH(CHAR(10),("x"&amp;H68))),ISERROR(SEARCH(CHAR(13),("x"&amp;H68))),IFERROR(HEX2DEC(MID(("x"&amp;H68),2,8))&gt;=0,FALSE),IFERROR(HEX2DEC(MID(("x"&amp;H68),10,8))&gt;=0,FALSE),IFERROR(HEX2DEC(MID(("x"&amp;H68),18,8))&gt;=0,FALSE),IFERROR(HEX2DEC(MID(("x"&amp;H68),26,8))&gt;=0,FALSE),IFERROR(HEX2DEC(MID(("x"&amp;H68),34,8))&gt;=0,FALSE),IFERROR(HEX2DEC(MID(("x"&amp;H68),42,8))&gt;=0,FALSE),IFERROR(HEX2DEC(MID(("x"&amp;H68),50,8))&gt;=0,FALSE),IFERROR(HEX2DEC(MID(("x"&amp;H68),58,8))&gt;=0,FALSE)),AND(ISTEXT(I68),LEN(("x"&amp;I68))=65,EXACT(("x"&amp;I68),LOWER(("x"&amp;I68))),ISERROR(SEARCH(" ",("x"&amp;I68))),ISERROR(SEARCH(CHAR(9),("x"&amp;I68))),ISERROR(SEARCH(CHAR(10),("x"&amp;I68))),ISERROR(SEARCH(CHAR(13),("x"&amp;I68))),IFERROR(HEX2DEC(MID(("x"&amp;I68),2,8))&gt;=0,FALSE),IFERROR(HEX2DEC(MID(("x"&amp;I68),10,8))&gt;=0,FALSE),IFERROR(HEX2DEC(MID(("x"&amp;I68),18,8))&gt;=0,FALSE),IFERROR(HEX2DEC(MID(("x"&amp;I68),26,8))&gt;=0,FALSE),IFERROR(HEX2DEC(MID(("x"&amp;I68),34,8))&gt;=0,FALSE),IFERROR(HEX2DEC(MID(("x"&amp;I68),42,8))&gt;=0,FALSE),IFERROR(HEX2DEC(MID(("x"&amp;I68),50,8))&gt;=0,FALSE),IFERROR(HEX2DEC(MID(("x"&amp;I68),58,8))&gt;=0,FALSE))),IF(EXACT("x"&amp;H68,"x"&amp;I68),AA68,AB68),"LEXEMA_O_FORMA"),IF(W68="PRUEBA",IF(H68=X68,AA68,IF(H68=Z68,AB68,"LEXEMA_O_FORMA")),IF(W68="RETIRADA",IF(AND(H68="NINGUNO",I68=""),IF(J68="COMPLETA",AB68,"COBERTURA_INSUFICIENTE"),IF(AND(OR(H68="uoInstallation",H68="uoUninstallation"),OR(I68="orcSucceeded",I68="orcSucceededWithErrors",I68="orcFailed",I68="orcAborted",I68="orcInProgress",I68="orcNotStarted")),IF(AND(H68=X68,I68=Y68),AA68,IF(AND(H68=X68,OR(I68="orcSucceededWithErrors",I68="orcInProgress",I68="orcNotStarted")),"RESULTADO_RETIRADA_INCIERTO",IF(J68="COMPLETA",AB68,"COBERTURA_INSUFICIENTE"))),"LEXEMA_O_FORMA")),IF(W68="CAMBIO",IF(OR(H68="CAMBIO",H68="CAMBIO_Y_RETORNO"),AA68,IF(OR(H68="NINGUNO",H68="SOLO_RENOMBRE"),IF(J68="COMPLETA",AB68,"COBERTURA_INSUFICIENTE"),"LEXEMA_O_FORMA")),IF(W68="RESTAURACION",IF(H68=X68,AA68,IF(OR(H68="NINGUNO",H68="RESTAURACION_POSTERIOR",H68="RESTAURACION_FALLIDA"),IF(J68="COMPLETA",AB68,"COBERTURA_INSUFICIENTE"),"LEXEMA_O_FORMA")),"PERFIL_NO_CONSTITUIDO"))))))))))))))))))</x:f>
        <x:v>CONTEXTO_NO_CONSTITUIDO</x:v>
      </x:c>
      <x:c r="R68" s="12" t="str">
        <x:f>IF(AND(L68=O68,M68=P68,N68=Q68),"PASA","NO_PASA")</x:f>
        <x:v>PASA</x:v>
      </x:c>
      <x:c r="S68" s="4" t="str">
        <x:v>Falta el contexto profesional que fija qué se está evaluando.</x:v>
      </x:c>
      <x:c r="T68" s="12" t="str">
        <x:f>IFERROR(INDEX('55_Codificacion_ensayo'!$B$5:$B$13,MATCH(B68,'55_Codificacion_ensayo'!$A$5:$A$13,0)),"")</x:f>
        <x:v>IDENTIDAD-IMAGEN-CARGADA-0.1</x:v>
      </x:c>
      <x:c r="U68" s="12" t="str">
        <x:f>IFERROR(INDEX('55_Codificacion_ensayo'!$C$5:$C$13,MATCH(B68,'55_Codificacion_ensayo'!$A$5:$A$13,0)),"")</x:f>
        <x:v>IMAGEN_CARGADA</x:v>
      </x:c>
      <x:c r="V68" s="12" t="str">
        <x:f>IFERROR(INDEX('55_Codificacion_ensayo'!$D$5:$D$13,MATCH(B68,'55_Codificacion_ensayo'!$A$5:$A$13,0)),"")</x:f>
        <x:v>METODO_ADMITIDO</x:v>
      </x:c>
      <x:c r="W68" s="12" t="str">
        <x:f>IFERROR(INDEX('55_Codificacion_ensayo'!$E$5:$E$13,MATCH(B68,'55_Codificacion_ensayo'!$A$5:$A$13,0)),"")</x:f>
        <x:v>IMAGEN</x:v>
      </x:c>
      <x:c r="X68" s="12" t="str">
        <x:f>IFERROR(INDEX('55_Codificacion_ensayo'!$F$5:$F$13,MATCH(B68,'55_Codificacion_ensayo'!$A$5:$A$13,0)),"")</x:f>
        <x:v>aaaaaaaaaaaaaaaaaaaaaaaaaaaaaaaaaaaaaaaaaaaaaaaaaaaaaaaaaaaaaaaa</x:v>
      </x:c>
      <x:c r="Y68" s="12" t="str">
        <x:f>IFERROR(INDEX('55_Codificacion_ensayo'!$G$5:$G$13,MATCH(B68,'55_Codificacion_ensayo'!$A$5:$A$13,0)),"")</x:f>
        <x:v>aaaaaaaaaaaaaaaaaaaaaaaaaaaaaaaaaaaaaaaaaaaaaaaaaaaaaaaaaaaaaaaa</x:v>
      </x:c>
      <x:c r="Z68" s="12" t="str">
        <x:f>IFERROR(INDEX('55_Codificacion_ensayo'!$H$5:$H$13,MATCH(B68,'55_Codificacion_ensayo'!$A$5:$A$13,0)),"")</x:f>
        <x:v>bbbbbbbbbbbbbbbbbbbbbbbbbbbbbbbbbbbbbbbbbbbbbbbbbbbbbbbbbbbbbbbb</x:v>
      </x:c>
      <x:c r="AA68" s="12" t="str">
        <x:f>IFERROR(INDEX('55_Codificacion_ensayo'!$I$5:$I$13,MATCH(B68,'55_Codificacion_ensayo'!$A$5:$A$13,0)),"")</x:f>
        <x:v>IMAGEN_OBJETIVO</x:v>
      </x:c>
      <x:c r="AB68" s="12" t="str">
        <x:f>IFERROR(INDEX('55_Codificacion_ensayo'!$J$5:$J$13,MATCH(B68,'55_Codificacion_ensayo'!$A$5:$A$13,0)),"")</x:f>
        <x:v>OTRA_IMAGEN</x:v>
      </x:c>
    </x:row>
    <x:row r="69" ht="47" customHeight="1">
      <x:c r="A69" s="4" t="str">
        <x:v>L10-06-11</x:v>
      </x:c>
      <x:c r="B69" s="4" t="str">
        <x:v>PAR-CYB-IMAGEN-OBJETIVO-ACTIVA-001</x:v>
      </x:c>
      <x:c r="C69" s="4" t="str">
        <x:v>IDENTIDAD-IMAGEN-CARGADA-0.1</x:v>
      </x:c>
      <x:c r="D69" s="4" t="str">
        <x:v>COINCIDE</x:v>
      </x:c>
      <x:c r="E69" s="4" t="str">
        <x:v>LEGIBLE</x:v>
      </x:c>
      <x:c r="F69" s="4" t="str">
        <x:v>FICHERO_DISCO</x:v>
      </x:c>
      <x:c r="G69" s="4" t="str">
        <x:v>UNICA</x:v>
      </x:c>
      <x:c r="H69" s="4" t="str">
        <x:v>aaaaaaaaaaaaaaaaaaaaaaaaaaaaaaaaaaaaaaaaaaaaaaaaaaaaaaaaaaaaaaaa</x:v>
      </x:c>
      <x:c r="I69" s="4" t="str">
        <x:v>aaaaaaaaaaaaaaaaaaaaaaaaaaaaaaaaaaaaaaaaaaaaaaaaaaaaaaaaaaaaaaaa</x:v>
      </x:c>
      <x:c r="J69" s="4" t="str">
        <x:v>COMPLETA</x:v>
      </x:c>
      <x:c r="K69" s="4" t="str">
        <x:v>METODO_ADMITIDO</x:v>
      </x:c>
      <x:c r="L69" s="4" t="str">
        <x:v>VALIDA</x:v>
      </x:c>
      <x:c r="M69" s="4" t="str">
        <x:v>U</x:v>
      </x:c>
      <x:c r="N69" s="4" t="str">
        <x:v>OBSERVACION_INSUFICIENTE</x:v>
      </x:c>
      <x:c r="O69" s="12" t="str">
        <x:f>IF(Q69="SIN_EJECUCION_DOMINIO","FALLO_CAPTURA",IF(OR(Q69="CAPTURA_MAL_FORMADA",Q69="IDENTIDAD",Q69="OBSERVACION_MAL_FORMADA",Q69="LEXEMA_O_FORMA"),"NO_ADMISION",IF(OR(Q69="PERFIL_NO_CONSTITUIDO",Q69="RESULTADO_NO_TERMINAL"),"FUERA_PERFIL",IF(Q69="CONTEXTO_NO_CONSTITUIDO","CONFIGURACION_PENDIENTE","VALIDA"))))</x:f>
        <x:v>VALIDA</x:v>
      </x:c>
      <x:c r="P69" s="12" t="str">
        <x:f>IF(O69&lt;&gt;"VALIDA","",IF(Q69=AA69,"1",IF(Q69=AB69,"0","U")))</x:f>
        <x:v>U</x:v>
      </x:c>
      <x:c r="Q69" s="12" t="str">
        <x:f>IF(E69="FALLO","SIN_EJECUCION_DOMINIO",IF(E69&lt;&gt;"LEGIBLE","CAPTURA_MAL_FORMADA",IF(D69&lt;&gt;"COINCIDE","IDENTIDAD",IF(OR(T69="",C69&lt;&gt;T69),"PERFIL_NO_CONSTITUIDO",IF(K69&lt;&gt;V69,IF(V69="ORDEN_ACREDITADO","ORDEN_NO_ACREDITADO","CONTEXTO_NO_CONSTITUIDO"),IF(AND(G69="AUSENTE",H69="",I69=""),"DATO_AUSENTE",IF(AND(G69="CONFLICTO",H69="",I69=""),"CONFLICTO_OBSERVACIONAL",IF(G69&lt;&gt;"UNICA","OBSERVACION_MAL_FORMADA",IF(F69&lt;&gt;U69,"OBSERVACION_INSUFICIENTE",IF(W69="RESULTADO",IF(H69=X69,AA69,IF(OR(H69="orcSucceededWithErrors",H69="orcFailed",H69="orcAborted"),AB69,IF(OR(H69="orcNotStarted",H69="orcInProgress"),"RESULTADO_NO_TERMINAL","LEXEMA_O_FORMA"))),IF(W69="EVENTO_BOOT",IF(H69=X69,AA69,IF(OR(H69="NINGUNO",H69="SOLO_HIBRIDO"),IF(J69="COMPLETA",AB69,"COBERTURA_INSUFICIENTE"),"LEXEMA_O_FORMA")),IF(W69="REQUISITO_SOFT",IF(H69=X69,AA69,IF(H69=Z69,AB69,"LEXEMA_O_FORMA")),IF(W69="EVENTO_PROC",IF(H69=X69,AA69,IF(H69=Z69,IF(J69="COMPLETA",AB69,"COBERTURA_INSUFICIENTE"),"LEXEMA_O_FORMA")),IF(W69="IMAGEN",IF(AND(AND(ISTEXT(H69),LEN(("x"&amp;H69))=65,EXACT(("x"&amp;H69),LOWER(("x"&amp;H69))),ISERROR(SEARCH(" ",("x"&amp;H69))),ISERROR(SEARCH(CHAR(9),("x"&amp;H69))),ISERROR(SEARCH(CHAR(10),("x"&amp;H69))),ISERROR(SEARCH(CHAR(13),("x"&amp;H69))),IFERROR(HEX2DEC(MID(("x"&amp;H69),2,8))&gt;=0,FALSE),IFERROR(HEX2DEC(MID(("x"&amp;H69),10,8))&gt;=0,FALSE),IFERROR(HEX2DEC(MID(("x"&amp;H69),18,8))&gt;=0,FALSE),IFERROR(HEX2DEC(MID(("x"&amp;H69),26,8))&gt;=0,FALSE),IFERROR(HEX2DEC(MID(("x"&amp;H69),34,8))&gt;=0,FALSE),IFERROR(HEX2DEC(MID(("x"&amp;H69),42,8))&gt;=0,FALSE),IFERROR(HEX2DEC(MID(("x"&amp;H69),50,8))&gt;=0,FALSE),IFERROR(HEX2DEC(MID(("x"&amp;H69),58,8))&gt;=0,FALSE)),AND(ISTEXT(I69),LEN(("x"&amp;I69))=65,EXACT(("x"&amp;I69),LOWER(("x"&amp;I69))),ISERROR(SEARCH(" ",("x"&amp;I69))),ISERROR(SEARCH(CHAR(9),("x"&amp;I69))),ISERROR(SEARCH(CHAR(10),("x"&amp;I69))),ISERROR(SEARCH(CHAR(13),("x"&amp;I69))),IFERROR(HEX2DEC(MID(("x"&amp;I69),2,8))&gt;=0,FALSE),IFERROR(HEX2DEC(MID(("x"&amp;I69),10,8))&gt;=0,FALSE),IFERROR(HEX2DEC(MID(("x"&amp;I69),18,8))&gt;=0,FALSE),IFERROR(HEX2DEC(MID(("x"&amp;I69),26,8))&gt;=0,FALSE),IFERROR(HEX2DEC(MID(("x"&amp;I69),34,8))&gt;=0,FALSE),IFERROR(HEX2DEC(MID(("x"&amp;I69),42,8))&gt;=0,FALSE),IFERROR(HEX2DEC(MID(("x"&amp;I69),50,8))&gt;=0,FALSE),IFERROR(HEX2DEC(MID(("x"&amp;I69),58,8))&gt;=0,FALSE))),IF(EXACT("x"&amp;H69,"x"&amp;I69),AA69,AB69),"LEXEMA_O_FORMA"),IF(W69="PRUEBA",IF(H69=X69,AA69,IF(H69=Z69,AB69,"LEXEMA_O_FORMA")),IF(W69="RETIRADA",IF(AND(H69="NINGUNO",I69=""),IF(J69="COMPLETA",AB69,"COBERTURA_INSUFICIENTE"),IF(AND(OR(H69="uoInstallation",H69="uoUninstallation"),OR(I69="orcSucceeded",I69="orcSucceededWithErrors",I69="orcFailed",I69="orcAborted",I69="orcInProgress",I69="orcNotStarted")),IF(AND(H69=X69,I69=Y69),AA69,IF(AND(H69=X69,OR(I69="orcSucceededWithErrors",I69="orcInProgress",I69="orcNotStarted")),"RESULTADO_RETIRADA_INCIERTO",IF(J69="COMPLETA",AB69,"COBERTURA_INSUFICIENTE"))),"LEXEMA_O_FORMA")),IF(W69="CAMBIO",IF(OR(H69="CAMBIO",H69="CAMBIO_Y_RETORNO"),AA69,IF(OR(H69="NINGUNO",H69="SOLO_RENOMBRE"),IF(J69="COMPLETA",AB69,"COBERTURA_INSUFICIENTE"),"LEXEMA_O_FORMA")),IF(W69="RESTAURACION",IF(H69=X69,AA69,IF(OR(H69="NINGUNO",H69="RESTAURACION_POSTERIOR",H69="RESTAURACION_FALLIDA"),IF(J69="COMPLETA",AB69,"COBERTURA_INSUFICIENTE"),"LEXEMA_O_FORMA")),"PERFIL_NO_CONSTITUIDO"))))))))))))))))))</x:f>
        <x:v>OBSERVACION_INSUFICIENTE</x:v>
      </x:c>
      <x:c r="R69" s="12" t="str">
        <x:f>IF(AND(L69=O69,M69=P69,N69=Q69),"PASA","NO_PASA")</x:f>
        <x:v>PASA</x:v>
      </x:c>
      <x:c r="S69" s="4" t="str">
        <x:v>Ruta, fichero o MODULEINFO no identifican inequívocamente la imagen cargada.</x:v>
      </x:c>
      <x:c r="T69" s="12" t="str">
        <x:f>IFERROR(INDEX('55_Codificacion_ensayo'!$B$5:$B$13,MATCH(B69,'55_Codificacion_ensayo'!$A$5:$A$13,0)),"")</x:f>
        <x:v>IDENTIDAD-IMAGEN-CARGADA-0.1</x:v>
      </x:c>
      <x:c r="U69" s="12" t="str">
        <x:f>IFERROR(INDEX('55_Codificacion_ensayo'!$C$5:$C$13,MATCH(B69,'55_Codificacion_ensayo'!$A$5:$A$13,0)),"")</x:f>
        <x:v>IMAGEN_CARGADA</x:v>
      </x:c>
      <x:c r="V69" s="12" t="str">
        <x:f>IFERROR(INDEX('55_Codificacion_ensayo'!$D$5:$D$13,MATCH(B69,'55_Codificacion_ensayo'!$A$5:$A$13,0)),"")</x:f>
        <x:v>METODO_ADMITIDO</x:v>
      </x:c>
      <x:c r="W69" s="12" t="str">
        <x:f>IFERROR(INDEX('55_Codificacion_ensayo'!$E$5:$E$13,MATCH(B69,'55_Codificacion_ensayo'!$A$5:$A$13,0)),"")</x:f>
        <x:v>IMAGEN</x:v>
      </x:c>
      <x:c r="X69" s="12" t="str">
        <x:f>IFERROR(INDEX('55_Codificacion_ensayo'!$F$5:$F$13,MATCH(B69,'55_Codificacion_ensayo'!$A$5:$A$13,0)),"")</x:f>
        <x:v>aaaaaaaaaaaaaaaaaaaaaaaaaaaaaaaaaaaaaaaaaaaaaaaaaaaaaaaaaaaaaaaa</x:v>
      </x:c>
      <x:c r="Y69" s="12" t="str">
        <x:f>IFERROR(INDEX('55_Codificacion_ensayo'!$G$5:$G$13,MATCH(B69,'55_Codificacion_ensayo'!$A$5:$A$13,0)),"")</x:f>
        <x:v>aaaaaaaaaaaaaaaaaaaaaaaaaaaaaaaaaaaaaaaaaaaaaaaaaaaaaaaaaaaaaaaa</x:v>
      </x:c>
      <x:c r="Z69" s="12" t="str">
        <x:f>IFERROR(INDEX('55_Codificacion_ensayo'!$H$5:$H$13,MATCH(B69,'55_Codificacion_ensayo'!$A$5:$A$13,0)),"")</x:f>
        <x:v>bbbbbbbbbbbbbbbbbbbbbbbbbbbbbbbbbbbbbbbbbbbbbbbbbbbbbbbbbbbbbbbb</x:v>
      </x:c>
      <x:c r="AA69" s="12" t="str">
        <x:f>IFERROR(INDEX('55_Codificacion_ensayo'!$I$5:$I$13,MATCH(B69,'55_Codificacion_ensayo'!$A$5:$A$13,0)),"")</x:f>
        <x:v>IMAGEN_OBJETIVO</x:v>
      </x:c>
      <x:c r="AB69" s="12" t="str">
        <x:f>IFERROR(INDEX('55_Codificacion_ensayo'!$J$5:$J$13,MATCH(B69,'55_Codificacion_ensayo'!$A$5:$A$13,0)),"")</x:f>
        <x:v>OTRA_IMAGEN</x:v>
      </x:c>
    </x:row>
    <x:row r="70" ht="47" customHeight="1">
      <x:c r="A70" s="4" t="str">
        <x:v>L10-06-12</x:v>
      </x:c>
      <x:c r="B70" s="4" t="str">
        <x:v>PAR-CYB-IMAGEN-OBJETIVO-ACTIVA-001</x:v>
      </x:c>
      <x:c r="C70" s="4" t="str">
        <x:v>IDENTIDAD-IMAGEN-CARGADA-0.1</x:v>
      </x:c>
      <x:c r="D70" s="4" t="str">
        <x:v>COINCIDE</x:v>
      </x:c>
      <x:c r="E70" s="4" t="str">
        <x:v>LEGIBLE</x:v>
      </x:c>
      <x:c r="F70" s="4" t="str">
        <x:v>NOMBRE_DLL</x:v>
      </x:c>
      <x:c r="G70" s="4" t="str">
        <x:v>UNICA</x:v>
      </x:c>
      <x:c r="H70" s="4" t="str">
        <x:v>aaaaaaaaaaaaaaaaaaaaaaaaaaaaaaaaaaaaaaaaaaaaaaaaaaaaaaaaaaaaaaaa</x:v>
      </x:c>
      <x:c r="I70" s="4" t="str">
        <x:v>aaaaaaaaaaaaaaaaaaaaaaaaaaaaaaaaaaaaaaaaaaaaaaaaaaaaaaaaaaaaaaaa</x:v>
      </x:c>
      <x:c r="J70" s="4" t="str">
        <x:v>COMPLETA</x:v>
      </x:c>
      <x:c r="K70" s="4" t="str">
        <x:v>METODO_ADMITIDO</x:v>
      </x:c>
      <x:c r="L70" s="4" t="str">
        <x:v>VALIDA</x:v>
      </x:c>
      <x:c r="M70" s="4" t="str">
        <x:v>U</x:v>
      </x:c>
      <x:c r="N70" s="4" t="str">
        <x:v>OBSERVACION_INSUFICIENTE</x:v>
      </x:c>
      <x:c r="O70" s="12" t="str">
        <x:f>IF(Q70="SIN_EJECUCION_DOMINIO","FALLO_CAPTURA",IF(OR(Q70="CAPTURA_MAL_FORMADA",Q70="IDENTIDAD",Q70="OBSERVACION_MAL_FORMADA",Q70="LEXEMA_O_FORMA"),"NO_ADMISION",IF(OR(Q70="PERFIL_NO_CONSTITUIDO",Q70="RESULTADO_NO_TERMINAL"),"FUERA_PERFIL",IF(Q70="CONTEXTO_NO_CONSTITUIDO","CONFIGURACION_PENDIENTE","VALIDA"))))</x:f>
        <x:v>VALIDA</x:v>
      </x:c>
      <x:c r="P70" s="12" t="str">
        <x:f>IF(O70&lt;&gt;"VALIDA","",IF(Q70=AA70,"1",IF(Q70=AB70,"0","U")))</x:f>
        <x:v>U</x:v>
      </x:c>
      <x:c r="Q70" s="12" t="str">
        <x:f>IF(E70="FALLO","SIN_EJECUCION_DOMINIO",IF(E70&lt;&gt;"LEGIBLE","CAPTURA_MAL_FORMADA",IF(D70&lt;&gt;"COINCIDE","IDENTIDAD",IF(OR(T70="",C70&lt;&gt;T70),"PERFIL_NO_CONSTITUIDO",IF(K70&lt;&gt;V70,IF(V70="ORDEN_ACREDITADO","ORDEN_NO_ACREDITADO","CONTEXTO_NO_CONSTITUIDO"),IF(AND(G70="AUSENTE",H70="",I70=""),"DATO_AUSENTE",IF(AND(G70="CONFLICTO",H70="",I70=""),"CONFLICTO_OBSERVACIONAL",IF(G70&lt;&gt;"UNICA","OBSERVACION_MAL_FORMADA",IF(F70&lt;&gt;U70,"OBSERVACION_INSUFICIENTE",IF(W70="RESULTADO",IF(H70=X70,AA70,IF(OR(H70="orcSucceededWithErrors",H70="orcFailed",H70="orcAborted"),AB70,IF(OR(H70="orcNotStarted",H70="orcInProgress"),"RESULTADO_NO_TERMINAL","LEXEMA_O_FORMA"))),IF(W70="EVENTO_BOOT",IF(H70=X70,AA70,IF(OR(H70="NINGUNO",H70="SOLO_HIBRIDO"),IF(J70="COMPLETA",AB70,"COBERTURA_INSUFICIENTE"),"LEXEMA_O_FORMA")),IF(W70="REQUISITO_SOFT",IF(H70=X70,AA70,IF(H70=Z70,AB70,"LEXEMA_O_FORMA")),IF(W70="EVENTO_PROC",IF(H70=X70,AA70,IF(H70=Z70,IF(J70="COMPLETA",AB70,"COBERTURA_INSUFICIENTE"),"LEXEMA_O_FORMA")),IF(W70="IMAGEN",IF(AND(AND(ISTEXT(H70),LEN(("x"&amp;H70))=65,EXACT(("x"&amp;H70),LOWER(("x"&amp;H70))),ISERROR(SEARCH(" ",("x"&amp;H70))),ISERROR(SEARCH(CHAR(9),("x"&amp;H70))),ISERROR(SEARCH(CHAR(10),("x"&amp;H70))),ISERROR(SEARCH(CHAR(13),("x"&amp;H70))),IFERROR(HEX2DEC(MID(("x"&amp;H70),2,8))&gt;=0,FALSE),IFERROR(HEX2DEC(MID(("x"&amp;H70),10,8))&gt;=0,FALSE),IFERROR(HEX2DEC(MID(("x"&amp;H70),18,8))&gt;=0,FALSE),IFERROR(HEX2DEC(MID(("x"&amp;H70),26,8))&gt;=0,FALSE),IFERROR(HEX2DEC(MID(("x"&amp;H70),34,8))&gt;=0,FALSE),IFERROR(HEX2DEC(MID(("x"&amp;H70),42,8))&gt;=0,FALSE),IFERROR(HEX2DEC(MID(("x"&amp;H70),50,8))&gt;=0,FALSE),IFERROR(HEX2DEC(MID(("x"&amp;H70),58,8))&gt;=0,FALSE)),AND(ISTEXT(I70),LEN(("x"&amp;I70))=65,EXACT(("x"&amp;I70),LOWER(("x"&amp;I70))),ISERROR(SEARCH(" ",("x"&amp;I70))),ISERROR(SEARCH(CHAR(9),("x"&amp;I70))),ISERROR(SEARCH(CHAR(10),("x"&amp;I70))),ISERROR(SEARCH(CHAR(13),("x"&amp;I70))),IFERROR(HEX2DEC(MID(("x"&amp;I70),2,8))&gt;=0,FALSE),IFERROR(HEX2DEC(MID(("x"&amp;I70),10,8))&gt;=0,FALSE),IFERROR(HEX2DEC(MID(("x"&amp;I70),18,8))&gt;=0,FALSE),IFERROR(HEX2DEC(MID(("x"&amp;I70),26,8))&gt;=0,FALSE),IFERROR(HEX2DEC(MID(("x"&amp;I70),34,8))&gt;=0,FALSE),IFERROR(HEX2DEC(MID(("x"&amp;I70),42,8))&gt;=0,FALSE),IFERROR(HEX2DEC(MID(("x"&amp;I70),50,8))&gt;=0,FALSE),IFERROR(HEX2DEC(MID(("x"&amp;I70),58,8))&gt;=0,FALSE))),IF(EXACT("x"&amp;H70,"x"&amp;I70),AA70,AB70),"LEXEMA_O_FORMA"),IF(W70="PRUEBA",IF(H70=X70,AA70,IF(H70=Z70,AB70,"LEXEMA_O_FORMA")),IF(W70="RETIRADA",IF(AND(H70="NINGUNO",I70=""),IF(J70="COMPLETA",AB70,"COBERTURA_INSUFICIENTE"),IF(AND(OR(H70="uoInstallation",H70="uoUninstallation"),OR(I70="orcSucceeded",I70="orcSucceededWithErrors",I70="orcFailed",I70="orcAborted",I70="orcInProgress",I70="orcNotStarted")),IF(AND(H70=X70,I70=Y70),AA70,IF(AND(H70=X70,OR(I70="orcSucceededWithErrors",I70="orcInProgress",I70="orcNotStarted")),"RESULTADO_RETIRADA_INCIERTO",IF(J70="COMPLETA",AB70,"COBERTURA_INSUFICIENTE"))),"LEXEMA_O_FORMA")),IF(W70="CAMBIO",IF(OR(H70="CAMBIO",H70="CAMBIO_Y_RETORNO"),AA70,IF(OR(H70="NINGUNO",H70="SOLO_RENOMBRE"),IF(J70="COMPLETA",AB70,"COBERTURA_INSUFICIENTE"),"LEXEMA_O_FORMA")),IF(W70="RESTAURACION",IF(H70=X70,AA70,IF(OR(H70="NINGUNO",H70="RESTAURACION_POSTERIOR",H70="RESTAURACION_FALLIDA"),IF(J70="COMPLETA",AB70,"COBERTURA_INSUFICIENTE"),"LEXEMA_O_FORMA")),"PERFIL_NO_CONSTITUIDO"))))))))))))))))))</x:f>
        <x:v>OBSERVACION_INSUFICIENTE</x:v>
      </x:c>
      <x:c r="R70" s="12" t="str">
        <x:f>IF(AND(L70=O70,M70=P70,N70=Q70),"PASA","NO_PASA")</x:f>
        <x:v>PASA</x:v>
      </x:c>
      <x:c r="S70" s="4" t="str">
        <x:v>Ruta, fichero o MODULEINFO no identifican inequívocamente la imagen cargada.</x:v>
      </x:c>
      <x:c r="T70" s="12" t="str">
        <x:f>IFERROR(INDEX('55_Codificacion_ensayo'!$B$5:$B$13,MATCH(B70,'55_Codificacion_ensayo'!$A$5:$A$13,0)),"")</x:f>
        <x:v>IDENTIDAD-IMAGEN-CARGADA-0.1</x:v>
      </x:c>
      <x:c r="U70" s="12" t="str">
        <x:f>IFERROR(INDEX('55_Codificacion_ensayo'!$C$5:$C$13,MATCH(B70,'55_Codificacion_ensayo'!$A$5:$A$13,0)),"")</x:f>
        <x:v>IMAGEN_CARGADA</x:v>
      </x:c>
      <x:c r="V70" s="12" t="str">
        <x:f>IFERROR(INDEX('55_Codificacion_ensayo'!$D$5:$D$13,MATCH(B70,'55_Codificacion_ensayo'!$A$5:$A$13,0)),"")</x:f>
        <x:v>METODO_ADMITIDO</x:v>
      </x:c>
      <x:c r="W70" s="12" t="str">
        <x:f>IFERROR(INDEX('55_Codificacion_ensayo'!$E$5:$E$13,MATCH(B70,'55_Codificacion_ensayo'!$A$5:$A$13,0)),"")</x:f>
        <x:v>IMAGEN</x:v>
      </x:c>
      <x:c r="X70" s="12" t="str">
        <x:f>IFERROR(INDEX('55_Codificacion_ensayo'!$F$5:$F$13,MATCH(B70,'55_Codificacion_ensayo'!$A$5:$A$13,0)),"")</x:f>
        <x:v>aaaaaaaaaaaaaaaaaaaaaaaaaaaaaaaaaaaaaaaaaaaaaaaaaaaaaaaaaaaaaaaa</x:v>
      </x:c>
      <x:c r="Y70" s="12" t="str">
        <x:f>IFERROR(INDEX('55_Codificacion_ensayo'!$G$5:$G$13,MATCH(B70,'55_Codificacion_ensayo'!$A$5:$A$13,0)),"")</x:f>
        <x:v>aaaaaaaaaaaaaaaaaaaaaaaaaaaaaaaaaaaaaaaaaaaaaaaaaaaaaaaaaaaaaaaa</x:v>
      </x:c>
      <x:c r="Z70" s="12" t="str">
        <x:f>IFERROR(INDEX('55_Codificacion_ensayo'!$H$5:$H$13,MATCH(B70,'55_Codificacion_ensayo'!$A$5:$A$13,0)),"")</x:f>
        <x:v>bbbbbbbbbbbbbbbbbbbbbbbbbbbbbbbbbbbbbbbbbbbbbbbbbbbbbbbbbbbbbbbb</x:v>
      </x:c>
      <x:c r="AA70" s="12" t="str">
        <x:f>IFERROR(INDEX('55_Codificacion_ensayo'!$I$5:$I$13,MATCH(B70,'55_Codificacion_ensayo'!$A$5:$A$13,0)),"")</x:f>
        <x:v>IMAGEN_OBJETIVO</x:v>
      </x:c>
      <x:c r="AB70" s="12" t="str">
        <x:f>IFERROR(INDEX('55_Codificacion_ensayo'!$J$5:$J$13,MATCH(B70,'55_Codificacion_ensayo'!$A$5:$A$13,0)),"")</x:f>
        <x:v>OTRA_IMAGEN</x:v>
      </x:c>
    </x:row>
    <x:row r="71" ht="47" customHeight="1">
      <x:c r="A71" s="4" t="str">
        <x:v>L10-06-13</x:v>
      </x:c>
      <x:c r="B71" s="4" t="str">
        <x:v>PAR-CYB-IMAGEN-OBJETIVO-ACTIVA-001</x:v>
      </x:c>
      <x:c r="C71" s="4" t="str">
        <x:v>IDENTIDAD-IMAGEN-CARGADA-0.1</x:v>
      </x:c>
      <x:c r="D71" s="4" t="str">
        <x:v>COINCIDE</x:v>
      </x:c>
      <x:c r="E71" s="4" t="str">
        <x:v>LEGIBLE</x:v>
      </x:c>
      <x:c r="F71" s="4" t="str">
        <x:v>MODULEINFO</x:v>
      </x:c>
      <x:c r="G71" s="4" t="str">
        <x:v>UNICA</x:v>
      </x:c>
      <x:c r="H71" s="4" t="str">
        <x:v>aaaaaaaaaaaaaaaaaaaaaaaaaaaaaaaaaaaaaaaaaaaaaaaaaaaaaaaaaaaaaaaa</x:v>
      </x:c>
      <x:c r="I71" s="4" t="str">
        <x:v>aaaaaaaaaaaaaaaaaaaaaaaaaaaaaaaaaaaaaaaaaaaaaaaaaaaaaaaaaaaaaaaa</x:v>
      </x:c>
      <x:c r="J71" s="4" t="str">
        <x:v>COMPLETA</x:v>
      </x:c>
      <x:c r="K71" s="4" t="str">
        <x:v>METODO_ADMITIDO</x:v>
      </x:c>
      <x:c r="L71" s="4" t="str">
        <x:v>VALIDA</x:v>
      </x:c>
      <x:c r="M71" s="4" t="str">
        <x:v>U</x:v>
      </x:c>
      <x:c r="N71" s="4" t="str">
        <x:v>OBSERVACION_INSUFICIENTE</x:v>
      </x:c>
      <x:c r="O71" s="12" t="str">
        <x:f>IF(Q71="SIN_EJECUCION_DOMINIO","FALLO_CAPTURA",IF(OR(Q71="CAPTURA_MAL_FORMADA",Q71="IDENTIDAD",Q71="OBSERVACION_MAL_FORMADA",Q71="LEXEMA_O_FORMA"),"NO_ADMISION",IF(OR(Q71="PERFIL_NO_CONSTITUIDO",Q71="RESULTADO_NO_TERMINAL"),"FUERA_PERFIL",IF(Q71="CONTEXTO_NO_CONSTITUIDO","CONFIGURACION_PENDIENTE","VALIDA"))))</x:f>
        <x:v>VALIDA</x:v>
      </x:c>
      <x:c r="P71" s="12" t="str">
        <x:f>IF(O71&lt;&gt;"VALIDA","",IF(Q71=AA71,"1",IF(Q71=AB71,"0","U")))</x:f>
        <x:v>U</x:v>
      </x:c>
      <x:c r="Q71" s="12" t="str">
        <x:f>IF(E71="FALLO","SIN_EJECUCION_DOMINIO",IF(E71&lt;&gt;"LEGIBLE","CAPTURA_MAL_FORMADA",IF(D71&lt;&gt;"COINCIDE","IDENTIDAD",IF(OR(T71="",C71&lt;&gt;T71),"PERFIL_NO_CONSTITUIDO",IF(K71&lt;&gt;V71,IF(V71="ORDEN_ACREDITADO","ORDEN_NO_ACREDITADO","CONTEXTO_NO_CONSTITUIDO"),IF(AND(G71="AUSENTE",H71="",I71=""),"DATO_AUSENTE",IF(AND(G71="CONFLICTO",H71="",I71=""),"CONFLICTO_OBSERVACIONAL",IF(G71&lt;&gt;"UNICA","OBSERVACION_MAL_FORMADA",IF(F71&lt;&gt;U71,"OBSERVACION_INSUFICIENTE",IF(W71="RESULTADO",IF(H71=X71,AA71,IF(OR(H71="orcSucceededWithErrors",H71="orcFailed",H71="orcAborted"),AB71,IF(OR(H71="orcNotStarted",H71="orcInProgress"),"RESULTADO_NO_TERMINAL","LEXEMA_O_FORMA"))),IF(W71="EVENTO_BOOT",IF(H71=X71,AA71,IF(OR(H71="NINGUNO",H71="SOLO_HIBRIDO"),IF(J71="COMPLETA",AB71,"COBERTURA_INSUFICIENTE"),"LEXEMA_O_FORMA")),IF(W71="REQUISITO_SOFT",IF(H71=X71,AA71,IF(H71=Z71,AB71,"LEXEMA_O_FORMA")),IF(W71="EVENTO_PROC",IF(H71=X71,AA71,IF(H71=Z71,IF(J71="COMPLETA",AB71,"COBERTURA_INSUFICIENTE"),"LEXEMA_O_FORMA")),IF(W71="IMAGEN",IF(AND(AND(ISTEXT(H71),LEN(("x"&amp;H71))=65,EXACT(("x"&amp;H71),LOWER(("x"&amp;H71))),ISERROR(SEARCH(" ",("x"&amp;H71))),ISERROR(SEARCH(CHAR(9),("x"&amp;H71))),ISERROR(SEARCH(CHAR(10),("x"&amp;H71))),ISERROR(SEARCH(CHAR(13),("x"&amp;H71))),IFERROR(HEX2DEC(MID(("x"&amp;H71),2,8))&gt;=0,FALSE),IFERROR(HEX2DEC(MID(("x"&amp;H71),10,8))&gt;=0,FALSE),IFERROR(HEX2DEC(MID(("x"&amp;H71),18,8))&gt;=0,FALSE),IFERROR(HEX2DEC(MID(("x"&amp;H71),26,8))&gt;=0,FALSE),IFERROR(HEX2DEC(MID(("x"&amp;H71),34,8))&gt;=0,FALSE),IFERROR(HEX2DEC(MID(("x"&amp;H71),42,8))&gt;=0,FALSE),IFERROR(HEX2DEC(MID(("x"&amp;H71),50,8))&gt;=0,FALSE),IFERROR(HEX2DEC(MID(("x"&amp;H71),58,8))&gt;=0,FALSE)),AND(ISTEXT(I71),LEN(("x"&amp;I71))=65,EXACT(("x"&amp;I71),LOWER(("x"&amp;I71))),ISERROR(SEARCH(" ",("x"&amp;I71))),ISERROR(SEARCH(CHAR(9),("x"&amp;I71))),ISERROR(SEARCH(CHAR(10),("x"&amp;I71))),ISERROR(SEARCH(CHAR(13),("x"&amp;I71))),IFERROR(HEX2DEC(MID(("x"&amp;I71),2,8))&gt;=0,FALSE),IFERROR(HEX2DEC(MID(("x"&amp;I71),10,8))&gt;=0,FALSE),IFERROR(HEX2DEC(MID(("x"&amp;I71),18,8))&gt;=0,FALSE),IFERROR(HEX2DEC(MID(("x"&amp;I71),26,8))&gt;=0,FALSE),IFERROR(HEX2DEC(MID(("x"&amp;I71),34,8))&gt;=0,FALSE),IFERROR(HEX2DEC(MID(("x"&amp;I71),42,8))&gt;=0,FALSE),IFERROR(HEX2DEC(MID(("x"&amp;I71),50,8))&gt;=0,FALSE),IFERROR(HEX2DEC(MID(("x"&amp;I71),58,8))&gt;=0,FALSE))),IF(EXACT("x"&amp;H71,"x"&amp;I71),AA71,AB71),"LEXEMA_O_FORMA"),IF(W71="PRUEBA",IF(H71=X71,AA71,IF(H71=Z71,AB71,"LEXEMA_O_FORMA")),IF(W71="RETIRADA",IF(AND(H71="NINGUNO",I71=""),IF(J71="COMPLETA",AB71,"COBERTURA_INSUFICIENTE"),IF(AND(OR(H71="uoInstallation",H71="uoUninstallation"),OR(I71="orcSucceeded",I71="orcSucceededWithErrors",I71="orcFailed",I71="orcAborted",I71="orcInProgress",I71="orcNotStarted")),IF(AND(H71=X71,I71=Y71),AA71,IF(AND(H71=X71,OR(I71="orcSucceededWithErrors",I71="orcInProgress",I71="orcNotStarted")),"RESULTADO_RETIRADA_INCIERTO",IF(J71="COMPLETA",AB71,"COBERTURA_INSUFICIENTE"))),"LEXEMA_O_FORMA")),IF(W71="CAMBIO",IF(OR(H71="CAMBIO",H71="CAMBIO_Y_RETORNO"),AA71,IF(OR(H71="NINGUNO",H71="SOLO_RENOMBRE"),IF(J71="COMPLETA",AB71,"COBERTURA_INSUFICIENTE"),"LEXEMA_O_FORMA")),IF(W71="RESTAURACION",IF(H71=X71,AA71,IF(OR(H71="NINGUNO",H71="RESTAURACION_POSTERIOR",H71="RESTAURACION_FALLIDA"),IF(J71="COMPLETA",AB71,"COBERTURA_INSUFICIENTE"),"LEXEMA_O_FORMA")),"PERFIL_NO_CONSTITUIDO"))))))))))))))))))</x:f>
        <x:v>OBSERVACION_INSUFICIENTE</x:v>
      </x:c>
      <x:c r="R71" s="12" t="str">
        <x:f>IF(AND(L71=O71,M71=P71,N71=Q71),"PASA","NO_PASA")</x:f>
        <x:v>PASA</x:v>
      </x:c>
      <x:c r="S71" s="4" t="str">
        <x:v>Ruta, fichero o MODULEINFO no identifican inequívocamente la imagen cargada.</x:v>
      </x:c>
      <x:c r="T71" s="12" t="str">
        <x:f>IFERROR(INDEX('55_Codificacion_ensayo'!$B$5:$B$13,MATCH(B71,'55_Codificacion_ensayo'!$A$5:$A$13,0)),"")</x:f>
        <x:v>IDENTIDAD-IMAGEN-CARGADA-0.1</x:v>
      </x:c>
      <x:c r="U71" s="12" t="str">
        <x:f>IFERROR(INDEX('55_Codificacion_ensayo'!$C$5:$C$13,MATCH(B71,'55_Codificacion_ensayo'!$A$5:$A$13,0)),"")</x:f>
        <x:v>IMAGEN_CARGADA</x:v>
      </x:c>
      <x:c r="V71" s="12" t="str">
        <x:f>IFERROR(INDEX('55_Codificacion_ensayo'!$D$5:$D$13,MATCH(B71,'55_Codificacion_ensayo'!$A$5:$A$13,0)),"")</x:f>
        <x:v>METODO_ADMITIDO</x:v>
      </x:c>
      <x:c r="W71" s="12" t="str">
        <x:f>IFERROR(INDEX('55_Codificacion_ensayo'!$E$5:$E$13,MATCH(B71,'55_Codificacion_ensayo'!$A$5:$A$13,0)),"")</x:f>
        <x:v>IMAGEN</x:v>
      </x:c>
      <x:c r="X71" s="12" t="str">
        <x:f>IFERROR(INDEX('55_Codificacion_ensayo'!$F$5:$F$13,MATCH(B71,'55_Codificacion_ensayo'!$A$5:$A$13,0)),"")</x:f>
        <x:v>aaaaaaaaaaaaaaaaaaaaaaaaaaaaaaaaaaaaaaaaaaaaaaaaaaaaaaaaaaaaaaaa</x:v>
      </x:c>
      <x:c r="Y71" s="12" t="str">
        <x:f>IFERROR(INDEX('55_Codificacion_ensayo'!$G$5:$G$13,MATCH(B71,'55_Codificacion_ensayo'!$A$5:$A$13,0)),"")</x:f>
        <x:v>aaaaaaaaaaaaaaaaaaaaaaaaaaaaaaaaaaaaaaaaaaaaaaaaaaaaaaaaaaaaaaaa</x:v>
      </x:c>
      <x:c r="Z71" s="12" t="str">
        <x:f>IFERROR(INDEX('55_Codificacion_ensayo'!$H$5:$H$13,MATCH(B71,'55_Codificacion_ensayo'!$A$5:$A$13,0)),"")</x:f>
        <x:v>bbbbbbbbbbbbbbbbbbbbbbbbbbbbbbbbbbbbbbbbbbbbbbbbbbbbbbbbbbbbbbbb</x:v>
      </x:c>
      <x:c r="AA71" s="12" t="str">
        <x:f>IFERROR(INDEX('55_Codificacion_ensayo'!$I$5:$I$13,MATCH(B71,'55_Codificacion_ensayo'!$A$5:$A$13,0)),"")</x:f>
        <x:v>IMAGEN_OBJETIVO</x:v>
      </x:c>
      <x:c r="AB71" s="12" t="str">
        <x:f>IFERROR(INDEX('55_Codificacion_ensayo'!$J$5:$J$13,MATCH(B71,'55_Codificacion_ensayo'!$A$5:$A$13,0)),"")</x:f>
        <x:v>OTRA_IMAGEN</x:v>
      </x:c>
    </x:row>
    <x:row r="72" ht="47" customHeight="1">
      <x:c r="A72" s="4" t="str">
        <x:v>L10-06-14</x:v>
      </x:c>
      <x:c r="B72" s="4" t="str">
        <x:v>PAR-CYB-IMAGEN-OBJETIVO-ACTIVA-001</x:v>
      </x:c>
      <x:c r="C72" s="4" t="str">
        <x:v>IDENTIDAD-IMAGEN-CARGADA-0.1</x:v>
      </x:c>
      <x:c r="D72" s="4" t="str">
        <x:v>COINCIDE</x:v>
      </x:c>
      <x:c r="E72" s="4" t="str">
        <x:v>LEGIBLE</x:v>
      </x:c>
      <x:c r="F72" s="4" t="str">
        <x:v>IMAGEN_CARGADA</x:v>
      </x:c>
      <x:c r="G72" s="4" t="str">
        <x:v>UNICA</x:v>
      </x:c>
      <x:c r="H72" s="4" t="str">
        <x:v>aaaaaaaaaaaaaaaaaaaaaaaaaaaaaaaaaaaaaaaaaaaaaaaaaaaaaaaaaaaaaaa</x:v>
      </x:c>
      <x:c r="I72" s="4" t="str">
        <x:v>aaaaaaaaaaaaaaaaaaaaaaaaaaaaaaaaaaaaaaaaaaaaaaaaaaaaaaaaaaaaaaaa</x:v>
      </x:c>
      <x:c r="J72" s="4" t="str">
        <x:v>COMPLETA</x:v>
      </x:c>
      <x:c r="K72" s="4" t="str">
        <x:v>METODO_ADMITIDO</x:v>
      </x:c>
      <x:c r="L72" s="4" t="str">
        <x:v>NO_ADMISION</x:v>
      </x:c>
      <x:c r="M72" s="4" t="str"/>
      <x:c r="N72" s="4" t="str">
        <x:v>LEXEMA_O_FORMA</x:v>
      </x:c>
      <x:c r="O72" s="12" t="str">
        <x:f>IF(Q72="SIN_EJECUCION_DOMINIO","FALLO_CAPTURA",IF(OR(Q72="CAPTURA_MAL_FORMADA",Q72="IDENTIDAD",Q72="OBSERVACION_MAL_FORMADA",Q72="LEXEMA_O_FORMA"),"NO_ADMISION",IF(OR(Q72="PERFIL_NO_CONSTITUIDO",Q72="RESULTADO_NO_TERMINAL"),"FUERA_PERFIL",IF(Q72="CONTEXTO_NO_CONSTITUIDO","CONFIGURACION_PENDIENTE","VALIDA"))))</x:f>
        <x:v>NO_ADMISION</x:v>
      </x:c>
      <x:c r="P72" s="12" t="str">
        <x:f>IF(O72&lt;&gt;"VALIDA","",IF(Q72=AA72,"1",IF(Q72=AB72,"0","U")))</x:f>
      </x:c>
      <x:c r="Q72" s="12" t="str">
        <x:f>IF(E72="FALLO","SIN_EJECUCION_DOMINIO",IF(E72&lt;&gt;"LEGIBLE","CAPTURA_MAL_FORMADA",IF(D72&lt;&gt;"COINCIDE","IDENTIDAD",IF(OR(T72="",C72&lt;&gt;T72),"PERFIL_NO_CONSTITUIDO",IF(K72&lt;&gt;V72,IF(V72="ORDEN_ACREDITADO","ORDEN_NO_ACREDITADO","CONTEXTO_NO_CONSTITUIDO"),IF(AND(G72="AUSENTE",H72="",I72=""),"DATO_AUSENTE",IF(AND(G72="CONFLICTO",H72="",I72=""),"CONFLICTO_OBSERVACIONAL",IF(G72&lt;&gt;"UNICA","OBSERVACION_MAL_FORMADA",IF(F72&lt;&gt;U72,"OBSERVACION_INSUFICIENTE",IF(W72="RESULTADO",IF(H72=X72,AA72,IF(OR(H72="orcSucceededWithErrors",H72="orcFailed",H72="orcAborted"),AB72,IF(OR(H72="orcNotStarted",H72="orcInProgress"),"RESULTADO_NO_TERMINAL","LEXEMA_O_FORMA"))),IF(W72="EVENTO_BOOT",IF(H72=X72,AA72,IF(OR(H72="NINGUNO",H72="SOLO_HIBRIDO"),IF(J72="COMPLETA",AB72,"COBERTURA_INSUFICIENTE"),"LEXEMA_O_FORMA")),IF(W72="REQUISITO_SOFT",IF(H72=X72,AA72,IF(H72=Z72,AB72,"LEXEMA_O_FORMA")),IF(W72="EVENTO_PROC",IF(H72=X72,AA72,IF(H72=Z72,IF(J72="COMPLETA",AB72,"COBERTURA_INSUFICIENTE"),"LEXEMA_O_FORMA")),IF(W72="IMAGEN",IF(AND(AND(ISTEXT(H72),LEN(("x"&amp;H72))=65,EXACT(("x"&amp;H72),LOWER(("x"&amp;H72))),ISERROR(SEARCH(" ",("x"&amp;H72))),ISERROR(SEARCH(CHAR(9),("x"&amp;H72))),ISERROR(SEARCH(CHAR(10),("x"&amp;H72))),ISERROR(SEARCH(CHAR(13),("x"&amp;H72))),IFERROR(HEX2DEC(MID(("x"&amp;H72),2,8))&gt;=0,FALSE),IFERROR(HEX2DEC(MID(("x"&amp;H72),10,8))&gt;=0,FALSE),IFERROR(HEX2DEC(MID(("x"&amp;H72),18,8))&gt;=0,FALSE),IFERROR(HEX2DEC(MID(("x"&amp;H72),26,8))&gt;=0,FALSE),IFERROR(HEX2DEC(MID(("x"&amp;H72),34,8))&gt;=0,FALSE),IFERROR(HEX2DEC(MID(("x"&amp;H72),42,8))&gt;=0,FALSE),IFERROR(HEX2DEC(MID(("x"&amp;H72),50,8))&gt;=0,FALSE),IFERROR(HEX2DEC(MID(("x"&amp;H72),58,8))&gt;=0,FALSE)),AND(ISTEXT(I72),LEN(("x"&amp;I72))=65,EXACT(("x"&amp;I72),LOWER(("x"&amp;I72))),ISERROR(SEARCH(" ",("x"&amp;I72))),ISERROR(SEARCH(CHAR(9),("x"&amp;I72))),ISERROR(SEARCH(CHAR(10),("x"&amp;I72))),ISERROR(SEARCH(CHAR(13),("x"&amp;I72))),IFERROR(HEX2DEC(MID(("x"&amp;I72),2,8))&gt;=0,FALSE),IFERROR(HEX2DEC(MID(("x"&amp;I72),10,8))&gt;=0,FALSE),IFERROR(HEX2DEC(MID(("x"&amp;I72),18,8))&gt;=0,FALSE),IFERROR(HEX2DEC(MID(("x"&amp;I72),26,8))&gt;=0,FALSE),IFERROR(HEX2DEC(MID(("x"&amp;I72),34,8))&gt;=0,FALSE),IFERROR(HEX2DEC(MID(("x"&amp;I72),42,8))&gt;=0,FALSE),IFERROR(HEX2DEC(MID(("x"&amp;I72),50,8))&gt;=0,FALSE),IFERROR(HEX2DEC(MID(("x"&amp;I72),58,8))&gt;=0,FALSE))),IF(EXACT("x"&amp;H72,"x"&amp;I72),AA72,AB72),"LEXEMA_O_FORMA"),IF(W72="PRUEBA",IF(H72=X72,AA72,IF(H72=Z72,AB72,"LEXEMA_O_FORMA")),IF(W72="RETIRADA",IF(AND(H72="NINGUNO",I72=""),IF(J72="COMPLETA",AB72,"COBERTURA_INSUFICIENTE"),IF(AND(OR(H72="uoInstallation",H72="uoUninstallation"),OR(I72="orcSucceeded",I72="orcSucceededWithErrors",I72="orcFailed",I72="orcAborted",I72="orcInProgress",I72="orcNotStarted")),IF(AND(H72=X72,I72=Y72),AA72,IF(AND(H72=X72,OR(I72="orcSucceededWithErrors",I72="orcInProgress",I72="orcNotStarted")),"RESULTADO_RETIRADA_INCIERTO",IF(J72="COMPLETA",AB72,"COBERTURA_INSUFICIENTE"))),"LEXEMA_O_FORMA")),IF(W72="CAMBIO",IF(OR(H72="CAMBIO",H72="CAMBIO_Y_RETORNO"),AA72,IF(OR(H72="NINGUNO",H72="SOLO_RENOMBRE"),IF(J72="COMPLETA",AB72,"COBERTURA_INSUFICIENTE"),"LEXEMA_O_FORMA")),IF(W72="RESTAURACION",IF(H72=X72,AA72,IF(OR(H72="NINGUNO",H72="RESTAURACION_POSTERIOR",H72="RESTAURACION_FALLIDA"),IF(J72="COMPLETA",AB72,"COBERTURA_INSUFICIENTE"),"LEXEMA_O_FORMA")),"PERFIL_NO_CONSTITUIDO"))))))))))))))))))</x:f>
        <x:v>LEXEMA_O_FORMA</x:v>
      </x:c>
      <x:c r="R72" s="12" t="str">
        <x:f>IF(AND(L72=O72,M72=P72,N72=Q72),"PASA","NO_PASA")</x:f>
        <x:v>PASA</x:v>
      </x:c>
      <x:c r="S72" s="4" t="str">
        <x:v>Huella con longitud incorrecta no se compara como identidad admitida.</x:v>
      </x:c>
      <x:c r="T72" s="12" t="str">
        <x:f>IFERROR(INDEX('55_Codificacion_ensayo'!$B$5:$B$13,MATCH(B72,'55_Codificacion_ensayo'!$A$5:$A$13,0)),"")</x:f>
        <x:v>IDENTIDAD-IMAGEN-CARGADA-0.1</x:v>
      </x:c>
      <x:c r="U72" s="12" t="str">
        <x:f>IFERROR(INDEX('55_Codificacion_ensayo'!$C$5:$C$13,MATCH(B72,'55_Codificacion_ensayo'!$A$5:$A$13,0)),"")</x:f>
        <x:v>IMAGEN_CARGADA</x:v>
      </x:c>
      <x:c r="V72" s="12" t="str">
        <x:f>IFERROR(INDEX('55_Codificacion_ensayo'!$D$5:$D$13,MATCH(B72,'55_Codificacion_ensayo'!$A$5:$A$13,0)),"")</x:f>
        <x:v>METODO_ADMITIDO</x:v>
      </x:c>
      <x:c r="W72" s="12" t="str">
        <x:f>IFERROR(INDEX('55_Codificacion_ensayo'!$E$5:$E$13,MATCH(B72,'55_Codificacion_ensayo'!$A$5:$A$13,0)),"")</x:f>
        <x:v>IMAGEN</x:v>
      </x:c>
      <x:c r="X72" s="12" t="str">
        <x:f>IFERROR(INDEX('55_Codificacion_ensayo'!$F$5:$F$13,MATCH(B72,'55_Codificacion_ensayo'!$A$5:$A$13,0)),"")</x:f>
        <x:v>aaaaaaaaaaaaaaaaaaaaaaaaaaaaaaaaaaaaaaaaaaaaaaaaaaaaaaaaaaaaaaaa</x:v>
      </x:c>
      <x:c r="Y72" s="12" t="str">
        <x:f>IFERROR(INDEX('55_Codificacion_ensayo'!$G$5:$G$13,MATCH(B72,'55_Codificacion_ensayo'!$A$5:$A$13,0)),"")</x:f>
        <x:v>aaaaaaaaaaaaaaaaaaaaaaaaaaaaaaaaaaaaaaaaaaaaaaaaaaaaaaaaaaaaaaaa</x:v>
      </x:c>
      <x:c r="Z72" s="12" t="str">
        <x:f>IFERROR(INDEX('55_Codificacion_ensayo'!$H$5:$H$13,MATCH(B72,'55_Codificacion_ensayo'!$A$5:$A$13,0)),"")</x:f>
        <x:v>bbbbbbbbbbbbbbbbbbbbbbbbbbbbbbbbbbbbbbbbbbbbbbbbbbbbbbbbbbbbbbbb</x:v>
      </x:c>
      <x:c r="AA72" s="12" t="str">
        <x:f>IFERROR(INDEX('55_Codificacion_ensayo'!$I$5:$I$13,MATCH(B72,'55_Codificacion_ensayo'!$A$5:$A$13,0)),"")</x:f>
        <x:v>IMAGEN_OBJETIVO</x:v>
      </x:c>
      <x:c r="AB72" s="12" t="str">
        <x:f>IFERROR(INDEX('55_Codificacion_ensayo'!$J$5:$J$13,MATCH(B72,'55_Codificacion_ensayo'!$A$5:$A$13,0)),"")</x:f>
        <x:v>OTRA_IMAGEN</x:v>
      </x:c>
    </x:row>
    <x:row r="73" ht="47" customHeight="1">
      <x:c r="A73" s="4" t="str">
        <x:v>L10-06-15</x:v>
      </x:c>
      <x:c r="B73" s="4" t="str">
        <x:v>PAR-CYB-IMAGEN-OBJETIVO-ACTIVA-001</x:v>
      </x:c>
      <x:c r="C73" s="4" t="str">
        <x:v>IDENTIDAD-IMAGEN-CARGADA-0.1</x:v>
      </x:c>
      <x:c r="D73" s="4" t="str">
        <x:v>COINCIDE</x:v>
      </x:c>
      <x:c r="E73" s="4" t="str">
        <x:v>LEGIBLE</x:v>
      </x:c>
      <x:c r="F73" s="4" t="str">
        <x:v>IMAGEN_CARGADA</x:v>
      </x:c>
      <x:c r="G73" s="4" t="str">
        <x:v>UNICA</x:v>
      </x:c>
      <x:c r="H73" s="4" t="str">
        <x:v>AAAAAAAAAAAAAAAAAAAAAAAAAAAAAAAAAAAAAAAAAAAAAAAAAAAAAAAAAAAAAAAA</x:v>
      </x:c>
      <x:c r="I73" s="4" t="str">
        <x:v>aaaaaaaaaaaaaaaaaaaaaaaaaaaaaaaaaaaaaaaaaaaaaaaaaaaaaaaaaaaaaaaa</x:v>
      </x:c>
      <x:c r="J73" s="4" t="str">
        <x:v>COMPLETA</x:v>
      </x:c>
      <x:c r="K73" s="4" t="str">
        <x:v>METODO_ADMITIDO</x:v>
      </x:c>
      <x:c r="L73" s="4" t="str">
        <x:v>NO_ADMISION</x:v>
      </x:c>
      <x:c r="M73" s="4" t="str"/>
      <x:c r="N73" s="4" t="str">
        <x:v>LEXEMA_O_FORMA</x:v>
      </x:c>
      <x:c r="O73" s="12" t="str">
        <x:f>IF(Q73="SIN_EJECUCION_DOMINIO","FALLO_CAPTURA",IF(OR(Q73="CAPTURA_MAL_FORMADA",Q73="IDENTIDAD",Q73="OBSERVACION_MAL_FORMADA",Q73="LEXEMA_O_FORMA"),"NO_ADMISION",IF(OR(Q73="PERFIL_NO_CONSTITUIDO",Q73="RESULTADO_NO_TERMINAL"),"FUERA_PERFIL",IF(Q73="CONTEXTO_NO_CONSTITUIDO","CONFIGURACION_PENDIENTE","VALIDA"))))</x:f>
        <x:v>NO_ADMISION</x:v>
      </x:c>
      <x:c r="P73" s="12" t="str">
        <x:f>IF(O73&lt;&gt;"VALIDA","",IF(Q73=AA73,"1",IF(Q73=AB73,"0","U")))</x:f>
      </x:c>
      <x:c r="Q73" s="12" t="str">
        <x:f>IF(E73="FALLO","SIN_EJECUCION_DOMINIO",IF(E73&lt;&gt;"LEGIBLE","CAPTURA_MAL_FORMADA",IF(D73&lt;&gt;"COINCIDE","IDENTIDAD",IF(OR(T73="",C73&lt;&gt;T73),"PERFIL_NO_CONSTITUIDO",IF(K73&lt;&gt;V73,IF(V73="ORDEN_ACREDITADO","ORDEN_NO_ACREDITADO","CONTEXTO_NO_CONSTITUIDO"),IF(AND(G73="AUSENTE",H73="",I73=""),"DATO_AUSENTE",IF(AND(G73="CONFLICTO",H73="",I73=""),"CONFLICTO_OBSERVACIONAL",IF(G73&lt;&gt;"UNICA","OBSERVACION_MAL_FORMADA",IF(F73&lt;&gt;U73,"OBSERVACION_INSUFICIENTE",IF(W73="RESULTADO",IF(H73=X73,AA73,IF(OR(H73="orcSucceededWithErrors",H73="orcFailed",H73="orcAborted"),AB73,IF(OR(H73="orcNotStarted",H73="orcInProgress"),"RESULTADO_NO_TERMINAL","LEXEMA_O_FORMA"))),IF(W73="EVENTO_BOOT",IF(H73=X73,AA73,IF(OR(H73="NINGUNO",H73="SOLO_HIBRIDO"),IF(J73="COMPLETA",AB73,"COBERTURA_INSUFICIENTE"),"LEXEMA_O_FORMA")),IF(W73="REQUISITO_SOFT",IF(H73=X73,AA73,IF(H73=Z73,AB73,"LEXEMA_O_FORMA")),IF(W73="EVENTO_PROC",IF(H73=X73,AA73,IF(H73=Z73,IF(J73="COMPLETA",AB73,"COBERTURA_INSUFICIENTE"),"LEXEMA_O_FORMA")),IF(W73="IMAGEN",IF(AND(AND(ISTEXT(H73),LEN(("x"&amp;H73))=65,EXACT(("x"&amp;H73),LOWER(("x"&amp;H73))),ISERROR(SEARCH(" ",("x"&amp;H73))),ISERROR(SEARCH(CHAR(9),("x"&amp;H73))),ISERROR(SEARCH(CHAR(10),("x"&amp;H73))),ISERROR(SEARCH(CHAR(13),("x"&amp;H73))),IFERROR(HEX2DEC(MID(("x"&amp;H73),2,8))&gt;=0,FALSE),IFERROR(HEX2DEC(MID(("x"&amp;H73),10,8))&gt;=0,FALSE),IFERROR(HEX2DEC(MID(("x"&amp;H73),18,8))&gt;=0,FALSE),IFERROR(HEX2DEC(MID(("x"&amp;H73),26,8))&gt;=0,FALSE),IFERROR(HEX2DEC(MID(("x"&amp;H73),34,8))&gt;=0,FALSE),IFERROR(HEX2DEC(MID(("x"&amp;H73),42,8))&gt;=0,FALSE),IFERROR(HEX2DEC(MID(("x"&amp;H73),50,8))&gt;=0,FALSE),IFERROR(HEX2DEC(MID(("x"&amp;H73),58,8))&gt;=0,FALSE)),AND(ISTEXT(I73),LEN(("x"&amp;I73))=65,EXACT(("x"&amp;I73),LOWER(("x"&amp;I73))),ISERROR(SEARCH(" ",("x"&amp;I73))),ISERROR(SEARCH(CHAR(9),("x"&amp;I73))),ISERROR(SEARCH(CHAR(10),("x"&amp;I73))),ISERROR(SEARCH(CHAR(13),("x"&amp;I73))),IFERROR(HEX2DEC(MID(("x"&amp;I73),2,8))&gt;=0,FALSE),IFERROR(HEX2DEC(MID(("x"&amp;I73),10,8))&gt;=0,FALSE),IFERROR(HEX2DEC(MID(("x"&amp;I73),18,8))&gt;=0,FALSE),IFERROR(HEX2DEC(MID(("x"&amp;I73),26,8))&gt;=0,FALSE),IFERROR(HEX2DEC(MID(("x"&amp;I73),34,8))&gt;=0,FALSE),IFERROR(HEX2DEC(MID(("x"&amp;I73),42,8))&gt;=0,FALSE),IFERROR(HEX2DEC(MID(("x"&amp;I73),50,8))&gt;=0,FALSE),IFERROR(HEX2DEC(MID(("x"&amp;I73),58,8))&gt;=0,FALSE))),IF(EXACT("x"&amp;H73,"x"&amp;I73),AA73,AB73),"LEXEMA_O_FORMA"),IF(W73="PRUEBA",IF(H73=X73,AA73,IF(H73=Z73,AB73,"LEXEMA_O_FORMA")),IF(W73="RETIRADA",IF(AND(H73="NINGUNO",I73=""),IF(J73="COMPLETA",AB73,"COBERTURA_INSUFICIENTE"),IF(AND(OR(H73="uoInstallation",H73="uoUninstallation"),OR(I73="orcSucceeded",I73="orcSucceededWithErrors",I73="orcFailed",I73="orcAborted",I73="orcInProgress",I73="orcNotStarted")),IF(AND(H73=X73,I73=Y73),AA73,IF(AND(H73=X73,OR(I73="orcSucceededWithErrors",I73="orcInProgress",I73="orcNotStarted")),"RESULTADO_RETIRADA_INCIERTO",IF(J73="COMPLETA",AB73,"COBERTURA_INSUFICIENTE"))),"LEXEMA_O_FORMA")),IF(W73="CAMBIO",IF(OR(H73="CAMBIO",H73="CAMBIO_Y_RETORNO"),AA73,IF(OR(H73="NINGUNO",H73="SOLO_RENOMBRE"),IF(J73="COMPLETA",AB73,"COBERTURA_INSUFICIENTE"),"LEXEMA_O_FORMA")),IF(W73="RESTAURACION",IF(H73=X73,AA73,IF(OR(H73="NINGUNO",H73="RESTAURACION_POSTERIOR",H73="RESTAURACION_FALLIDA"),IF(J73="COMPLETA",AB73,"COBERTURA_INSUFICIENTE"),"LEXEMA_O_FORMA")),"PERFIL_NO_CONSTITUIDO"))))))))))))))))))</x:f>
        <x:v>LEXEMA_O_FORMA</x:v>
      </x:c>
      <x:c r="R73" s="12" t="str">
        <x:f>IF(AND(L73=O73,M73=P73,N73=Q73),"PASA","NO_PASA")</x:f>
        <x:v>PASA</x:v>
      </x:c>
      <x:c r="S73" s="4" t="str">
        <x:v>La codificación exige hexadecimal canónico minúsculo, no conversión implícita.</x:v>
      </x:c>
      <x:c r="T73" s="12" t="str">
        <x:f>IFERROR(INDEX('55_Codificacion_ensayo'!$B$5:$B$13,MATCH(B73,'55_Codificacion_ensayo'!$A$5:$A$13,0)),"")</x:f>
        <x:v>IDENTIDAD-IMAGEN-CARGADA-0.1</x:v>
      </x:c>
      <x:c r="U73" s="12" t="str">
        <x:f>IFERROR(INDEX('55_Codificacion_ensayo'!$C$5:$C$13,MATCH(B73,'55_Codificacion_ensayo'!$A$5:$A$13,0)),"")</x:f>
        <x:v>IMAGEN_CARGADA</x:v>
      </x:c>
      <x:c r="V73" s="12" t="str">
        <x:f>IFERROR(INDEX('55_Codificacion_ensayo'!$D$5:$D$13,MATCH(B73,'55_Codificacion_ensayo'!$A$5:$A$13,0)),"")</x:f>
        <x:v>METODO_ADMITIDO</x:v>
      </x:c>
      <x:c r="W73" s="12" t="str">
        <x:f>IFERROR(INDEX('55_Codificacion_ensayo'!$E$5:$E$13,MATCH(B73,'55_Codificacion_ensayo'!$A$5:$A$13,0)),"")</x:f>
        <x:v>IMAGEN</x:v>
      </x:c>
      <x:c r="X73" s="12" t="str">
        <x:f>IFERROR(INDEX('55_Codificacion_ensayo'!$F$5:$F$13,MATCH(B73,'55_Codificacion_ensayo'!$A$5:$A$13,0)),"")</x:f>
        <x:v>aaaaaaaaaaaaaaaaaaaaaaaaaaaaaaaaaaaaaaaaaaaaaaaaaaaaaaaaaaaaaaaa</x:v>
      </x:c>
      <x:c r="Y73" s="12" t="str">
        <x:f>IFERROR(INDEX('55_Codificacion_ensayo'!$G$5:$G$13,MATCH(B73,'55_Codificacion_ensayo'!$A$5:$A$13,0)),"")</x:f>
        <x:v>aaaaaaaaaaaaaaaaaaaaaaaaaaaaaaaaaaaaaaaaaaaaaaaaaaaaaaaaaaaaaaaa</x:v>
      </x:c>
      <x:c r="Z73" s="12" t="str">
        <x:f>IFERROR(INDEX('55_Codificacion_ensayo'!$H$5:$H$13,MATCH(B73,'55_Codificacion_ensayo'!$A$5:$A$13,0)),"")</x:f>
        <x:v>bbbbbbbbbbbbbbbbbbbbbbbbbbbbbbbbbbbbbbbbbbbbbbbbbbbbbbbbbbbbbbbb</x:v>
      </x:c>
      <x:c r="AA73" s="12" t="str">
        <x:f>IFERROR(INDEX('55_Codificacion_ensayo'!$I$5:$I$13,MATCH(B73,'55_Codificacion_ensayo'!$A$5:$A$13,0)),"")</x:f>
        <x:v>IMAGEN_OBJETIVO</x:v>
      </x:c>
      <x:c r="AB73" s="12" t="str">
        <x:f>IFERROR(INDEX('55_Codificacion_ensayo'!$J$5:$J$13,MATCH(B73,'55_Codificacion_ensayo'!$A$5:$A$13,0)),"")</x:f>
        <x:v>OTRA_IMAGEN</x:v>
      </x:c>
    </x:row>
    <x:row r="74" ht="47" customHeight="1">
      <x:c r="A74" s="4" t="str">
        <x:v>L10-06-16</x:v>
      </x:c>
      <x:c r="B74" s="4" t="str">
        <x:v>PAR-CYB-IMAGEN-OBJETIVO-ACTIVA-001</x:v>
      </x:c>
      <x:c r="C74" s="4" t="str">
        <x:v>IDENTIDAD-IMAGEN-CARGADA-0.1</x:v>
      </x:c>
      <x:c r="D74" s="4" t="str">
        <x:v>COINCIDE</x:v>
      </x:c>
      <x:c r="E74" s="4" t="str">
        <x:v>LEGIBLE</x:v>
      </x:c>
      <x:c r="F74" s="4" t="str">
        <x:v>IMAGEN_CARGADA</x:v>
      </x:c>
      <x:c r="G74" s="4" t="str">
        <x:v>UNICA</x:v>
      </x:c>
      <x:c r="H74" s="4" t="str">
        <x:v>0000000000000000000000000000000000000000000000000000000000000001</x:v>
      </x:c>
      <x:c r="I74" s="4" t="str">
        <x:v>0000000000000000000000000000000000000000000000000000000000000001</x:v>
      </x:c>
      <x:c r="J74" s="4" t="str">
        <x:v>COMPLETA</x:v>
      </x:c>
      <x:c r="K74" s="4" t="str">
        <x:v>METODO_ADMITIDO</x:v>
      </x:c>
      <x:c r="L74" s="4" t="str">
        <x:v>VALIDA</x:v>
      </x:c>
      <x:c r="M74" s="4" t="str">
        <x:v>1</x:v>
      </x:c>
      <x:c r="N74" s="4" t="str">
        <x:v>IMAGEN_OBJETIVO</x:v>
      </x:c>
      <x:c r="O74" s="12" t="str">
        <x:f>IF(Q74="SIN_EJECUCION_DOMINIO","FALLO_CAPTURA",IF(OR(Q74="CAPTURA_MAL_FORMADA",Q74="IDENTIDAD",Q74="OBSERVACION_MAL_FORMADA",Q74="LEXEMA_O_FORMA"),"NO_ADMISION",IF(OR(Q74="PERFIL_NO_CONSTITUIDO",Q74="RESULTADO_NO_TERMINAL"),"FUERA_PERFIL",IF(Q74="CONTEXTO_NO_CONSTITUIDO","CONFIGURACION_PENDIENTE","VALIDA"))))</x:f>
        <x:v>VALIDA</x:v>
      </x:c>
      <x:c r="P74" s="12" t="str">
        <x:f>IF(O74&lt;&gt;"VALIDA","",IF(Q74=AA74,"1",IF(Q74=AB74,"0","U")))</x:f>
        <x:v>1</x:v>
      </x:c>
      <x:c r="Q74" s="12" t="str">
        <x:f>IF(E74="FALLO","SIN_EJECUCION_DOMINIO",IF(E74&lt;&gt;"LEGIBLE","CAPTURA_MAL_FORMADA",IF(D74&lt;&gt;"COINCIDE","IDENTIDAD",IF(OR(T74="",C74&lt;&gt;T74),"PERFIL_NO_CONSTITUIDO",IF(K74&lt;&gt;V74,IF(V74="ORDEN_ACREDITADO","ORDEN_NO_ACREDITADO","CONTEXTO_NO_CONSTITUIDO"),IF(AND(G74="AUSENTE",H74="",I74=""),"DATO_AUSENTE",IF(AND(G74="CONFLICTO",H74="",I74=""),"CONFLICTO_OBSERVACIONAL",IF(G74&lt;&gt;"UNICA","OBSERVACION_MAL_FORMADA",IF(F74&lt;&gt;U74,"OBSERVACION_INSUFICIENTE",IF(W74="RESULTADO",IF(H74=X74,AA74,IF(OR(H74="orcSucceededWithErrors",H74="orcFailed",H74="orcAborted"),AB74,IF(OR(H74="orcNotStarted",H74="orcInProgress"),"RESULTADO_NO_TERMINAL","LEXEMA_O_FORMA"))),IF(W74="EVENTO_BOOT",IF(H74=X74,AA74,IF(OR(H74="NINGUNO",H74="SOLO_HIBRIDO"),IF(J74="COMPLETA",AB74,"COBERTURA_INSUFICIENTE"),"LEXEMA_O_FORMA")),IF(W74="REQUISITO_SOFT",IF(H74=X74,AA74,IF(H74=Z74,AB74,"LEXEMA_O_FORMA")),IF(W74="EVENTO_PROC",IF(H74=X74,AA74,IF(H74=Z74,IF(J74="COMPLETA",AB74,"COBERTURA_INSUFICIENTE"),"LEXEMA_O_FORMA")),IF(W74="IMAGEN",IF(AND(AND(ISTEXT(H74),LEN(("x"&amp;H74))=65,EXACT(("x"&amp;H74),LOWER(("x"&amp;H74))),ISERROR(SEARCH(" ",("x"&amp;H74))),ISERROR(SEARCH(CHAR(9),("x"&amp;H74))),ISERROR(SEARCH(CHAR(10),("x"&amp;H74))),ISERROR(SEARCH(CHAR(13),("x"&amp;H74))),IFERROR(HEX2DEC(MID(("x"&amp;H74),2,8))&gt;=0,FALSE),IFERROR(HEX2DEC(MID(("x"&amp;H74),10,8))&gt;=0,FALSE),IFERROR(HEX2DEC(MID(("x"&amp;H74),18,8))&gt;=0,FALSE),IFERROR(HEX2DEC(MID(("x"&amp;H74),26,8))&gt;=0,FALSE),IFERROR(HEX2DEC(MID(("x"&amp;H74),34,8))&gt;=0,FALSE),IFERROR(HEX2DEC(MID(("x"&amp;H74),42,8))&gt;=0,FALSE),IFERROR(HEX2DEC(MID(("x"&amp;H74),50,8))&gt;=0,FALSE),IFERROR(HEX2DEC(MID(("x"&amp;H74),58,8))&gt;=0,FALSE)),AND(ISTEXT(I74),LEN(("x"&amp;I74))=65,EXACT(("x"&amp;I74),LOWER(("x"&amp;I74))),ISERROR(SEARCH(" ",("x"&amp;I74))),ISERROR(SEARCH(CHAR(9),("x"&amp;I74))),ISERROR(SEARCH(CHAR(10),("x"&amp;I74))),ISERROR(SEARCH(CHAR(13),("x"&amp;I74))),IFERROR(HEX2DEC(MID(("x"&amp;I74),2,8))&gt;=0,FALSE),IFERROR(HEX2DEC(MID(("x"&amp;I74),10,8))&gt;=0,FALSE),IFERROR(HEX2DEC(MID(("x"&amp;I74),18,8))&gt;=0,FALSE),IFERROR(HEX2DEC(MID(("x"&amp;I74),26,8))&gt;=0,FALSE),IFERROR(HEX2DEC(MID(("x"&amp;I74),34,8))&gt;=0,FALSE),IFERROR(HEX2DEC(MID(("x"&amp;I74),42,8))&gt;=0,FALSE),IFERROR(HEX2DEC(MID(("x"&amp;I74),50,8))&gt;=0,FALSE),IFERROR(HEX2DEC(MID(("x"&amp;I74),58,8))&gt;=0,FALSE))),IF(EXACT("x"&amp;H74,"x"&amp;I74),AA74,AB74),"LEXEMA_O_FORMA"),IF(W74="PRUEBA",IF(H74=X74,AA74,IF(H74=Z74,AB74,"LEXEMA_O_FORMA")),IF(W74="RETIRADA",IF(AND(H74="NINGUNO",I74=""),IF(J74="COMPLETA",AB74,"COBERTURA_INSUFICIENTE"),IF(AND(OR(H74="uoInstallation",H74="uoUninstallation"),OR(I74="orcSucceeded",I74="orcSucceededWithErrors",I74="orcFailed",I74="orcAborted",I74="orcInProgress",I74="orcNotStarted")),IF(AND(H74=X74,I74=Y74),AA74,IF(AND(H74=X74,OR(I74="orcSucceededWithErrors",I74="orcInProgress",I74="orcNotStarted")),"RESULTADO_RETIRADA_INCIERTO",IF(J74="COMPLETA",AB74,"COBERTURA_INSUFICIENTE"))),"LEXEMA_O_FORMA")),IF(W74="CAMBIO",IF(OR(H74="CAMBIO",H74="CAMBIO_Y_RETORNO"),AA74,IF(OR(H74="NINGUNO",H74="SOLO_RENOMBRE"),IF(J74="COMPLETA",AB74,"COBERTURA_INSUFICIENTE"),"LEXEMA_O_FORMA")),IF(W74="RESTAURACION",IF(H74=X74,AA74,IF(OR(H74="NINGUNO",H74="RESTAURACION_POSTERIOR",H74="RESTAURACION_FALLIDA"),IF(J74="COMPLETA",AB74,"COBERTURA_INSUFICIENTE"),"LEXEMA_O_FORMA")),"PERFIL_NO_CONSTITUIDO"))))))))))))))))))</x:f>
        <x:v>IMAGEN_OBJETIVO</x:v>
      </x:c>
      <x:c r="R74" s="12" t="str">
        <x:f>IF(AND(L74=O74,M74=P74,N74=Q74),"PASA","NO_PASA")</x:f>
        <x:v>PASA</x:v>
      </x:c>
      <x:c r="S74" s="4" t="str">
        <x:v>Ceros iniciales se conservan como texto de identidad.</x:v>
      </x:c>
      <x:c r="T74" s="12" t="str">
        <x:f>IFERROR(INDEX('55_Codificacion_ensayo'!$B$5:$B$13,MATCH(B74,'55_Codificacion_ensayo'!$A$5:$A$13,0)),"")</x:f>
        <x:v>IDENTIDAD-IMAGEN-CARGADA-0.1</x:v>
      </x:c>
      <x:c r="U74" s="12" t="str">
        <x:f>IFERROR(INDEX('55_Codificacion_ensayo'!$C$5:$C$13,MATCH(B74,'55_Codificacion_ensayo'!$A$5:$A$13,0)),"")</x:f>
        <x:v>IMAGEN_CARGADA</x:v>
      </x:c>
      <x:c r="V74" s="12" t="str">
        <x:f>IFERROR(INDEX('55_Codificacion_ensayo'!$D$5:$D$13,MATCH(B74,'55_Codificacion_ensayo'!$A$5:$A$13,0)),"")</x:f>
        <x:v>METODO_ADMITIDO</x:v>
      </x:c>
      <x:c r="W74" s="12" t="str">
        <x:f>IFERROR(INDEX('55_Codificacion_ensayo'!$E$5:$E$13,MATCH(B74,'55_Codificacion_ensayo'!$A$5:$A$13,0)),"")</x:f>
        <x:v>IMAGEN</x:v>
      </x:c>
      <x:c r="X74" s="12" t="str">
        <x:f>IFERROR(INDEX('55_Codificacion_ensayo'!$F$5:$F$13,MATCH(B74,'55_Codificacion_ensayo'!$A$5:$A$13,0)),"")</x:f>
        <x:v>aaaaaaaaaaaaaaaaaaaaaaaaaaaaaaaaaaaaaaaaaaaaaaaaaaaaaaaaaaaaaaaa</x:v>
      </x:c>
      <x:c r="Y74" s="12" t="str">
        <x:f>IFERROR(INDEX('55_Codificacion_ensayo'!$G$5:$G$13,MATCH(B74,'55_Codificacion_ensayo'!$A$5:$A$13,0)),"")</x:f>
        <x:v>aaaaaaaaaaaaaaaaaaaaaaaaaaaaaaaaaaaaaaaaaaaaaaaaaaaaaaaaaaaaaaaa</x:v>
      </x:c>
      <x:c r="Z74" s="12" t="str">
        <x:f>IFERROR(INDEX('55_Codificacion_ensayo'!$H$5:$H$13,MATCH(B74,'55_Codificacion_ensayo'!$A$5:$A$13,0)),"")</x:f>
        <x:v>bbbbbbbbbbbbbbbbbbbbbbbbbbbbbbbbbbbbbbbbbbbbbbbbbbbbbbbbbbbbbbbb</x:v>
      </x:c>
      <x:c r="AA74" s="12" t="str">
        <x:f>IFERROR(INDEX('55_Codificacion_ensayo'!$I$5:$I$13,MATCH(B74,'55_Codificacion_ensayo'!$A$5:$A$13,0)),"")</x:f>
        <x:v>IMAGEN_OBJETIVO</x:v>
      </x:c>
      <x:c r="AB74" s="12" t="str">
        <x:f>IFERROR(INDEX('55_Codificacion_ensayo'!$J$5:$J$13,MATCH(B74,'55_Codificacion_ensayo'!$A$5:$A$13,0)),"")</x:f>
        <x:v>OTRA_IMAGEN</x:v>
      </x:c>
    </x:row>
    <x:row r="75" ht="47" customHeight="1">
      <x:c r="A75" s="4" t="str">
        <x:v>L10-07-01</x:v>
      </x:c>
      <x:c r="B75" s="4" t="str">
        <x:v>PAR-CYB-COMPROBACION-POSITIVA-001</x:v>
      </x:c>
      <x:c r="C75" s="4" t="str">
        <x:v>COMPROBACION-CRITERIO-UNITARIO-0.1</x:v>
      </x:c>
      <x:c r="D75" s="4" t="str">
        <x:v>COINCIDE</x:v>
      </x:c>
      <x:c r="E75" s="4" t="str">
        <x:v>LEGIBLE</x:v>
      </x:c>
      <x:c r="F75" s="4" t="str">
        <x:v>INFORME_PRUEBA</x:v>
      </x:c>
      <x:c r="G75" s="4" t="str">
        <x:v>UNICA</x:v>
      </x:c>
      <x:c r="H75" s="4" t="str">
        <x:v>CRITERIO_CUMPLIDO</x:v>
      </x:c>
      <x:c r="I75" s="4" t="str"/>
      <x:c r="J75" s="4" t="str">
        <x:v>COMPLETA</x:v>
      </x:c>
      <x:c r="K75" s="4" t="str">
        <x:v>ORACULO_UNITARIO</x:v>
      </x:c>
      <x:c r="L75" s="4" t="str">
        <x:v>VALIDA</x:v>
      </x:c>
      <x:c r="M75" s="4" t="str">
        <x:v>1</x:v>
      </x:c>
      <x:c r="N75" s="4" t="str">
        <x:v>CRITERIO_POSITIVO</x:v>
      </x:c>
      <x:c r="O75" s="12" t="str">
        <x:f>IF(Q75="SIN_EJECUCION_DOMINIO","FALLO_CAPTURA",IF(OR(Q75="CAPTURA_MAL_FORMADA",Q75="IDENTIDAD",Q75="OBSERVACION_MAL_FORMADA",Q75="LEXEMA_O_FORMA"),"NO_ADMISION",IF(OR(Q75="PERFIL_NO_CONSTITUIDO",Q75="RESULTADO_NO_TERMINAL"),"FUERA_PERFIL",IF(Q75="CONTEXTO_NO_CONSTITUIDO","CONFIGURACION_PENDIENTE","VALIDA"))))</x:f>
        <x:v>VALIDA</x:v>
      </x:c>
      <x:c r="P75" s="12" t="str">
        <x:f>IF(O75&lt;&gt;"VALIDA","",IF(Q75=AA75,"1",IF(Q75=AB75,"0","U")))</x:f>
        <x:v>1</x:v>
      </x:c>
      <x:c r="Q75" s="12" t="str">
        <x:f>IF(E75="FALLO","SIN_EJECUCION_DOMINIO",IF(E75&lt;&gt;"LEGIBLE","CAPTURA_MAL_FORMADA",IF(D75&lt;&gt;"COINCIDE","IDENTIDAD",IF(OR(T75="",C75&lt;&gt;T75),"PERFIL_NO_CONSTITUIDO",IF(K75&lt;&gt;V75,IF(V75="ORDEN_ACREDITADO","ORDEN_NO_ACREDITADO","CONTEXTO_NO_CONSTITUIDO"),IF(AND(G75="AUSENTE",H75="",I75=""),"DATO_AUSENTE",IF(AND(G75="CONFLICTO",H75="",I75=""),"CONFLICTO_OBSERVACIONAL",IF(G75&lt;&gt;"UNICA","OBSERVACION_MAL_FORMADA",IF(F75&lt;&gt;U75,"OBSERVACION_INSUFICIENTE",IF(W75="RESULTADO",IF(H75=X75,AA75,IF(OR(H75="orcSucceededWithErrors",H75="orcFailed",H75="orcAborted"),AB75,IF(OR(H75="orcNotStarted",H75="orcInProgress"),"RESULTADO_NO_TERMINAL","LEXEMA_O_FORMA"))),IF(W75="EVENTO_BOOT",IF(H75=X75,AA75,IF(OR(H75="NINGUNO",H75="SOLO_HIBRIDO"),IF(J75="COMPLETA",AB75,"COBERTURA_INSUFICIENTE"),"LEXEMA_O_FORMA")),IF(W75="REQUISITO_SOFT",IF(H75=X75,AA75,IF(H75=Z75,AB75,"LEXEMA_O_FORMA")),IF(W75="EVENTO_PROC",IF(H75=X75,AA75,IF(H75=Z75,IF(J75="COMPLETA",AB75,"COBERTURA_INSUFICIENTE"),"LEXEMA_O_FORMA")),IF(W75="IMAGEN",IF(AND(AND(ISTEXT(H75),LEN(("x"&amp;H75))=65,EXACT(("x"&amp;H75),LOWER(("x"&amp;H75))),ISERROR(SEARCH(" ",("x"&amp;H75))),ISERROR(SEARCH(CHAR(9),("x"&amp;H75))),ISERROR(SEARCH(CHAR(10),("x"&amp;H75))),ISERROR(SEARCH(CHAR(13),("x"&amp;H75))),IFERROR(HEX2DEC(MID(("x"&amp;H75),2,8))&gt;=0,FALSE),IFERROR(HEX2DEC(MID(("x"&amp;H75),10,8))&gt;=0,FALSE),IFERROR(HEX2DEC(MID(("x"&amp;H75),18,8))&gt;=0,FALSE),IFERROR(HEX2DEC(MID(("x"&amp;H75),26,8))&gt;=0,FALSE),IFERROR(HEX2DEC(MID(("x"&amp;H75),34,8))&gt;=0,FALSE),IFERROR(HEX2DEC(MID(("x"&amp;H75),42,8))&gt;=0,FALSE),IFERROR(HEX2DEC(MID(("x"&amp;H75),50,8))&gt;=0,FALSE),IFERROR(HEX2DEC(MID(("x"&amp;H75),58,8))&gt;=0,FALSE)),AND(ISTEXT(I75),LEN(("x"&amp;I75))=65,EXACT(("x"&amp;I75),LOWER(("x"&amp;I75))),ISERROR(SEARCH(" ",("x"&amp;I75))),ISERROR(SEARCH(CHAR(9),("x"&amp;I75))),ISERROR(SEARCH(CHAR(10),("x"&amp;I75))),ISERROR(SEARCH(CHAR(13),("x"&amp;I75))),IFERROR(HEX2DEC(MID(("x"&amp;I75),2,8))&gt;=0,FALSE),IFERROR(HEX2DEC(MID(("x"&amp;I75),10,8))&gt;=0,FALSE),IFERROR(HEX2DEC(MID(("x"&amp;I75),18,8))&gt;=0,FALSE),IFERROR(HEX2DEC(MID(("x"&amp;I75),26,8))&gt;=0,FALSE),IFERROR(HEX2DEC(MID(("x"&amp;I75),34,8))&gt;=0,FALSE),IFERROR(HEX2DEC(MID(("x"&amp;I75),42,8))&gt;=0,FALSE),IFERROR(HEX2DEC(MID(("x"&amp;I75),50,8))&gt;=0,FALSE),IFERROR(HEX2DEC(MID(("x"&amp;I75),58,8))&gt;=0,FALSE))),IF(EXACT("x"&amp;H75,"x"&amp;I75),AA75,AB75),"LEXEMA_O_FORMA"),IF(W75="PRUEBA",IF(H75=X75,AA75,IF(H75=Z75,AB75,"LEXEMA_O_FORMA")),IF(W75="RETIRADA",IF(AND(H75="NINGUNO",I75=""),IF(J75="COMPLETA",AB75,"COBERTURA_INSUFICIENTE"),IF(AND(OR(H75="uoInstallation",H75="uoUninstallation"),OR(I75="orcSucceeded",I75="orcSucceededWithErrors",I75="orcFailed",I75="orcAborted",I75="orcInProgress",I75="orcNotStarted")),IF(AND(H75=X75,I75=Y75),AA75,IF(AND(H75=X75,OR(I75="orcSucceededWithErrors",I75="orcInProgress",I75="orcNotStarted")),"RESULTADO_RETIRADA_INCIERTO",IF(J75="COMPLETA",AB75,"COBERTURA_INSUFICIENTE"))),"LEXEMA_O_FORMA")),IF(W75="CAMBIO",IF(OR(H75="CAMBIO",H75="CAMBIO_Y_RETORNO"),AA75,IF(OR(H75="NINGUNO",H75="SOLO_RENOMBRE"),IF(J75="COMPLETA",AB75,"COBERTURA_INSUFICIENTE"),"LEXEMA_O_FORMA")),IF(W75="RESTAURACION",IF(H75=X75,AA75,IF(OR(H75="NINGUNO",H75="RESTAURACION_POSTERIOR",H75="RESTAURACION_FALLIDA"),IF(J75="COMPLETA",AB75,"COBERTURA_INSUFICIENTE"),"LEXEMA_O_FORMA")),"PERFIL_NO_CONSTITUIDO"))))))))))))))))))</x:f>
        <x:v>CRITERIO_POSITIVO</x:v>
      </x:c>
      <x:c r="R75" s="12" t="str">
        <x:f>IF(AND(L75=O75,M75=P75,N75=Q75),"PASA","NO_PASA")</x:f>
        <x:v>PASA</x:v>
      </x:c>
      <x:c r="S75" s="4" t="str">
        <x:v>Testigo positivo de la proposición; no licencia ninguna conclusión más amplia.</x:v>
      </x:c>
      <x:c r="T75" s="12" t="str">
        <x:f>IFERROR(INDEX('55_Codificacion_ensayo'!$B$5:$B$13,MATCH(B75,'55_Codificacion_ensayo'!$A$5:$A$13,0)),"")</x:f>
        <x:v>COMPROBACION-CRITERIO-UNITARIO-0.1</x:v>
      </x:c>
      <x:c r="U75" s="12" t="str">
        <x:f>IFERROR(INDEX('55_Codificacion_ensayo'!$C$5:$C$13,MATCH(B75,'55_Codificacion_ensayo'!$A$5:$A$13,0)),"")</x:f>
        <x:v>INFORME_PRUEBA</x:v>
      </x:c>
      <x:c r="V75" s="12" t="str">
        <x:f>IFERROR(INDEX('55_Codificacion_ensayo'!$D$5:$D$13,MATCH(B75,'55_Codificacion_ensayo'!$A$5:$A$13,0)),"")</x:f>
        <x:v>ORACULO_UNITARIO</x:v>
      </x:c>
      <x:c r="W75" s="12" t="str">
        <x:f>IFERROR(INDEX('55_Codificacion_ensayo'!$E$5:$E$13,MATCH(B75,'55_Codificacion_ensayo'!$A$5:$A$13,0)),"")</x:f>
        <x:v>PRUEBA</x:v>
      </x:c>
      <x:c r="X75" s="12" t="str">
        <x:f>IFERROR(INDEX('55_Codificacion_ensayo'!$F$5:$F$13,MATCH(B75,'55_Codificacion_ensayo'!$A$5:$A$13,0)),"")</x:f>
        <x:v>CRITERIO_CUMPLIDO</x:v>
      </x:c>
      <x:c r="Y75" s="12" t="str">
        <x:f>IFERROR(INDEX('55_Codificacion_ensayo'!$G$5:$G$13,MATCH(B75,'55_Codificacion_ensayo'!$A$5:$A$13,0)),"")</x:f>
      </x:c>
      <x:c r="Z75" s="12" t="str">
        <x:f>IFERROR(INDEX('55_Codificacion_ensayo'!$H$5:$H$13,MATCH(B75,'55_Codificacion_ensayo'!$A$5:$A$13,0)),"")</x:f>
        <x:v>CRITERIO_NO_CUMPLIDO</x:v>
      </x:c>
      <x:c r="AA75" s="12" t="str">
        <x:f>IFERROR(INDEX('55_Codificacion_ensayo'!$I$5:$I$13,MATCH(B75,'55_Codificacion_ensayo'!$A$5:$A$13,0)),"")</x:f>
        <x:v>CRITERIO_POSITIVO</x:v>
      </x:c>
      <x:c r="AB75" s="12" t="str">
        <x:f>IFERROR(INDEX('55_Codificacion_ensayo'!$J$5:$J$13,MATCH(B75,'55_Codificacion_ensayo'!$A$5:$A$13,0)),"")</x:f>
        <x:v>CRITERIO_NEGATIVO</x:v>
      </x:c>
    </x:row>
    <x:row r="76" ht="47" customHeight="1">
      <x:c r="A76" s="4" t="str">
        <x:v>L10-07-02</x:v>
      </x:c>
      <x:c r="B76" s="4" t="str">
        <x:v>PAR-CYB-COMPROBACION-POSITIVA-001</x:v>
      </x:c>
      <x:c r="C76" s="4" t="str">
        <x:v>COMPROBACION-CRITERIO-UNITARIO-0.1</x:v>
      </x:c>
      <x:c r="D76" s="4" t="str">
        <x:v>COINCIDE</x:v>
      </x:c>
      <x:c r="E76" s="4" t="str">
        <x:v>LEGIBLE</x:v>
      </x:c>
      <x:c r="F76" s="4" t="str">
        <x:v>INFORME_PRUEBA</x:v>
      </x:c>
      <x:c r="G76" s="4" t="str">
        <x:v>UNICA</x:v>
      </x:c>
      <x:c r="H76" s="4" t="str">
        <x:v>CRITERIO_NO_CUMPLIDO</x:v>
      </x:c>
      <x:c r="I76" s="4" t="str"/>
      <x:c r="J76" s="4" t="str">
        <x:v>COMPLETA</x:v>
      </x:c>
      <x:c r="K76" s="4" t="str">
        <x:v>ORACULO_UNITARIO</x:v>
      </x:c>
      <x:c r="L76" s="4" t="str">
        <x:v>VALIDA</x:v>
      </x:c>
      <x:c r="M76" s="4" t="str">
        <x:v>0</x:v>
      </x:c>
      <x:c r="N76" s="4" t="str">
        <x:v>CRITERIO_NEGATIVO</x:v>
      </x:c>
      <x:c r="O76" s="12" t="str">
        <x:f>IF(Q76="SIN_EJECUCION_DOMINIO","FALLO_CAPTURA",IF(OR(Q76="CAPTURA_MAL_FORMADA",Q76="IDENTIDAD",Q76="OBSERVACION_MAL_FORMADA",Q76="LEXEMA_O_FORMA"),"NO_ADMISION",IF(OR(Q76="PERFIL_NO_CONSTITUIDO",Q76="RESULTADO_NO_TERMINAL"),"FUERA_PERFIL",IF(Q76="CONTEXTO_NO_CONSTITUIDO","CONFIGURACION_PENDIENTE","VALIDA"))))</x:f>
        <x:v>VALIDA</x:v>
      </x:c>
      <x:c r="P76" s="12" t="str">
        <x:f>IF(O76&lt;&gt;"VALIDA","",IF(Q76=AA76,"1",IF(Q76=AB76,"0","U")))</x:f>
        <x:v>0</x:v>
      </x:c>
      <x:c r="Q76" s="12" t="str">
        <x:f>IF(E76="FALLO","SIN_EJECUCION_DOMINIO",IF(E76&lt;&gt;"LEGIBLE","CAPTURA_MAL_FORMADA",IF(D76&lt;&gt;"COINCIDE","IDENTIDAD",IF(OR(T76="",C76&lt;&gt;T76),"PERFIL_NO_CONSTITUIDO",IF(K76&lt;&gt;V76,IF(V76="ORDEN_ACREDITADO","ORDEN_NO_ACREDITADO","CONTEXTO_NO_CONSTITUIDO"),IF(AND(G76="AUSENTE",H76="",I76=""),"DATO_AUSENTE",IF(AND(G76="CONFLICTO",H76="",I76=""),"CONFLICTO_OBSERVACIONAL",IF(G76&lt;&gt;"UNICA","OBSERVACION_MAL_FORMADA",IF(F76&lt;&gt;U76,"OBSERVACION_INSUFICIENTE",IF(W76="RESULTADO",IF(H76=X76,AA76,IF(OR(H76="orcSucceededWithErrors",H76="orcFailed",H76="orcAborted"),AB76,IF(OR(H76="orcNotStarted",H76="orcInProgress"),"RESULTADO_NO_TERMINAL","LEXEMA_O_FORMA"))),IF(W76="EVENTO_BOOT",IF(H76=X76,AA76,IF(OR(H76="NINGUNO",H76="SOLO_HIBRIDO"),IF(J76="COMPLETA",AB76,"COBERTURA_INSUFICIENTE"),"LEXEMA_O_FORMA")),IF(W76="REQUISITO_SOFT",IF(H76=X76,AA76,IF(H76=Z76,AB76,"LEXEMA_O_FORMA")),IF(W76="EVENTO_PROC",IF(H76=X76,AA76,IF(H76=Z76,IF(J76="COMPLETA",AB76,"COBERTURA_INSUFICIENTE"),"LEXEMA_O_FORMA")),IF(W76="IMAGEN",IF(AND(AND(ISTEXT(H76),LEN(("x"&amp;H76))=65,EXACT(("x"&amp;H76),LOWER(("x"&amp;H76))),ISERROR(SEARCH(" ",("x"&amp;H76))),ISERROR(SEARCH(CHAR(9),("x"&amp;H76))),ISERROR(SEARCH(CHAR(10),("x"&amp;H76))),ISERROR(SEARCH(CHAR(13),("x"&amp;H76))),IFERROR(HEX2DEC(MID(("x"&amp;H76),2,8))&gt;=0,FALSE),IFERROR(HEX2DEC(MID(("x"&amp;H76),10,8))&gt;=0,FALSE),IFERROR(HEX2DEC(MID(("x"&amp;H76),18,8))&gt;=0,FALSE),IFERROR(HEX2DEC(MID(("x"&amp;H76),26,8))&gt;=0,FALSE),IFERROR(HEX2DEC(MID(("x"&amp;H76),34,8))&gt;=0,FALSE),IFERROR(HEX2DEC(MID(("x"&amp;H76),42,8))&gt;=0,FALSE),IFERROR(HEX2DEC(MID(("x"&amp;H76),50,8))&gt;=0,FALSE),IFERROR(HEX2DEC(MID(("x"&amp;H76),58,8))&gt;=0,FALSE)),AND(ISTEXT(I76),LEN(("x"&amp;I76))=65,EXACT(("x"&amp;I76),LOWER(("x"&amp;I76))),ISERROR(SEARCH(" ",("x"&amp;I76))),ISERROR(SEARCH(CHAR(9),("x"&amp;I76))),ISERROR(SEARCH(CHAR(10),("x"&amp;I76))),ISERROR(SEARCH(CHAR(13),("x"&amp;I76))),IFERROR(HEX2DEC(MID(("x"&amp;I76),2,8))&gt;=0,FALSE),IFERROR(HEX2DEC(MID(("x"&amp;I76),10,8))&gt;=0,FALSE),IFERROR(HEX2DEC(MID(("x"&amp;I76),18,8))&gt;=0,FALSE),IFERROR(HEX2DEC(MID(("x"&amp;I76),26,8))&gt;=0,FALSE),IFERROR(HEX2DEC(MID(("x"&amp;I76),34,8))&gt;=0,FALSE),IFERROR(HEX2DEC(MID(("x"&amp;I76),42,8))&gt;=0,FALSE),IFERROR(HEX2DEC(MID(("x"&amp;I76),50,8))&gt;=0,FALSE),IFERROR(HEX2DEC(MID(("x"&amp;I76),58,8))&gt;=0,FALSE))),IF(EXACT("x"&amp;H76,"x"&amp;I76),AA76,AB76),"LEXEMA_O_FORMA"),IF(W76="PRUEBA",IF(H76=X76,AA76,IF(H76=Z76,AB76,"LEXEMA_O_FORMA")),IF(W76="RETIRADA",IF(AND(H76="NINGUNO",I76=""),IF(J76="COMPLETA",AB76,"COBERTURA_INSUFICIENTE"),IF(AND(OR(H76="uoInstallation",H76="uoUninstallation"),OR(I76="orcSucceeded",I76="orcSucceededWithErrors",I76="orcFailed",I76="orcAborted",I76="orcInProgress",I76="orcNotStarted")),IF(AND(H76=X76,I76=Y76),AA76,IF(AND(H76=X76,OR(I76="orcSucceededWithErrors",I76="orcInProgress",I76="orcNotStarted")),"RESULTADO_RETIRADA_INCIERTO",IF(J76="COMPLETA",AB76,"COBERTURA_INSUFICIENTE"))),"LEXEMA_O_FORMA")),IF(W76="CAMBIO",IF(OR(H76="CAMBIO",H76="CAMBIO_Y_RETORNO"),AA76,IF(OR(H76="NINGUNO",H76="SOLO_RENOMBRE"),IF(J76="COMPLETA",AB76,"COBERTURA_INSUFICIENTE"),"LEXEMA_O_FORMA")),IF(W76="RESTAURACION",IF(H76=X76,AA76,IF(OR(H76="NINGUNO",H76="RESTAURACION_POSTERIOR",H76="RESTAURACION_FALLIDA"),IF(J76="COMPLETA",AB76,"COBERTURA_INSUFICIENTE"),"LEXEMA_O_FORMA")),"PERFIL_NO_CONSTITUIDO"))))))))))))))))))</x:f>
        <x:v>CRITERIO_NEGATIVO</x:v>
      </x:c>
      <x:c r="R76" s="12" t="str">
        <x:f>IF(AND(L76=O76,M76=P76,N76=Q76),"PASA","NO_PASA")</x:f>
        <x:v>PASA</x:v>
      </x:c>
      <x:c r="S76" s="4" t="str">
        <x:v>Negativo explícito; en eventos exige cobertura del intervalo.</x:v>
      </x:c>
      <x:c r="T76" s="12" t="str">
        <x:f>IFERROR(INDEX('55_Codificacion_ensayo'!$B$5:$B$13,MATCH(B76,'55_Codificacion_ensayo'!$A$5:$A$13,0)),"")</x:f>
        <x:v>COMPROBACION-CRITERIO-UNITARIO-0.1</x:v>
      </x:c>
      <x:c r="U76" s="12" t="str">
        <x:f>IFERROR(INDEX('55_Codificacion_ensayo'!$C$5:$C$13,MATCH(B76,'55_Codificacion_ensayo'!$A$5:$A$13,0)),"")</x:f>
        <x:v>INFORME_PRUEBA</x:v>
      </x:c>
      <x:c r="V76" s="12" t="str">
        <x:f>IFERROR(INDEX('55_Codificacion_ensayo'!$D$5:$D$13,MATCH(B76,'55_Codificacion_ensayo'!$A$5:$A$13,0)),"")</x:f>
        <x:v>ORACULO_UNITARIO</x:v>
      </x:c>
      <x:c r="W76" s="12" t="str">
        <x:f>IFERROR(INDEX('55_Codificacion_ensayo'!$E$5:$E$13,MATCH(B76,'55_Codificacion_ensayo'!$A$5:$A$13,0)),"")</x:f>
        <x:v>PRUEBA</x:v>
      </x:c>
      <x:c r="X76" s="12" t="str">
        <x:f>IFERROR(INDEX('55_Codificacion_ensayo'!$F$5:$F$13,MATCH(B76,'55_Codificacion_ensayo'!$A$5:$A$13,0)),"")</x:f>
        <x:v>CRITERIO_CUMPLIDO</x:v>
      </x:c>
      <x:c r="Y76" s="12" t="str">
        <x:f>IFERROR(INDEX('55_Codificacion_ensayo'!$G$5:$G$13,MATCH(B76,'55_Codificacion_ensayo'!$A$5:$A$13,0)),"")</x:f>
      </x:c>
      <x:c r="Z76" s="12" t="str">
        <x:f>IFERROR(INDEX('55_Codificacion_ensayo'!$H$5:$H$13,MATCH(B76,'55_Codificacion_ensayo'!$A$5:$A$13,0)),"")</x:f>
        <x:v>CRITERIO_NO_CUMPLIDO</x:v>
      </x:c>
      <x:c r="AA76" s="12" t="str">
        <x:f>IFERROR(INDEX('55_Codificacion_ensayo'!$I$5:$I$13,MATCH(B76,'55_Codificacion_ensayo'!$A$5:$A$13,0)),"")</x:f>
        <x:v>CRITERIO_POSITIVO</x:v>
      </x:c>
      <x:c r="AB76" s="12" t="str">
        <x:f>IFERROR(INDEX('55_Codificacion_ensayo'!$J$5:$J$13,MATCH(B76,'55_Codificacion_ensayo'!$A$5:$A$13,0)),"")</x:f>
        <x:v>CRITERIO_NEGATIVO</x:v>
      </x:c>
    </x:row>
    <x:row r="77" ht="47" customHeight="1">
      <x:c r="A77" s="4" t="str">
        <x:v>L10-07-03</x:v>
      </x:c>
      <x:c r="B77" s="4" t="str">
        <x:v>PAR-CYB-COMPROBACION-POSITIVA-001</x:v>
      </x:c>
      <x:c r="C77" s="4" t="str">
        <x:v>COMPROBACION-CRITERIO-UNITARIO-0.1</x:v>
      </x:c>
      <x:c r="D77" s="4" t="str">
        <x:v>COINCIDE</x:v>
      </x:c>
      <x:c r="E77" s="4" t="str">
        <x:v>LEGIBLE</x:v>
      </x:c>
      <x:c r="F77" s="4" t="str">
        <x:v>INFORME_PRUEBA</x:v>
      </x:c>
      <x:c r="G77" s="4" t="str">
        <x:v>AUSENTE</x:v>
      </x:c>
      <x:c r="H77" s="4" t="str"/>
      <x:c r="I77" s="4" t="str"/>
      <x:c r="J77" s="4" t="str">
        <x:v>COMPLETA</x:v>
      </x:c>
      <x:c r="K77" s="4" t="str">
        <x:v>ORACULO_UNITARIO</x:v>
      </x:c>
      <x:c r="L77" s="4" t="str">
        <x:v>VALIDA</x:v>
      </x:c>
      <x:c r="M77" s="4" t="str">
        <x:v>U</x:v>
      </x:c>
      <x:c r="N77" s="4" t="str">
        <x:v>DATO_AUSENTE</x:v>
      </x:c>
      <x:c r="O77" s="12" t="str">
        <x:f>IF(Q77="SIN_EJECUCION_DOMINIO","FALLO_CAPTURA",IF(OR(Q77="CAPTURA_MAL_FORMADA",Q77="IDENTIDAD",Q77="OBSERVACION_MAL_FORMADA",Q77="LEXEMA_O_FORMA"),"NO_ADMISION",IF(OR(Q77="PERFIL_NO_CONSTITUIDO",Q77="RESULTADO_NO_TERMINAL"),"FUERA_PERFIL",IF(Q77="CONTEXTO_NO_CONSTITUIDO","CONFIGURACION_PENDIENTE","VALIDA"))))</x:f>
        <x:v>VALIDA</x:v>
      </x:c>
      <x:c r="P77" s="12" t="str">
        <x:f>IF(O77&lt;&gt;"VALIDA","",IF(Q77=AA77,"1",IF(Q77=AB77,"0","U")))</x:f>
        <x:v>U</x:v>
      </x:c>
      <x:c r="Q77" s="12" t="str">
        <x:f>IF(E77="FALLO","SIN_EJECUCION_DOMINIO",IF(E77&lt;&gt;"LEGIBLE","CAPTURA_MAL_FORMADA",IF(D77&lt;&gt;"COINCIDE","IDENTIDAD",IF(OR(T77="",C77&lt;&gt;T77),"PERFIL_NO_CONSTITUIDO",IF(K77&lt;&gt;V77,IF(V77="ORDEN_ACREDITADO","ORDEN_NO_ACREDITADO","CONTEXTO_NO_CONSTITUIDO"),IF(AND(G77="AUSENTE",H77="",I77=""),"DATO_AUSENTE",IF(AND(G77="CONFLICTO",H77="",I77=""),"CONFLICTO_OBSERVACIONAL",IF(G77&lt;&gt;"UNICA","OBSERVACION_MAL_FORMADA",IF(F77&lt;&gt;U77,"OBSERVACION_INSUFICIENTE",IF(W77="RESULTADO",IF(H77=X77,AA77,IF(OR(H77="orcSucceededWithErrors",H77="orcFailed",H77="orcAborted"),AB77,IF(OR(H77="orcNotStarted",H77="orcInProgress"),"RESULTADO_NO_TERMINAL","LEXEMA_O_FORMA"))),IF(W77="EVENTO_BOOT",IF(H77=X77,AA77,IF(OR(H77="NINGUNO",H77="SOLO_HIBRIDO"),IF(J77="COMPLETA",AB77,"COBERTURA_INSUFICIENTE"),"LEXEMA_O_FORMA")),IF(W77="REQUISITO_SOFT",IF(H77=X77,AA77,IF(H77=Z77,AB77,"LEXEMA_O_FORMA")),IF(W77="EVENTO_PROC",IF(H77=X77,AA77,IF(H77=Z77,IF(J77="COMPLETA",AB77,"COBERTURA_INSUFICIENTE"),"LEXEMA_O_FORMA")),IF(W77="IMAGEN",IF(AND(AND(ISTEXT(H77),LEN(("x"&amp;H77))=65,EXACT(("x"&amp;H77),LOWER(("x"&amp;H77))),ISERROR(SEARCH(" ",("x"&amp;H77))),ISERROR(SEARCH(CHAR(9),("x"&amp;H77))),ISERROR(SEARCH(CHAR(10),("x"&amp;H77))),ISERROR(SEARCH(CHAR(13),("x"&amp;H77))),IFERROR(HEX2DEC(MID(("x"&amp;H77),2,8))&gt;=0,FALSE),IFERROR(HEX2DEC(MID(("x"&amp;H77),10,8))&gt;=0,FALSE),IFERROR(HEX2DEC(MID(("x"&amp;H77),18,8))&gt;=0,FALSE),IFERROR(HEX2DEC(MID(("x"&amp;H77),26,8))&gt;=0,FALSE),IFERROR(HEX2DEC(MID(("x"&amp;H77),34,8))&gt;=0,FALSE),IFERROR(HEX2DEC(MID(("x"&amp;H77),42,8))&gt;=0,FALSE),IFERROR(HEX2DEC(MID(("x"&amp;H77),50,8))&gt;=0,FALSE),IFERROR(HEX2DEC(MID(("x"&amp;H77),58,8))&gt;=0,FALSE)),AND(ISTEXT(I77),LEN(("x"&amp;I77))=65,EXACT(("x"&amp;I77),LOWER(("x"&amp;I77))),ISERROR(SEARCH(" ",("x"&amp;I77))),ISERROR(SEARCH(CHAR(9),("x"&amp;I77))),ISERROR(SEARCH(CHAR(10),("x"&amp;I77))),ISERROR(SEARCH(CHAR(13),("x"&amp;I77))),IFERROR(HEX2DEC(MID(("x"&amp;I77),2,8))&gt;=0,FALSE),IFERROR(HEX2DEC(MID(("x"&amp;I77),10,8))&gt;=0,FALSE),IFERROR(HEX2DEC(MID(("x"&amp;I77),18,8))&gt;=0,FALSE),IFERROR(HEX2DEC(MID(("x"&amp;I77),26,8))&gt;=0,FALSE),IFERROR(HEX2DEC(MID(("x"&amp;I77),34,8))&gt;=0,FALSE),IFERROR(HEX2DEC(MID(("x"&amp;I77),42,8))&gt;=0,FALSE),IFERROR(HEX2DEC(MID(("x"&amp;I77),50,8))&gt;=0,FALSE),IFERROR(HEX2DEC(MID(("x"&amp;I77),58,8))&gt;=0,FALSE))),IF(EXACT("x"&amp;H77,"x"&amp;I77),AA77,AB77),"LEXEMA_O_FORMA"),IF(W77="PRUEBA",IF(H77=X77,AA77,IF(H77=Z77,AB77,"LEXEMA_O_FORMA")),IF(W77="RETIRADA",IF(AND(H77="NINGUNO",I77=""),IF(J77="COMPLETA",AB77,"COBERTURA_INSUFICIENTE"),IF(AND(OR(H77="uoInstallation",H77="uoUninstallation"),OR(I77="orcSucceeded",I77="orcSucceededWithErrors",I77="orcFailed",I77="orcAborted",I77="orcInProgress",I77="orcNotStarted")),IF(AND(H77=X77,I77=Y77),AA77,IF(AND(H77=X77,OR(I77="orcSucceededWithErrors",I77="orcInProgress",I77="orcNotStarted")),"RESULTADO_RETIRADA_INCIERTO",IF(J77="COMPLETA",AB77,"COBERTURA_INSUFICIENTE"))),"LEXEMA_O_FORMA")),IF(W77="CAMBIO",IF(OR(H77="CAMBIO",H77="CAMBIO_Y_RETORNO"),AA77,IF(OR(H77="NINGUNO",H77="SOLO_RENOMBRE"),IF(J77="COMPLETA",AB77,"COBERTURA_INSUFICIENTE"),"LEXEMA_O_FORMA")),IF(W77="RESTAURACION",IF(H77=X77,AA77,IF(OR(H77="NINGUNO",H77="RESTAURACION_POSTERIOR",H77="RESTAURACION_FALLIDA"),IF(J77="COMPLETA",AB77,"COBERTURA_INSUFICIENTE"),"LEXEMA_O_FORMA")),"PERFIL_NO_CONSTITUIDO"))))))))))))))))))</x:f>
        <x:v>DATO_AUSENTE</x:v>
      </x:c>
      <x:c r="R77" s="12" t="str">
        <x:f>IF(AND(L77=O77,M77=P77,N77=Q77),"PASA","NO_PASA")</x:f>
        <x:v>PASA</x:v>
      </x:c>
      <x:c r="S77" s="4" t="str">
        <x:v>Documento declara que falta la observación, sin convertir ausencia en 0.</x:v>
      </x:c>
      <x:c r="T77" s="12" t="str">
        <x:f>IFERROR(INDEX('55_Codificacion_ensayo'!$B$5:$B$13,MATCH(B77,'55_Codificacion_ensayo'!$A$5:$A$13,0)),"")</x:f>
        <x:v>COMPROBACION-CRITERIO-UNITARIO-0.1</x:v>
      </x:c>
      <x:c r="U77" s="12" t="str">
        <x:f>IFERROR(INDEX('55_Codificacion_ensayo'!$C$5:$C$13,MATCH(B77,'55_Codificacion_ensayo'!$A$5:$A$13,0)),"")</x:f>
        <x:v>INFORME_PRUEBA</x:v>
      </x:c>
      <x:c r="V77" s="12" t="str">
        <x:f>IFERROR(INDEX('55_Codificacion_ensayo'!$D$5:$D$13,MATCH(B77,'55_Codificacion_ensayo'!$A$5:$A$13,0)),"")</x:f>
        <x:v>ORACULO_UNITARIO</x:v>
      </x:c>
      <x:c r="W77" s="12" t="str">
        <x:f>IFERROR(INDEX('55_Codificacion_ensayo'!$E$5:$E$13,MATCH(B77,'55_Codificacion_ensayo'!$A$5:$A$13,0)),"")</x:f>
        <x:v>PRUEBA</x:v>
      </x:c>
      <x:c r="X77" s="12" t="str">
        <x:f>IFERROR(INDEX('55_Codificacion_ensayo'!$F$5:$F$13,MATCH(B77,'55_Codificacion_ensayo'!$A$5:$A$13,0)),"")</x:f>
        <x:v>CRITERIO_CUMPLIDO</x:v>
      </x:c>
      <x:c r="Y77" s="12" t="str">
        <x:f>IFERROR(INDEX('55_Codificacion_ensayo'!$G$5:$G$13,MATCH(B77,'55_Codificacion_ensayo'!$A$5:$A$13,0)),"")</x:f>
      </x:c>
      <x:c r="Z77" s="12" t="str">
        <x:f>IFERROR(INDEX('55_Codificacion_ensayo'!$H$5:$H$13,MATCH(B77,'55_Codificacion_ensayo'!$A$5:$A$13,0)),"")</x:f>
        <x:v>CRITERIO_NO_CUMPLIDO</x:v>
      </x:c>
      <x:c r="AA77" s="12" t="str">
        <x:f>IFERROR(INDEX('55_Codificacion_ensayo'!$I$5:$I$13,MATCH(B77,'55_Codificacion_ensayo'!$A$5:$A$13,0)),"")</x:f>
        <x:v>CRITERIO_POSITIVO</x:v>
      </x:c>
      <x:c r="AB77" s="12" t="str">
        <x:f>IFERROR(INDEX('55_Codificacion_ensayo'!$J$5:$J$13,MATCH(B77,'55_Codificacion_ensayo'!$A$5:$A$13,0)),"")</x:f>
        <x:v>CRITERIO_NEGATIVO</x:v>
      </x:c>
    </x:row>
    <x:row r="78" ht="47" customHeight="1">
      <x:c r="A78" s="4" t="str">
        <x:v>L10-07-04</x:v>
      </x:c>
      <x:c r="B78" s="4" t="str">
        <x:v>PAR-CYB-COMPROBACION-POSITIVA-001</x:v>
      </x:c>
      <x:c r="C78" s="4" t="str">
        <x:v>COMPROBACION-CRITERIO-UNITARIO-0.1</x:v>
      </x:c>
      <x:c r="D78" s="4" t="str">
        <x:v>COINCIDE</x:v>
      </x:c>
      <x:c r="E78" s="4" t="str">
        <x:v>LEGIBLE</x:v>
      </x:c>
      <x:c r="F78" s="4" t="str">
        <x:v>INFORME_PRUEBA</x:v>
      </x:c>
      <x:c r="G78" s="4" t="str">
        <x:v>CONFLICTO</x:v>
      </x:c>
      <x:c r="H78" s="4" t="str"/>
      <x:c r="I78" s="4" t="str"/>
      <x:c r="J78" s="4" t="str">
        <x:v>COMPLETA</x:v>
      </x:c>
      <x:c r="K78" s="4" t="str">
        <x:v>ORACULO_UNITARIO</x:v>
      </x:c>
      <x:c r="L78" s="4" t="str">
        <x:v>VALIDA</x:v>
      </x:c>
      <x:c r="M78" s="4" t="str">
        <x:v>U</x:v>
      </x:c>
      <x:c r="N78" s="4" t="str">
        <x:v>CONFLICTO_OBSERVACIONAL</x:v>
      </x:c>
      <x:c r="O78" s="12" t="str">
        <x:f>IF(Q78="SIN_EJECUCION_DOMINIO","FALLO_CAPTURA",IF(OR(Q78="CAPTURA_MAL_FORMADA",Q78="IDENTIDAD",Q78="OBSERVACION_MAL_FORMADA",Q78="LEXEMA_O_FORMA"),"NO_ADMISION",IF(OR(Q78="PERFIL_NO_CONSTITUIDO",Q78="RESULTADO_NO_TERMINAL"),"FUERA_PERFIL",IF(Q78="CONTEXTO_NO_CONSTITUIDO","CONFIGURACION_PENDIENTE","VALIDA"))))</x:f>
        <x:v>VALIDA</x:v>
      </x:c>
      <x:c r="P78" s="12" t="str">
        <x:f>IF(O78&lt;&gt;"VALIDA","",IF(Q78=AA78,"1",IF(Q78=AB78,"0","U")))</x:f>
        <x:v>U</x:v>
      </x:c>
      <x:c r="Q78" s="12" t="str">
        <x:f>IF(E78="FALLO","SIN_EJECUCION_DOMINIO",IF(E78&lt;&gt;"LEGIBLE","CAPTURA_MAL_FORMADA",IF(D78&lt;&gt;"COINCIDE","IDENTIDAD",IF(OR(T78="",C78&lt;&gt;T78),"PERFIL_NO_CONSTITUIDO",IF(K78&lt;&gt;V78,IF(V78="ORDEN_ACREDITADO","ORDEN_NO_ACREDITADO","CONTEXTO_NO_CONSTITUIDO"),IF(AND(G78="AUSENTE",H78="",I78=""),"DATO_AUSENTE",IF(AND(G78="CONFLICTO",H78="",I78=""),"CONFLICTO_OBSERVACIONAL",IF(G78&lt;&gt;"UNICA","OBSERVACION_MAL_FORMADA",IF(F78&lt;&gt;U78,"OBSERVACION_INSUFICIENTE",IF(W78="RESULTADO",IF(H78=X78,AA78,IF(OR(H78="orcSucceededWithErrors",H78="orcFailed",H78="orcAborted"),AB78,IF(OR(H78="orcNotStarted",H78="orcInProgress"),"RESULTADO_NO_TERMINAL","LEXEMA_O_FORMA"))),IF(W78="EVENTO_BOOT",IF(H78=X78,AA78,IF(OR(H78="NINGUNO",H78="SOLO_HIBRIDO"),IF(J78="COMPLETA",AB78,"COBERTURA_INSUFICIENTE"),"LEXEMA_O_FORMA")),IF(W78="REQUISITO_SOFT",IF(H78=X78,AA78,IF(H78=Z78,AB78,"LEXEMA_O_FORMA")),IF(W78="EVENTO_PROC",IF(H78=X78,AA78,IF(H78=Z78,IF(J78="COMPLETA",AB78,"COBERTURA_INSUFICIENTE"),"LEXEMA_O_FORMA")),IF(W78="IMAGEN",IF(AND(AND(ISTEXT(H78),LEN(("x"&amp;H78))=65,EXACT(("x"&amp;H78),LOWER(("x"&amp;H78))),ISERROR(SEARCH(" ",("x"&amp;H78))),ISERROR(SEARCH(CHAR(9),("x"&amp;H78))),ISERROR(SEARCH(CHAR(10),("x"&amp;H78))),ISERROR(SEARCH(CHAR(13),("x"&amp;H78))),IFERROR(HEX2DEC(MID(("x"&amp;H78),2,8))&gt;=0,FALSE),IFERROR(HEX2DEC(MID(("x"&amp;H78),10,8))&gt;=0,FALSE),IFERROR(HEX2DEC(MID(("x"&amp;H78),18,8))&gt;=0,FALSE),IFERROR(HEX2DEC(MID(("x"&amp;H78),26,8))&gt;=0,FALSE),IFERROR(HEX2DEC(MID(("x"&amp;H78),34,8))&gt;=0,FALSE),IFERROR(HEX2DEC(MID(("x"&amp;H78),42,8))&gt;=0,FALSE),IFERROR(HEX2DEC(MID(("x"&amp;H78),50,8))&gt;=0,FALSE),IFERROR(HEX2DEC(MID(("x"&amp;H78),58,8))&gt;=0,FALSE)),AND(ISTEXT(I78),LEN(("x"&amp;I78))=65,EXACT(("x"&amp;I78),LOWER(("x"&amp;I78))),ISERROR(SEARCH(" ",("x"&amp;I78))),ISERROR(SEARCH(CHAR(9),("x"&amp;I78))),ISERROR(SEARCH(CHAR(10),("x"&amp;I78))),ISERROR(SEARCH(CHAR(13),("x"&amp;I78))),IFERROR(HEX2DEC(MID(("x"&amp;I78),2,8))&gt;=0,FALSE),IFERROR(HEX2DEC(MID(("x"&amp;I78),10,8))&gt;=0,FALSE),IFERROR(HEX2DEC(MID(("x"&amp;I78),18,8))&gt;=0,FALSE),IFERROR(HEX2DEC(MID(("x"&amp;I78),26,8))&gt;=0,FALSE),IFERROR(HEX2DEC(MID(("x"&amp;I78),34,8))&gt;=0,FALSE),IFERROR(HEX2DEC(MID(("x"&amp;I78),42,8))&gt;=0,FALSE),IFERROR(HEX2DEC(MID(("x"&amp;I78),50,8))&gt;=0,FALSE),IFERROR(HEX2DEC(MID(("x"&amp;I78),58,8))&gt;=0,FALSE))),IF(EXACT("x"&amp;H78,"x"&amp;I78),AA78,AB78),"LEXEMA_O_FORMA"),IF(W78="PRUEBA",IF(H78=X78,AA78,IF(H78=Z78,AB78,"LEXEMA_O_FORMA")),IF(W78="RETIRADA",IF(AND(H78="NINGUNO",I78=""),IF(J78="COMPLETA",AB78,"COBERTURA_INSUFICIENTE"),IF(AND(OR(H78="uoInstallation",H78="uoUninstallation"),OR(I78="orcSucceeded",I78="orcSucceededWithErrors",I78="orcFailed",I78="orcAborted",I78="orcInProgress",I78="orcNotStarted")),IF(AND(H78=X78,I78=Y78),AA78,IF(AND(H78=X78,OR(I78="orcSucceededWithErrors",I78="orcInProgress",I78="orcNotStarted")),"RESULTADO_RETIRADA_INCIERTO",IF(J78="COMPLETA",AB78,"COBERTURA_INSUFICIENTE"))),"LEXEMA_O_FORMA")),IF(W78="CAMBIO",IF(OR(H78="CAMBIO",H78="CAMBIO_Y_RETORNO"),AA78,IF(OR(H78="NINGUNO",H78="SOLO_RENOMBRE"),IF(J78="COMPLETA",AB78,"COBERTURA_INSUFICIENTE"),"LEXEMA_O_FORMA")),IF(W78="RESTAURACION",IF(H78=X78,AA78,IF(OR(H78="NINGUNO",H78="RESTAURACION_POSTERIOR",H78="RESTAURACION_FALLIDA"),IF(J78="COMPLETA",AB78,"COBERTURA_INSUFICIENTE"),"LEXEMA_O_FORMA")),"PERFIL_NO_CONSTITUIDO"))))))))))))))))))</x:f>
        <x:v>CONFLICTO_OBSERVACIONAL</x:v>
      </x:c>
      <x:c r="R78" s="12" t="str">
        <x:f>IF(AND(L78=O78,M78=P78,N78=Q78),"PASA","NO_PASA")</x:f>
        <x:v>PASA</x:v>
      </x:c>
      <x:c r="S78" s="4" t="str">
        <x:v>Conflicto entre observaciones admitidas del mismo sujeto y corte.</x:v>
      </x:c>
      <x:c r="T78" s="12" t="str">
        <x:f>IFERROR(INDEX('55_Codificacion_ensayo'!$B$5:$B$13,MATCH(B78,'55_Codificacion_ensayo'!$A$5:$A$13,0)),"")</x:f>
        <x:v>COMPROBACION-CRITERIO-UNITARIO-0.1</x:v>
      </x:c>
      <x:c r="U78" s="12" t="str">
        <x:f>IFERROR(INDEX('55_Codificacion_ensayo'!$C$5:$C$13,MATCH(B78,'55_Codificacion_ensayo'!$A$5:$A$13,0)),"")</x:f>
        <x:v>INFORME_PRUEBA</x:v>
      </x:c>
      <x:c r="V78" s="12" t="str">
        <x:f>IFERROR(INDEX('55_Codificacion_ensayo'!$D$5:$D$13,MATCH(B78,'55_Codificacion_ensayo'!$A$5:$A$13,0)),"")</x:f>
        <x:v>ORACULO_UNITARIO</x:v>
      </x:c>
      <x:c r="W78" s="12" t="str">
        <x:f>IFERROR(INDEX('55_Codificacion_ensayo'!$E$5:$E$13,MATCH(B78,'55_Codificacion_ensayo'!$A$5:$A$13,0)),"")</x:f>
        <x:v>PRUEBA</x:v>
      </x:c>
      <x:c r="X78" s="12" t="str">
        <x:f>IFERROR(INDEX('55_Codificacion_ensayo'!$F$5:$F$13,MATCH(B78,'55_Codificacion_ensayo'!$A$5:$A$13,0)),"")</x:f>
        <x:v>CRITERIO_CUMPLIDO</x:v>
      </x:c>
      <x:c r="Y78" s="12" t="str">
        <x:f>IFERROR(INDEX('55_Codificacion_ensayo'!$G$5:$G$13,MATCH(B78,'55_Codificacion_ensayo'!$A$5:$A$13,0)),"")</x:f>
      </x:c>
      <x:c r="Z78" s="12" t="str">
        <x:f>IFERROR(INDEX('55_Codificacion_ensayo'!$H$5:$H$13,MATCH(B78,'55_Codificacion_ensayo'!$A$5:$A$13,0)),"")</x:f>
        <x:v>CRITERIO_NO_CUMPLIDO</x:v>
      </x:c>
      <x:c r="AA78" s="12" t="str">
        <x:f>IFERROR(INDEX('55_Codificacion_ensayo'!$I$5:$I$13,MATCH(B78,'55_Codificacion_ensayo'!$A$5:$A$13,0)),"")</x:f>
        <x:v>CRITERIO_POSITIVO</x:v>
      </x:c>
      <x:c r="AB78" s="12" t="str">
        <x:f>IFERROR(INDEX('55_Codificacion_ensayo'!$J$5:$J$13,MATCH(B78,'55_Codificacion_ensayo'!$A$5:$A$13,0)),"")</x:f>
        <x:v>CRITERIO_NEGATIVO</x:v>
      </x:c>
    </x:row>
    <x:row r="79" ht="47" customHeight="1">
      <x:c r="A79" s="4" t="str">
        <x:v>L10-07-05</x:v>
      </x:c>
      <x:c r="B79" s="4" t="str">
        <x:v>PAR-CYB-COMPROBACION-POSITIVA-001</x:v>
      </x:c>
      <x:c r="C79" s="4" t="str">
        <x:v>COMPROBACION-CRITERIO-UNITARIO-0.1</x:v>
      </x:c>
      <x:c r="D79" s="4" t="str">
        <x:v>COINCIDE</x:v>
      </x:c>
      <x:c r="E79" s="4" t="str">
        <x:v>FALLO</x:v>
      </x:c>
      <x:c r="F79" s="4" t="str">
        <x:v>INFORME_PRUEBA</x:v>
      </x:c>
      <x:c r="G79" s="4" t="str">
        <x:v>UNICA</x:v>
      </x:c>
      <x:c r="H79" s="4" t="str">
        <x:v>CRITERIO_CUMPLIDO</x:v>
      </x:c>
      <x:c r="I79" s="4" t="str"/>
      <x:c r="J79" s="4" t="str">
        <x:v>COMPLETA</x:v>
      </x:c>
      <x:c r="K79" s="4" t="str">
        <x:v>ORACULO_UNITARIO</x:v>
      </x:c>
      <x:c r="L79" s="4" t="str">
        <x:v>FALLO_CAPTURA</x:v>
      </x:c>
      <x:c r="M79" s="4" t="str"/>
      <x:c r="N79" s="4" t="str">
        <x:v>SIN_EJECUCION_DOMINIO</x:v>
      </x:c>
      <x:c r="O79" s="12" t="str">
        <x:f>IF(Q79="SIN_EJECUCION_DOMINIO","FALLO_CAPTURA",IF(OR(Q79="CAPTURA_MAL_FORMADA",Q79="IDENTIDAD",Q79="OBSERVACION_MAL_FORMADA",Q79="LEXEMA_O_FORMA"),"NO_ADMISION",IF(OR(Q79="PERFIL_NO_CONSTITUIDO",Q79="RESULTADO_NO_TERMINAL"),"FUERA_PERFIL",IF(Q79="CONTEXTO_NO_CONSTITUIDO","CONFIGURACION_PENDIENTE","VALIDA"))))</x:f>
        <x:v>FALLO_CAPTURA</x:v>
      </x:c>
      <x:c r="P79" s="12" t="str">
        <x:f>IF(O79&lt;&gt;"VALIDA","",IF(Q79=AA79,"1",IF(Q79=AB79,"0","U")))</x:f>
      </x:c>
      <x:c r="Q79" s="12" t="str">
        <x:f>IF(E79="FALLO","SIN_EJECUCION_DOMINIO",IF(E79&lt;&gt;"LEGIBLE","CAPTURA_MAL_FORMADA",IF(D79&lt;&gt;"COINCIDE","IDENTIDAD",IF(OR(T79="",C79&lt;&gt;T79),"PERFIL_NO_CONSTITUIDO",IF(K79&lt;&gt;V79,IF(V79="ORDEN_ACREDITADO","ORDEN_NO_ACREDITADO","CONTEXTO_NO_CONSTITUIDO"),IF(AND(G79="AUSENTE",H79="",I79=""),"DATO_AUSENTE",IF(AND(G79="CONFLICTO",H79="",I79=""),"CONFLICTO_OBSERVACIONAL",IF(G79&lt;&gt;"UNICA","OBSERVACION_MAL_FORMADA",IF(F79&lt;&gt;U79,"OBSERVACION_INSUFICIENTE",IF(W79="RESULTADO",IF(H79=X79,AA79,IF(OR(H79="orcSucceededWithErrors",H79="orcFailed",H79="orcAborted"),AB79,IF(OR(H79="orcNotStarted",H79="orcInProgress"),"RESULTADO_NO_TERMINAL","LEXEMA_O_FORMA"))),IF(W79="EVENTO_BOOT",IF(H79=X79,AA79,IF(OR(H79="NINGUNO",H79="SOLO_HIBRIDO"),IF(J79="COMPLETA",AB79,"COBERTURA_INSUFICIENTE"),"LEXEMA_O_FORMA")),IF(W79="REQUISITO_SOFT",IF(H79=X79,AA79,IF(H79=Z79,AB79,"LEXEMA_O_FORMA")),IF(W79="EVENTO_PROC",IF(H79=X79,AA79,IF(H79=Z79,IF(J79="COMPLETA",AB79,"COBERTURA_INSUFICIENTE"),"LEXEMA_O_FORMA")),IF(W79="IMAGEN",IF(AND(AND(ISTEXT(H79),LEN(("x"&amp;H79))=65,EXACT(("x"&amp;H79),LOWER(("x"&amp;H79))),ISERROR(SEARCH(" ",("x"&amp;H79))),ISERROR(SEARCH(CHAR(9),("x"&amp;H79))),ISERROR(SEARCH(CHAR(10),("x"&amp;H79))),ISERROR(SEARCH(CHAR(13),("x"&amp;H79))),IFERROR(HEX2DEC(MID(("x"&amp;H79),2,8))&gt;=0,FALSE),IFERROR(HEX2DEC(MID(("x"&amp;H79),10,8))&gt;=0,FALSE),IFERROR(HEX2DEC(MID(("x"&amp;H79),18,8))&gt;=0,FALSE),IFERROR(HEX2DEC(MID(("x"&amp;H79),26,8))&gt;=0,FALSE),IFERROR(HEX2DEC(MID(("x"&amp;H79),34,8))&gt;=0,FALSE),IFERROR(HEX2DEC(MID(("x"&amp;H79),42,8))&gt;=0,FALSE),IFERROR(HEX2DEC(MID(("x"&amp;H79),50,8))&gt;=0,FALSE),IFERROR(HEX2DEC(MID(("x"&amp;H79),58,8))&gt;=0,FALSE)),AND(ISTEXT(I79),LEN(("x"&amp;I79))=65,EXACT(("x"&amp;I79),LOWER(("x"&amp;I79))),ISERROR(SEARCH(" ",("x"&amp;I79))),ISERROR(SEARCH(CHAR(9),("x"&amp;I79))),ISERROR(SEARCH(CHAR(10),("x"&amp;I79))),ISERROR(SEARCH(CHAR(13),("x"&amp;I79))),IFERROR(HEX2DEC(MID(("x"&amp;I79),2,8))&gt;=0,FALSE),IFERROR(HEX2DEC(MID(("x"&amp;I79),10,8))&gt;=0,FALSE),IFERROR(HEX2DEC(MID(("x"&amp;I79),18,8))&gt;=0,FALSE),IFERROR(HEX2DEC(MID(("x"&amp;I79),26,8))&gt;=0,FALSE),IFERROR(HEX2DEC(MID(("x"&amp;I79),34,8))&gt;=0,FALSE),IFERROR(HEX2DEC(MID(("x"&amp;I79),42,8))&gt;=0,FALSE),IFERROR(HEX2DEC(MID(("x"&amp;I79),50,8))&gt;=0,FALSE),IFERROR(HEX2DEC(MID(("x"&amp;I79),58,8))&gt;=0,FALSE))),IF(EXACT("x"&amp;H79,"x"&amp;I79),AA79,AB79),"LEXEMA_O_FORMA"),IF(W79="PRUEBA",IF(H79=X79,AA79,IF(H79=Z79,AB79,"LEXEMA_O_FORMA")),IF(W79="RETIRADA",IF(AND(H79="NINGUNO",I79=""),IF(J79="COMPLETA",AB79,"COBERTURA_INSUFICIENTE"),IF(AND(OR(H79="uoInstallation",H79="uoUninstallation"),OR(I79="orcSucceeded",I79="orcSucceededWithErrors",I79="orcFailed",I79="orcAborted",I79="orcInProgress",I79="orcNotStarted")),IF(AND(H79=X79,I79=Y79),AA79,IF(AND(H79=X79,OR(I79="orcSucceededWithErrors",I79="orcInProgress",I79="orcNotStarted")),"RESULTADO_RETIRADA_INCIERTO",IF(J79="COMPLETA",AB79,"COBERTURA_INSUFICIENTE"))),"LEXEMA_O_FORMA")),IF(W79="CAMBIO",IF(OR(H79="CAMBIO",H79="CAMBIO_Y_RETORNO"),AA79,IF(OR(H79="NINGUNO",H79="SOLO_RENOMBRE"),IF(J79="COMPLETA",AB79,"COBERTURA_INSUFICIENTE"),"LEXEMA_O_FORMA")),IF(W79="RESTAURACION",IF(H79=X79,AA79,IF(OR(H79="NINGUNO",H79="RESTAURACION_POSTERIOR",H79="RESTAURACION_FALLIDA"),IF(J79="COMPLETA",AB79,"COBERTURA_INSUFICIENTE"),"LEXEMA_O_FORMA")),"PERFIL_NO_CONSTITUIDO"))))))))))))))))))</x:f>
        <x:v>SIN_EJECUCION_DOMINIO</x:v>
      </x:c>
      <x:c r="R79" s="12" t="str">
        <x:f>IF(AND(L79=O79,M79=P79,N79=Q79),"PASA","NO_PASA")</x:f>
        <x:v>PASA</x:v>
      </x:c>
      <x:c r="S79" s="4" t="str">
        <x:v>El observador falla; no existe ejecución de dominio ni Tri alternativo.</x:v>
      </x:c>
      <x:c r="T79" s="12" t="str">
        <x:f>IFERROR(INDEX('55_Codificacion_ensayo'!$B$5:$B$13,MATCH(B79,'55_Codificacion_ensayo'!$A$5:$A$13,0)),"")</x:f>
        <x:v>COMPROBACION-CRITERIO-UNITARIO-0.1</x:v>
      </x:c>
      <x:c r="U79" s="12" t="str">
        <x:f>IFERROR(INDEX('55_Codificacion_ensayo'!$C$5:$C$13,MATCH(B79,'55_Codificacion_ensayo'!$A$5:$A$13,0)),"")</x:f>
        <x:v>INFORME_PRUEBA</x:v>
      </x:c>
      <x:c r="V79" s="12" t="str">
        <x:f>IFERROR(INDEX('55_Codificacion_ensayo'!$D$5:$D$13,MATCH(B79,'55_Codificacion_ensayo'!$A$5:$A$13,0)),"")</x:f>
        <x:v>ORACULO_UNITARIO</x:v>
      </x:c>
      <x:c r="W79" s="12" t="str">
        <x:f>IFERROR(INDEX('55_Codificacion_ensayo'!$E$5:$E$13,MATCH(B79,'55_Codificacion_ensayo'!$A$5:$A$13,0)),"")</x:f>
        <x:v>PRUEBA</x:v>
      </x:c>
      <x:c r="X79" s="12" t="str">
        <x:f>IFERROR(INDEX('55_Codificacion_ensayo'!$F$5:$F$13,MATCH(B79,'55_Codificacion_ensayo'!$A$5:$A$13,0)),"")</x:f>
        <x:v>CRITERIO_CUMPLIDO</x:v>
      </x:c>
      <x:c r="Y79" s="12" t="str">
        <x:f>IFERROR(INDEX('55_Codificacion_ensayo'!$G$5:$G$13,MATCH(B79,'55_Codificacion_ensayo'!$A$5:$A$13,0)),"")</x:f>
      </x:c>
      <x:c r="Z79" s="12" t="str">
        <x:f>IFERROR(INDEX('55_Codificacion_ensayo'!$H$5:$H$13,MATCH(B79,'55_Codificacion_ensayo'!$A$5:$A$13,0)),"")</x:f>
        <x:v>CRITERIO_NO_CUMPLIDO</x:v>
      </x:c>
      <x:c r="AA79" s="12" t="str">
        <x:f>IFERROR(INDEX('55_Codificacion_ensayo'!$I$5:$I$13,MATCH(B79,'55_Codificacion_ensayo'!$A$5:$A$13,0)),"")</x:f>
        <x:v>CRITERIO_POSITIVO</x:v>
      </x:c>
      <x:c r="AB79" s="12" t="str">
        <x:f>IFERROR(INDEX('55_Codificacion_ensayo'!$J$5:$J$13,MATCH(B79,'55_Codificacion_ensayo'!$A$5:$A$13,0)),"")</x:f>
        <x:v>CRITERIO_NEGATIVO</x:v>
      </x:c>
    </x:row>
    <x:row r="80" ht="47" customHeight="1">
      <x:c r="A80" s="4" t="str">
        <x:v>L10-07-06</x:v>
      </x:c>
      <x:c r="B80" s="4" t="str">
        <x:v>PAR-CYB-COMPROBACION-POSITIVA-001</x:v>
      </x:c>
      <x:c r="C80" s="4" t="str">
        <x:v>COMPROBACION-CRITERIO-UNITARIO-0.1</x:v>
      </x:c>
      <x:c r="D80" s="4" t="str">
        <x:v>OTRO</x:v>
      </x:c>
      <x:c r="E80" s="4" t="str">
        <x:v>LEGIBLE</x:v>
      </x:c>
      <x:c r="F80" s="4" t="str">
        <x:v>INFORME_PRUEBA</x:v>
      </x:c>
      <x:c r="G80" s="4" t="str">
        <x:v>UNICA</x:v>
      </x:c>
      <x:c r="H80" s="4" t="str">
        <x:v>CRITERIO_CUMPLIDO</x:v>
      </x:c>
      <x:c r="I80" s="4" t="str"/>
      <x:c r="J80" s="4" t="str">
        <x:v>COMPLETA</x:v>
      </x:c>
      <x:c r="K80" s="4" t="str">
        <x:v>ORACULO_UNITARIO</x:v>
      </x:c>
      <x:c r="L80" s="4" t="str">
        <x:v>NO_ADMISION</x:v>
      </x:c>
      <x:c r="M80" s="4" t="str"/>
      <x:c r="N80" s="4" t="str">
        <x:v>IDENTIDAD</x:v>
      </x:c>
      <x:c r="O80" s="12" t="str">
        <x:f>IF(Q80="SIN_EJECUCION_DOMINIO","FALLO_CAPTURA",IF(OR(Q80="CAPTURA_MAL_FORMADA",Q80="IDENTIDAD",Q80="OBSERVACION_MAL_FORMADA",Q80="LEXEMA_O_FORMA"),"NO_ADMISION",IF(OR(Q80="PERFIL_NO_CONSTITUIDO",Q80="RESULTADO_NO_TERMINAL"),"FUERA_PERFIL",IF(Q80="CONTEXTO_NO_CONSTITUIDO","CONFIGURACION_PENDIENTE","VALIDA"))))</x:f>
        <x:v>NO_ADMISION</x:v>
      </x:c>
      <x:c r="P80" s="12" t="str">
        <x:f>IF(O80&lt;&gt;"VALIDA","",IF(Q80=AA80,"1",IF(Q80=AB80,"0","U")))</x:f>
      </x:c>
      <x:c r="Q80" s="12" t="str">
        <x:f>IF(E80="FALLO","SIN_EJECUCION_DOMINIO",IF(E80&lt;&gt;"LEGIBLE","CAPTURA_MAL_FORMADA",IF(D80&lt;&gt;"COINCIDE","IDENTIDAD",IF(OR(T80="",C80&lt;&gt;T80),"PERFIL_NO_CONSTITUIDO",IF(K80&lt;&gt;V80,IF(V80="ORDEN_ACREDITADO","ORDEN_NO_ACREDITADO","CONTEXTO_NO_CONSTITUIDO"),IF(AND(G80="AUSENTE",H80="",I80=""),"DATO_AUSENTE",IF(AND(G80="CONFLICTO",H80="",I80=""),"CONFLICTO_OBSERVACIONAL",IF(G80&lt;&gt;"UNICA","OBSERVACION_MAL_FORMADA",IF(F80&lt;&gt;U80,"OBSERVACION_INSUFICIENTE",IF(W80="RESULTADO",IF(H80=X80,AA80,IF(OR(H80="orcSucceededWithErrors",H80="orcFailed",H80="orcAborted"),AB80,IF(OR(H80="orcNotStarted",H80="orcInProgress"),"RESULTADO_NO_TERMINAL","LEXEMA_O_FORMA"))),IF(W80="EVENTO_BOOT",IF(H80=X80,AA80,IF(OR(H80="NINGUNO",H80="SOLO_HIBRIDO"),IF(J80="COMPLETA",AB80,"COBERTURA_INSUFICIENTE"),"LEXEMA_O_FORMA")),IF(W80="REQUISITO_SOFT",IF(H80=X80,AA80,IF(H80=Z80,AB80,"LEXEMA_O_FORMA")),IF(W80="EVENTO_PROC",IF(H80=X80,AA80,IF(H80=Z80,IF(J80="COMPLETA",AB80,"COBERTURA_INSUFICIENTE"),"LEXEMA_O_FORMA")),IF(W80="IMAGEN",IF(AND(AND(ISTEXT(H80),LEN(("x"&amp;H80))=65,EXACT(("x"&amp;H80),LOWER(("x"&amp;H80))),ISERROR(SEARCH(" ",("x"&amp;H80))),ISERROR(SEARCH(CHAR(9),("x"&amp;H80))),ISERROR(SEARCH(CHAR(10),("x"&amp;H80))),ISERROR(SEARCH(CHAR(13),("x"&amp;H80))),IFERROR(HEX2DEC(MID(("x"&amp;H80),2,8))&gt;=0,FALSE),IFERROR(HEX2DEC(MID(("x"&amp;H80),10,8))&gt;=0,FALSE),IFERROR(HEX2DEC(MID(("x"&amp;H80),18,8))&gt;=0,FALSE),IFERROR(HEX2DEC(MID(("x"&amp;H80),26,8))&gt;=0,FALSE),IFERROR(HEX2DEC(MID(("x"&amp;H80),34,8))&gt;=0,FALSE),IFERROR(HEX2DEC(MID(("x"&amp;H80),42,8))&gt;=0,FALSE),IFERROR(HEX2DEC(MID(("x"&amp;H80),50,8))&gt;=0,FALSE),IFERROR(HEX2DEC(MID(("x"&amp;H80),58,8))&gt;=0,FALSE)),AND(ISTEXT(I80),LEN(("x"&amp;I80))=65,EXACT(("x"&amp;I80),LOWER(("x"&amp;I80))),ISERROR(SEARCH(" ",("x"&amp;I80))),ISERROR(SEARCH(CHAR(9),("x"&amp;I80))),ISERROR(SEARCH(CHAR(10),("x"&amp;I80))),ISERROR(SEARCH(CHAR(13),("x"&amp;I80))),IFERROR(HEX2DEC(MID(("x"&amp;I80),2,8))&gt;=0,FALSE),IFERROR(HEX2DEC(MID(("x"&amp;I80),10,8))&gt;=0,FALSE),IFERROR(HEX2DEC(MID(("x"&amp;I80),18,8))&gt;=0,FALSE),IFERROR(HEX2DEC(MID(("x"&amp;I80),26,8))&gt;=0,FALSE),IFERROR(HEX2DEC(MID(("x"&amp;I80),34,8))&gt;=0,FALSE),IFERROR(HEX2DEC(MID(("x"&amp;I80),42,8))&gt;=0,FALSE),IFERROR(HEX2DEC(MID(("x"&amp;I80),50,8))&gt;=0,FALSE),IFERROR(HEX2DEC(MID(("x"&amp;I80),58,8))&gt;=0,FALSE))),IF(EXACT("x"&amp;H80,"x"&amp;I80),AA80,AB80),"LEXEMA_O_FORMA"),IF(W80="PRUEBA",IF(H80=X80,AA80,IF(H80=Z80,AB80,"LEXEMA_O_FORMA")),IF(W80="RETIRADA",IF(AND(H80="NINGUNO",I80=""),IF(J80="COMPLETA",AB80,"COBERTURA_INSUFICIENTE"),IF(AND(OR(H80="uoInstallation",H80="uoUninstallation"),OR(I80="orcSucceeded",I80="orcSucceededWithErrors",I80="orcFailed",I80="orcAborted",I80="orcInProgress",I80="orcNotStarted")),IF(AND(H80=X80,I80=Y80),AA80,IF(AND(H80=X80,OR(I80="orcSucceededWithErrors",I80="orcInProgress",I80="orcNotStarted")),"RESULTADO_RETIRADA_INCIERTO",IF(J80="COMPLETA",AB80,"COBERTURA_INSUFICIENTE"))),"LEXEMA_O_FORMA")),IF(W80="CAMBIO",IF(OR(H80="CAMBIO",H80="CAMBIO_Y_RETORNO"),AA80,IF(OR(H80="NINGUNO",H80="SOLO_RENOMBRE"),IF(J80="COMPLETA",AB80,"COBERTURA_INSUFICIENTE"),"LEXEMA_O_FORMA")),IF(W80="RESTAURACION",IF(H80=X80,AA80,IF(OR(H80="NINGUNO",H80="RESTAURACION_POSTERIOR",H80="RESTAURACION_FALLIDA"),IF(J80="COMPLETA",AB80,"COBERTURA_INSUFICIENTE"),"LEXEMA_O_FORMA")),"PERFIL_NO_CONSTITUIDO"))))))))))))))))))</x:f>
        <x:v>IDENTIDAD</x:v>
      </x:c>
      <x:c r="R80" s="12" t="str">
        <x:f>IF(AND(L80=O80,M80=P80,N80=Q80),"PASA","NO_PASA")</x:f>
        <x:v>PASA</x:v>
      </x:c>
      <x:c r="S80" s="4" t="str">
        <x:v>El testigo pertenece a otro sujeto; no se recicla su dato.</x:v>
      </x:c>
      <x:c r="T80" s="12" t="str">
        <x:f>IFERROR(INDEX('55_Codificacion_ensayo'!$B$5:$B$13,MATCH(B80,'55_Codificacion_ensayo'!$A$5:$A$13,0)),"")</x:f>
        <x:v>COMPROBACION-CRITERIO-UNITARIO-0.1</x:v>
      </x:c>
      <x:c r="U80" s="12" t="str">
        <x:f>IFERROR(INDEX('55_Codificacion_ensayo'!$C$5:$C$13,MATCH(B80,'55_Codificacion_ensayo'!$A$5:$A$13,0)),"")</x:f>
        <x:v>INFORME_PRUEBA</x:v>
      </x:c>
      <x:c r="V80" s="12" t="str">
        <x:f>IFERROR(INDEX('55_Codificacion_ensayo'!$D$5:$D$13,MATCH(B80,'55_Codificacion_ensayo'!$A$5:$A$13,0)),"")</x:f>
        <x:v>ORACULO_UNITARIO</x:v>
      </x:c>
      <x:c r="W80" s="12" t="str">
        <x:f>IFERROR(INDEX('55_Codificacion_ensayo'!$E$5:$E$13,MATCH(B80,'55_Codificacion_ensayo'!$A$5:$A$13,0)),"")</x:f>
        <x:v>PRUEBA</x:v>
      </x:c>
      <x:c r="X80" s="12" t="str">
        <x:f>IFERROR(INDEX('55_Codificacion_ensayo'!$F$5:$F$13,MATCH(B80,'55_Codificacion_ensayo'!$A$5:$A$13,0)),"")</x:f>
        <x:v>CRITERIO_CUMPLIDO</x:v>
      </x:c>
      <x:c r="Y80" s="12" t="str">
        <x:f>IFERROR(INDEX('55_Codificacion_ensayo'!$G$5:$G$13,MATCH(B80,'55_Codificacion_ensayo'!$A$5:$A$13,0)),"")</x:f>
      </x:c>
      <x:c r="Z80" s="12" t="str">
        <x:f>IFERROR(INDEX('55_Codificacion_ensayo'!$H$5:$H$13,MATCH(B80,'55_Codificacion_ensayo'!$A$5:$A$13,0)),"")</x:f>
        <x:v>CRITERIO_NO_CUMPLIDO</x:v>
      </x:c>
      <x:c r="AA80" s="12" t="str">
        <x:f>IFERROR(INDEX('55_Codificacion_ensayo'!$I$5:$I$13,MATCH(B80,'55_Codificacion_ensayo'!$A$5:$A$13,0)),"")</x:f>
        <x:v>CRITERIO_POSITIVO</x:v>
      </x:c>
      <x:c r="AB80" s="12" t="str">
        <x:f>IFERROR(INDEX('55_Codificacion_ensayo'!$J$5:$J$13,MATCH(B80,'55_Codificacion_ensayo'!$A$5:$A$13,0)),"")</x:f>
        <x:v>CRITERIO_NEGATIVO</x:v>
      </x:c>
    </x:row>
    <x:row r="81" ht="47" customHeight="1">
      <x:c r="A81" s="4" t="str">
        <x:v>L10-07-07</x:v>
      </x:c>
      <x:c r="B81" s="4" t="str">
        <x:v>PAR-CYB-COMPROBACION-POSITIVA-001</x:v>
      </x:c>
      <x:c r="C81" s="4" t="str">
        <x:v>COMPROBACION-CRITERIO-UNITARIO-0.1</x:v>
      </x:c>
      <x:c r="D81" s="4" t="str">
        <x:v>COINCIDE</x:v>
      </x:c>
      <x:c r="E81" s="4" t="str">
        <x:v>LEGIBLE</x:v>
      </x:c>
      <x:c r="F81" s="4" t="str">
        <x:v>FUENTE_GENERAL</x:v>
      </x:c>
      <x:c r="G81" s="4" t="str">
        <x:v>UNICA</x:v>
      </x:c>
      <x:c r="H81" s="4" t="str">
        <x:v>CRITERIO_CUMPLIDO</x:v>
      </x:c>
      <x:c r="I81" s="4" t="str"/>
      <x:c r="J81" s="4" t="str">
        <x:v>COMPLETA</x:v>
      </x:c>
      <x:c r="K81" s="4" t="str">
        <x:v>ORACULO_UNITARIO</x:v>
      </x:c>
      <x:c r="L81" s="4" t="str">
        <x:v>VALIDA</x:v>
      </x:c>
      <x:c r="M81" s="4" t="str">
        <x:v>U</x:v>
      </x:c>
      <x:c r="N81" s="4" t="str">
        <x:v>OBSERVACION_INSUFICIENTE</x:v>
      </x:c>
      <x:c r="O81" s="12" t="str">
        <x:f>IF(Q81="SIN_EJECUCION_DOMINIO","FALLO_CAPTURA",IF(OR(Q81="CAPTURA_MAL_FORMADA",Q81="IDENTIDAD",Q81="OBSERVACION_MAL_FORMADA",Q81="LEXEMA_O_FORMA"),"NO_ADMISION",IF(OR(Q81="PERFIL_NO_CONSTITUIDO",Q81="RESULTADO_NO_TERMINAL"),"FUERA_PERFIL",IF(Q81="CONTEXTO_NO_CONSTITUIDO","CONFIGURACION_PENDIENTE","VALIDA"))))</x:f>
        <x:v>VALIDA</x:v>
      </x:c>
      <x:c r="P81" s="12" t="str">
        <x:f>IF(O81&lt;&gt;"VALIDA","",IF(Q81=AA81,"1",IF(Q81=AB81,"0","U")))</x:f>
        <x:v>U</x:v>
      </x:c>
      <x:c r="Q81" s="12" t="str">
        <x:f>IF(E81="FALLO","SIN_EJECUCION_DOMINIO",IF(E81&lt;&gt;"LEGIBLE","CAPTURA_MAL_FORMADA",IF(D81&lt;&gt;"COINCIDE","IDENTIDAD",IF(OR(T81="",C81&lt;&gt;T81),"PERFIL_NO_CONSTITUIDO",IF(K81&lt;&gt;V81,IF(V81="ORDEN_ACREDITADO","ORDEN_NO_ACREDITADO","CONTEXTO_NO_CONSTITUIDO"),IF(AND(G81="AUSENTE",H81="",I81=""),"DATO_AUSENTE",IF(AND(G81="CONFLICTO",H81="",I81=""),"CONFLICTO_OBSERVACIONAL",IF(G81&lt;&gt;"UNICA","OBSERVACION_MAL_FORMADA",IF(F81&lt;&gt;U81,"OBSERVACION_INSUFICIENTE",IF(W81="RESULTADO",IF(H81=X81,AA81,IF(OR(H81="orcSucceededWithErrors",H81="orcFailed",H81="orcAborted"),AB81,IF(OR(H81="orcNotStarted",H81="orcInProgress"),"RESULTADO_NO_TERMINAL","LEXEMA_O_FORMA"))),IF(W81="EVENTO_BOOT",IF(H81=X81,AA81,IF(OR(H81="NINGUNO",H81="SOLO_HIBRIDO"),IF(J81="COMPLETA",AB81,"COBERTURA_INSUFICIENTE"),"LEXEMA_O_FORMA")),IF(W81="REQUISITO_SOFT",IF(H81=X81,AA81,IF(H81=Z81,AB81,"LEXEMA_O_FORMA")),IF(W81="EVENTO_PROC",IF(H81=X81,AA81,IF(H81=Z81,IF(J81="COMPLETA",AB81,"COBERTURA_INSUFICIENTE"),"LEXEMA_O_FORMA")),IF(W81="IMAGEN",IF(AND(AND(ISTEXT(H81),LEN(("x"&amp;H81))=65,EXACT(("x"&amp;H81),LOWER(("x"&amp;H81))),ISERROR(SEARCH(" ",("x"&amp;H81))),ISERROR(SEARCH(CHAR(9),("x"&amp;H81))),ISERROR(SEARCH(CHAR(10),("x"&amp;H81))),ISERROR(SEARCH(CHAR(13),("x"&amp;H81))),IFERROR(HEX2DEC(MID(("x"&amp;H81),2,8))&gt;=0,FALSE),IFERROR(HEX2DEC(MID(("x"&amp;H81),10,8))&gt;=0,FALSE),IFERROR(HEX2DEC(MID(("x"&amp;H81),18,8))&gt;=0,FALSE),IFERROR(HEX2DEC(MID(("x"&amp;H81),26,8))&gt;=0,FALSE),IFERROR(HEX2DEC(MID(("x"&amp;H81),34,8))&gt;=0,FALSE),IFERROR(HEX2DEC(MID(("x"&amp;H81),42,8))&gt;=0,FALSE),IFERROR(HEX2DEC(MID(("x"&amp;H81),50,8))&gt;=0,FALSE),IFERROR(HEX2DEC(MID(("x"&amp;H81),58,8))&gt;=0,FALSE)),AND(ISTEXT(I81),LEN(("x"&amp;I81))=65,EXACT(("x"&amp;I81),LOWER(("x"&amp;I81))),ISERROR(SEARCH(" ",("x"&amp;I81))),ISERROR(SEARCH(CHAR(9),("x"&amp;I81))),ISERROR(SEARCH(CHAR(10),("x"&amp;I81))),ISERROR(SEARCH(CHAR(13),("x"&amp;I81))),IFERROR(HEX2DEC(MID(("x"&amp;I81),2,8))&gt;=0,FALSE),IFERROR(HEX2DEC(MID(("x"&amp;I81),10,8))&gt;=0,FALSE),IFERROR(HEX2DEC(MID(("x"&amp;I81),18,8))&gt;=0,FALSE),IFERROR(HEX2DEC(MID(("x"&amp;I81),26,8))&gt;=0,FALSE),IFERROR(HEX2DEC(MID(("x"&amp;I81),34,8))&gt;=0,FALSE),IFERROR(HEX2DEC(MID(("x"&amp;I81),42,8))&gt;=0,FALSE),IFERROR(HEX2DEC(MID(("x"&amp;I81),50,8))&gt;=0,FALSE),IFERROR(HEX2DEC(MID(("x"&amp;I81),58,8))&gt;=0,FALSE))),IF(EXACT("x"&amp;H81,"x"&amp;I81),AA81,AB81),"LEXEMA_O_FORMA"),IF(W81="PRUEBA",IF(H81=X81,AA81,IF(H81=Z81,AB81,"LEXEMA_O_FORMA")),IF(W81="RETIRADA",IF(AND(H81="NINGUNO",I81=""),IF(J81="COMPLETA",AB81,"COBERTURA_INSUFICIENTE"),IF(AND(OR(H81="uoInstallation",H81="uoUninstallation"),OR(I81="orcSucceeded",I81="orcSucceededWithErrors",I81="orcFailed",I81="orcAborted",I81="orcInProgress",I81="orcNotStarted")),IF(AND(H81=X81,I81=Y81),AA81,IF(AND(H81=X81,OR(I81="orcSucceededWithErrors",I81="orcInProgress",I81="orcNotStarted")),"RESULTADO_RETIRADA_INCIERTO",IF(J81="COMPLETA",AB81,"COBERTURA_INSUFICIENTE"))),"LEXEMA_O_FORMA")),IF(W81="CAMBIO",IF(OR(H81="CAMBIO",H81="CAMBIO_Y_RETORNO"),AA81,IF(OR(H81="NINGUNO",H81="SOLO_RENOMBRE"),IF(J81="COMPLETA",AB81,"COBERTURA_INSUFICIENTE"),"LEXEMA_O_FORMA")),IF(W81="RESTAURACION",IF(H81=X81,AA81,IF(OR(H81="NINGUNO",H81="RESTAURACION_POSTERIOR",H81="RESTAURACION_FALLIDA"),IF(J81="COMPLETA",AB81,"COBERTURA_INSUFICIENTE"),"LEXEMA_O_FORMA")),"PERFIL_NO_CONSTITUIDO"))))))))))))))))))</x:f>
        <x:v>OBSERVACION_INSUFICIENTE</x:v>
      </x:c>
      <x:c r="R81" s="12" t="str">
        <x:f>IF(AND(L81=O81,M81=P81,N81=Q81),"PASA","NO_PASA")</x:f>
        <x:v>PASA</x:v>
      </x:c>
      <x:c r="S81" s="4" t="str">
        <x:v>Una fuente del dominio no sustituye la observación específica del episodio.</x:v>
      </x:c>
      <x:c r="T81" s="12" t="str">
        <x:f>IFERROR(INDEX('55_Codificacion_ensayo'!$B$5:$B$13,MATCH(B81,'55_Codificacion_ensayo'!$A$5:$A$13,0)),"")</x:f>
        <x:v>COMPROBACION-CRITERIO-UNITARIO-0.1</x:v>
      </x:c>
      <x:c r="U81" s="12" t="str">
        <x:f>IFERROR(INDEX('55_Codificacion_ensayo'!$C$5:$C$13,MATCH(B81,'55_Codificacion_ensayo'!$A$5:$A$13,0)),"")</x:f>
        <x:v>INFORME_PRUEBA</x:v>
      </x:c>
      <x:c r="V81" s="12" t="str">
        <x:f>IFERROR(INDEX('55_Codificacion_ensayo'!$D$5:$D$13,MATCH(B81,'55_Codificacion_ensayo'!$A$5:$A$13,0)),"")</x:f>
        <x:v>ORACULO_UNITARIO</x:v>
      </x:c>
      <x:c r="W81" s="12" t="str">
        <x:f>IFERROR(INDEX('55_Codificacion_ensayo'!$E$5:$E$13,MATCH(B81,'55_Codificacion_ensayo'!$A$5:$A$13,0)),"")</x:f>
        <x:v>PRUEBA</x:v>
      </x:c>
      <x:c r="X81" s="12" t="str">
        <x:f>IFERROR(INDEX('55_Codificacion_ensayo'!$F$5:$F$13,MATCH(B81,'55_Codificacion_ensayo'!$A$5:$A$13,0)),"")</x:f>
        <x:v>CRITERIO_CUMPLIDO</x:v>
      </x:c>
      <x:c r="Y81" s="12" t="str">
        <x:f>IFERROR(INDEX('55_Codificacion_ensayo'!$G$5:$G$13,MATCH(B81,'55_Codificacion_ensayo'!$A$5:$A$13,0)),"")</x:f>
      </x:c>
      <x:c r="Z81" s="12" t="str">
        <x:f>IFERROR(INDEX('55_Codificacion_ensayo'!$H$5:$H$13,MATCH(B81,'55_Codificacion_ensayo'!$A$5:$A$13,0)),"")</x:f>
        <x:v>CRITERIO_NO_CUMPLIDO</x:v>
      </x:c>
      <x:c r="AA81" s="12" t="str">
        <x:f>IFERROR(INDEX('55_Codificacion_ensayo'!$I$5:$I$13,MATCH(B81,'55_Codificacion_ensayo'!$A$5:$A$13,0)),"")</x:f>
        <x:v>CRITERIO_POSITIVO</x:v>
      </x:c>
      <x:c r="AB81" s="12" t="str">
        <x:f>IFERROR(INDEX('55_Codificacion_ensayo'!$J$5:$J$13,MATCH(B81,'55_Codificacion_ensayo'!$A$5:$A$13,0)),"")</x:f>
        <x:v>CRITERIO_NEGATIVO</x:v>
      </x:c>
    </x:row>
    <x:row r="82" ht="47" customHeight="1">
      <x:c r="A82" s="4" t="str">
        <x:v>L10-07-08</x:v>
      </x:c>
      <x:c r="B82" s="4" t="str">
        <x:v>PAR-CYB-COMPROBACION-POSITIVA-001</x:v>
      </x:c>
      <x:c r="C82" s="4" t="str">
        <x:v>OTRO_PERFIL</x:v>
      </x:c>
      <x:c r="D82" s="4" t="str">
        <x:v>COINCIDE</x:v>
      </x:c>
      <x:c r="E82" s="4" t="str">
        <x:v>LEGIBLE</x:v>
      </x:c>
      <x:c r="F82" s="4" t="str">
        <x:v>INFORME_PRUEBA</x:v>
      </x:c>
      <x:c r="G82" s="4" t="str">
        <x:v>UNICA</x:v>
      </x:c>
      <x:c r="H82" s="4" t="str">
        <x:v>CRITERIO_CUMPLIDO</x:v>
      </x:c>
      <x:c r="I82" s="4" t="str"/>
      <x:c r="J82" s="4" t="str">
        <x:v>COMPLETA</x:v>
      </x:c>
      <x:c r="K82" s="4" t="str">
        <x:v>ORACULO_UNITARIO</x:v>
      </x:c>
      <x:c r="L82" s="4" t="str">
        <x:v>FUERA_PERFIL</x:v>
      </x:c>
      <x:c r="M82" s="4" t="str"/>
      <x:c r="N82" s="4" t="str">
        <x:v>PERFIL_NO_CONSTITUIDO</x:v>
      </x:c>
      <x:c r="O82" s="12" t="str">
        <x:f>IF(Q82="SIN_EJECUCION_DOMINIO","FALLO_CAPTURA",IF(OR(Q82="CAPTURA_MAL_FORMADA",Q82="IDENTIDAD",Q82="OBSERVACION_MAL_FORMADA",Q82="LEXEMA_O_FORMA"),"NO_ADMISION",IF(OR(Q82="PERFIL_NO_CONSTITUIDO",Q82="RESULTADO_NO_TERMINAL"),"FUERA_PERFIL",IF(Q82="CONTEXTO_NO_CONSTITUIDO","CONFIGURACION_PENDIENTE","VALIDA"))))</x:f>
        <x:v>FUERA_PERFIL</x:v>
      </x:c>
      <x:c r="P82" s="12" t="str">
        <x:f>IF(O82&lt;&gt;"VALIDA","",IF(Q82=AA82,"1",IF(Q82=AB82,"0","U")))</x:f>
      </x:c>
      <x:c r="Q82" s="12" t="str">
        <x:f>IF(E82="FALLO","SIN_EJECUCION_DOMINIO",IF(E82&lt;&gt;"LEGIBLE","CAPTURA_MAL_FORMADA",IF(D82&lt;&gt;"COINCIDE","IDENTIDAD",IF(OR(T82="",C82&lt;&gt;T82),"PERFIL_NO_CONSTITUIDO",IF(K82&lt;&gt;V82,IF(V82="ORDEN_ACREDITADO","ORDEN_NO_ACREDITADO","CONTEXTO_NO_CONSTITUIDO"),IF(AND(G82="AUSENTE",H82="",I82=""),"DATO_AUSENTE",IF(AND(G82="CONFLICTO",H82="",I82=""),"CONFLICTO_OBSERVACIONAL",IF(G82&lt;&gt;"UNICA","OBSERVACION_MAL_FORMADA",IF(F82&lt;&gt;U82,"OBSERVACION_INSUFICIENTE",IF(W82="RESULTADO",IF(H82=X82,AA82,IF(OR(H82="orcSucceededWithErrors",H82="orcFailed",H82="orcAborted"),AB82,IF(OR(H82="orcNotStarted",H82="orcInProgress"),"RESULTADO_NO_TERMINAL","LEXEMA_O_FORMA"))),IF(W82="EVENTO_BOOT",IF(H82=X82,AA82,IF(OR(H82="NINGUNO",H82="SOLO_HIBRIDO"),IF(J82="COMPLETA",AB82,"COBERTURA_INSUFICIENTE"),"LEXEMA_O_FORMA")),IF(W82="REQUISITO_SOFT",IF(H82=X82,AA82,IF(H82=Z82,AB82,"LEXEMA_O_FORMA")),IF(W82="EVENTO_PROC",IF(H82=X82,AA82,IF(H82=Z82,IF(J82="COMPLETA",AB82,"COBERTURA_INSUFICIENTE"),"LEXEMA_O_FORMA")),IF(W82="IMAGEN",IF(AND(AND(ISTEXT(H82),LEN(("x"&amp;H82))=65,EXACT(("x"&amp;H82),LOWER(("x"&amp;H82))),ISERROR(SEARCH(" ",("x"&amp;H82))),ISERROR(SEARCH(CHAR(9),("x"&amp;H82))),ISERROR(SEARCH(CHAR(10),("x"&amp;H82))),ISERROR(SEARCH(CHAR(13),("x"&amp;H82))),IFERROR(HEX2DEC(MID(("x"&amp;H82),2,8))&gt;=0,FALSE),IFERROR(HEX2DEC(MID(("x"&amp;H82),10,8))&gt;=0,FALSE),IFERROR(HEX2DEC(MID(("x"&amp;H82),18,8))&gt;=0,FALSE),IFERROR(HEX2DEC(MID(("x"&amp;H82),26,8))&gt;=0,FALSE),IFERROR(HEX2DEC(MID(("x"&amp;H82),34,8))&gt;=0,FALSE),IFERROR(HEX2DEC(MID(("x"&amp;H82),42,8))&gt;=0,FALSE),IFERROR(HEX2DEC(MID(("x"&amp;H82),50,8))&gt;=0,FALSE),IFERROR(HEX2DEC(MID(("x"&amp;H82),58,8))&gt;=0,FALSE)),AND(ISTEXT(I82),LEN(("x"&amp;I82))=65,EXACT(("x"&amp;I82),LOWER(("x"&amp;I82))),ISERROR(SEARCH(" ",("x"&amp;I82))),ISERROR(SEARCH(CHAR(9),("x"&amp;I82))),ISERROR(SEARCH(CHAR(10),("x"&amp;I82))),ISERROR(SEARCH(CHAR(13),("x"&amp;I82))),IFERROR(HEX2DEC(MID(("x"&amp;I82),2,8))&gt;=0,FALSE),IFERROR(HEX2DEC(MID(("x"&amp;I82),10,8))&gt;=0,FALSE),IFERROR(HEX2DEC(MID(("x"&amp;I82),18,8))&gt;=0,FALSE),IFERROR(HEX2DEC(MID(("x"&amp;I82),26,8))&gt;=0,FALSE),IFERROR(HEX2DEC(MID(("x"&amp;I82),34,8))&gt;=0,FALSE),IFERROR(HEX2DEC(MID(("x"&amp;I82),42,8))&gt;=0,FALSE),IFERROR(HEX2DEC(MID(("x"&amp;I82),50,8))&gt;=0,FALSE),IFERROR(HEX2DEC(MID(("x"&amp;I82),58,8))&gt;=0,FALSE))),IF(EXACT("x"&amp;H82,"x"&amp;I82),AA82,AB82),"LEXEMA_O_FORMA"),IF(W82="PRUEBA",IF(H82=X82,AA82,IF(H82=Z82,AB82,"LEXEMA_O_FORMA")),IF(W82="RETIRADA",IF(AND(H82="NINGUNO",I82=""),IF(J82="COMPLETA",AB82,"COBERTURA_INSUFICIENTE"),IF(AND(OR(H82="uoInstallation",H82="uoUninstallation"),OR(I82="orcSucceeded",I82="orcSucceededWithErrors",I82="orcFailed",I82="orcAborted",I82="orcInProgress",I82="orcNotStarted")),IF(AND(H82=X82,I82=Y82),AA82,IF(AND(H82=X82,OR(I82="orcSucceededWithErrors",I82="orcInProgress",I82="orcNotStarted")),"RESULTADO_RETIRADA_INCIERTO",IF(J82="COMPLETA",AB82,"COBERTURA_INSUFICIENTE"))),"LEXEMA_O_FORMA")),IF(W82="CAMBIO",IF(OR(H82="CAMBIO",H82="CAMBIO_Y_RETORNO"),AA82,IF(OR(H82="NINGUNO",H82="SOLO_RENOMBRE"),IF(J82="COMPLETA",AB82,"COBERTURA_INSUFICIENTE"),"LEXEMA_O_FORMA")),IF(W82="RESTAURACION",IF(H82=X82,AA82,IF(OR(H82="NINGUNO",H82="RESTAURACION_POSTERIOR",H82="RESTAURACION_FALLIDA"),IF(J82="COMPLETA",AB82,"COBERTURA_INSUFICIENTE"),"LEXEMA_O_FORMA")),"PERFIL_NO_CONSTITUIDO"))))))))))))))))))</x:f>
        <x:v>PERFIL_NO_CONSTITUIDO</x:v>
      </x:c>
      <x:c r="R82" s="12" t="str">
        <x:f>IF(AND(L82=O82,M82=P82,N82=Q82),"PASA","NO_PASA")</x:f>
        <x:v>PASA</x:v>
      </x:c>
      <x:c r="S82" s="4" t="str">
        <x:v>Perfil de otro producto no se normaliza por analogía.</x:v>
      </x:c>
      <x:c r="T82" s="12" t="str">
        <x:f>IFERROR(INDEX('55_Codificacion_ensayo'!$B$5:$B$13,MATCH(B82,'55_Codificacion_ensayo'!$A$5:$A$13,0)),"")</x:f>
        <x:v>COMPROBACION-CRITERIO-UNITARIO-0.1</x:v>
      </x:c>
      <x:c r="U82" s="12" t="str">
        <x:f>IFERROR(INDEX('55_Codificacion_ensayo'!$C$5:$C$13,MATCH(B82,'55_Codificacion_ensayo'!$A$5:$A$13,0)),"")</x:f>
        <x:v>INFORME_PRUEBA</x:v>
      </x:c>
      <x:c r="V82" s="12" t="str">
        <x:f>IFERROR(INDEX('55_Codificacion_ensayo'!$D$5:$D$13,MATCH(B82,'55_Codificacion_ensayo'!$A$5:$A$13,0)),"")</x:f>
        <x:v>ORACULO_UNITARIO</x:v>
      </x:c>
      <x:c r="W82" s="12" t="str">
        <x:f>IFERROR(INDEX('55_Codificacion_ensayo'!$E$5:$E$13,MATCH(B82,'55_Codificacion_ensayo'!$A$5:$A$13,0)),"")</x:f>
        <x:v>PRUEBA</x:v>
      </x:c>
      <x:c r="X82" s="12" t="str">
        <x:f>IFERROR(INDEX('55_Codificacion_ensayo'!$F$5:$F$13,MATCH(B82,'55_Codificacion_ensayo'!$A$5:$A$13,0)),"")</x:f>
        <x:v>CRITERIO_CUMPLIDO</x:v>
      </x:c>
      <x:c r="Y82" s="12" t="str">
        <x:f>IFERROR(INDEX('55_Codificacion_ensayo'!$G$5:$G$13,MATCH(B82,'55_Codificacion_ensayo'!$A$5:$A$13,0)),"")</x:f>
      </x:c>
      <x:c r="Z82" s="12" t="str">
        <x:f>IFERROR(INDEX('55_Codificacion_ensayo'!$H$5:$H$13,MATCH(B82,'55_Codificacion_ensayo'!$A$5:$A$13,0)),"")</x:f>
        <x:v>CRITERIO_NO_CUMPLIDO</x:v>
      </x:c>
      <x:c r="AA82" s="12" t="str">
        <x:f>IFERROR(INDEX('55_Codificacion_ensayo'!$I$5:$I$13,MATCH(B82,'55_Codificacion_ensayo'!$A$5:$A$13,0)),"")</x:f>
        <x:v>CRITERIO_POSITIVO</x:v>
      </x:c>
      <x:c r="AB82" s="12" t="str">
        <x:f>IFERROR(INDEX('55_Codificacion_ensayo'!$J$5:$J$13,MATCH(B82,'55_Codificacion_ensayo'!$A$5:$A$13,0)),"")</x:f>
        <x:v>CRITERIO_NEGATIVO</x:v>
      </x:c>
    </x:row>
    <x:row r="83" ht="47" customHeight="1">
      <x:c r="A83" s="4" t="str">
        <x:v>L10-07-09</x:v>
      </x:c>
      <x:c r="B83" s="4" t="str">
        <x:v>PAR-CYB-COMPROBACION-POSITIVA-001</x:v>
      </x:c>
      <x:c r="C83" s="4" t="str">
        <x:v>COMPROBACION-CRITERIO-UNITARIO-0.1</x:v>
      </x:c>
      <x:c r="D83" s="4" t="str">
        <x:v>COINCIDE</x:v>
      </x:c>
      <x:c r="E83" s="4" t="str">
        <x:v>LEGIBLE</x:v>
      </x:c>
      <x:c r="F83" s="4" t="str">
        <x:v>INFORME_PRUEBA</x:v>
      </x:c>
      <x:c r="G83" s="4" t="str">
        <x:v>UNICA</x:v>
      </x:c>
      <x:c r="H83" s="4" t="str">
        <x:v>true false desconocido</x:v>
      </x:c>
      <x:c r="I83" s="4" t="str"/>
      <x:c r="J83" s="4" t="str">
        <x:v>COMPLETA</x:v>
      </x:c>
      <x:c r="K83" s="4" t="str">
        <x:v>ORACULO_UNITARIO</x:v>
      </x:c>
      <x:c r="L83" s="4" t="str">
        <x:v>NO_ADMISION</x:v>
      </x:c>
      <x:c r="M83" s="4" t="str"/>
      <x:c r="N83" s="4" t="str">
        <x:v>LEXEMA_O_FORMA</x:v>
      </x:c>
      <x:c r="O83" s="12" t="str">
        <x:f>IF(Q83="SIN_EJECUCION_DOMINIO","FALLO_CAPTURA",IF(OR(Q83="CAPTURA_MAL_FORMADA",Q83="IDENTIDAD",Q83="OBSERVACION_MAL_FORMADA",Q83="LEXEMA_O_FORMA"),"NO_ADMISION",IF(OR(Q83="PERFIL_NO_CONSTITUIDO",Q83="RESULTADO_NO_TERMINAL"),"FUERA_PERFIL",IF(Q83="CONTEXTO_NO_CONSTITUIDO","CONFIGURACION_PENDIENTE","VALIDA"))))</x:f>
        <x:v>NO_ADMISION</x:v>
      </x:c>
      <x:c r="P83" s="12" t="str">
        <x:f>IF(O83&lt;&gt;"VALIDA","",IF(Q83=AA83,"1",IF(Q83=AB83,"0","U")))</x:f>
      </x:c>
      <x:c r="Q83" s="12" t="str">
        <x:f>IF(E83="FALLO","SIN_EJECUCION_DOMINIO",IF(E83&lt;&gt;"LEGIBLE","CAPTURA_MAL_FORMADA",IF(D83&lt;&gt;"COINCIDE","IDENTIDAD",IF(OR(T83="",C83&lt;&gt;T83),"PERFIL_NO_CONSTITUIDO",IF(K83&lt;&gt;V83,IF(V83="ORDEN_ACREDITADO","ORDEN_NO_ACREDITADO","CONTEXTO_NO_CONSTITUIDO"),IF(AND(G83="AUSENTE",H83="",I83=""),"DATO_AUSENTE",IF(AND(G83="CONFLICTO",H83="",I83=""),"CONFLICTO_OBSERVACIONAL",IF(G83&lt;&gt;"UNICA","OBSERVACION_MAL_FORMADA",IF(F83&lt;&gt;U83,"OBSERVACION_INSUFICIENTE",IF(W83="RESULTADO",IF(H83=X83,AA83,IF(OR(H83="orcSucceededWithErrors",H83="orcFailed",H83="orcAborted"),AB83,IF(OR(H83="orcNotStarted",H83="orcInProgress"),"RESULTADO_NO_TERMINAL","LEXEMA_O_FORMA"))),IF(W83="EVENTO_BOOT",IF(H83=X83,AA83,IF(OR(H83="NINGUNO",H83="SOLO_HIBRIDO"),IF(J83="COMPLETA",AB83,"COBERTURA_INSUFICIENTE"),"LEXEMA_O_FORMA")),IF(W83="REQUISITO_SOFT",IF(H83=X83,AA83,IF(H83=Z83,AB83,"LEXEMA_O_FORMA")),IF(W83="EVENTO_PROC",IF(H83=X83,AA83,IF(H83=Z83,IF(J83="COMPLETA",AB83,"COBERTURA_INSUFICIENTE"),"LEXEMA_O_FORMA")),IF(W83="IMAGEN",IF(AND(AND(ISTEXT(H83),LEN(("x"&amp;H83))=65,EXACT(("x"&amp;H83),LOWER(("x"&amp;H83))),ISERROR(SEARCH(" ",("x"&amp;H83))),ISERROR(SEARCH(CHAR(9),("x"&amp;H83))),ISERROR(SEARCH(CHAR(10),("x"&amp;H83))),ISERROR(SEARCH(CHAR(13),("x"&amp;H83))),IFERROR(HEX2DEC(MID(("x"&amp;H83),2,8))&gt;=0,FALSE),IFERROR(HEX2DEC(MID(("x"&amp;H83),10,8))&gt;=0,FALSE),IFERROR(HEX2DEC(MID(("x"&amp;H83),18,8))&gt;=0,FALSE),IFERROR(HEX2DEC(MID(("x"&amp;H83),26,8))&gt;=0,FALSE),IFERROR(HEX2DEC(MID(("x"&amp;H83),34,8))&gt;=0,FALSE),IFERROR(HEX2DEC(MID(("x"&amp;H83),42,8))&gt;=0,FALSE),IFERROR(HEX2DEC(MID(("x"&amp;H83),50,8))&gt;=0,FALSE),IFERROR(HEX2DEC(MID(("x"&amp;H83),58,8))&gt;=0,FALSE)),AND(ISTEXT(I83),LEN(("x"&amp;I83))=65,EXACT(("x"&amp;I83),LOWER(("x"&amp;I83))),ISERROR(SEARCH(" ",("x"&amp;I83))),ISERROR(SEARCH(CHAR(9),("x"&amp;I83))),ISERROR(SEARCH(CHAR(10),("x"&amp;I83))),ISERROR(SEARCH(CHAR(13),("x"&amp;I83))),IFERROR(HEX2DEC(MID(("x"&amp;I83),2,8))&gt;=0,FALSE),IFERROR(HEX2DEC(MID(("x"&amp;I83),10,8))&gt;=0,FALSE),IFERROR(HEX2DEC(MID(("x"&amp;I83),18,8))&gt;=0,FALSE),IFERROR(HEX2DEC(MID(("x"&amp;I83),26,8))&gt;=0,FALSE),IFERROR(HEX2DEC(MID(("x"&amp;I83),34,8))&gt;=0,FALSE),IFERROR(HEX2DEC(MID(("x"&amp;I83),42,8))&gt;=0,FALSE),IFERROR(HEX2DEC(MID(("x"&amp;I83),50,8))&gt;=0,FALSE),IFERROR(HEX2DEC(MID(("x"&amp;I83),58,8))&gt;=0,FALSE))),IF(EXACT("x"&amp;H83,"x"&amp;I83),AA83,AB83),"LEXEMA_O_FORMA"),IF(W83="PRUEBA",IF(H83=X83,AA83,IF(H83=Z83,AB83,"LEXEMA_O_FORMA")),IF(W83="RETIRADA",IF(AND(H83="NINGUNO",I83=""),IF(J83="COMPLETA",AB83,"COBERTURA_INSUFICIENTE"),IF(AND(OR(H83="uoInstallation",H83="uoUninstallation"),OR(I83="orcSucceeded",I83="orcSucceededWithErrors",I83="orcFailed",I83="orcAborted",I83="orcInProgress",I83="orcNotStarted")),IF(AND(H83=X83,I83=Y83),AA83,IF(AND(H83=X83,OR(I83="orcSucceededWithErrors",I83="orcInProgress",I83="orcNotStarted")),"RESULTADO_RETIRADA_INCIERTO",IF(J83="COMPLETA",AB83,"COBERTURA_INSUFICIENTE"))),"LEXEMA_O_FORMA")),IF(W83="CAMBIO",IF(OR(H83="CAMBIO",H83="CAMBIO_Y_RETORNO"),AA83,IF(OR(H83="NINGUNO",H83="SOLO_RENOMBRE"),IF(J83="COMPLETA",AB83,"COBERTURA_INSUFICIENTE"),"LEXEMA_O_FORMA")),IF(W83="RESTAURACION",IF(H83=X83,AA83,IF(OR(H83="NINGUNO",H83="RESTAURACION_POSTERIOR",H83="RESTAURACION_FALLIDA"),IF(J83="COMPLETA",AB83,"COBERTURA_INSUFICIENTE"),"LEXEMA_O_FORMA")),"PERFIL_NO_CONSTITUIDO"))))))))))))))))))</x:f>
        <x:v>LEXEMA_O_FORMA</x:v>
      </x:c>
      <x:c r="R83" s="12" t="str">
        <x:f>IF(AND(L83=O83,M83=P83,N83=Q83),"PASA","NO_PASA")</x:f>
        <x:v>PASA</x:v>
      </x:c>
      <x:c r="S83" s="4" t="str">
        <x:v>La observación usa un lexema ajeno al contrato.</x:v>
      </x:c>
      <x:c r="T83" s="12" t="str">
        <x:f>IFERROR(INDEX('55_Codificacion_ensayo'!$B$5:$B$13,MATCH(B83,'55_Codificacion_ensayo'!$A$5:$A$13,0)),"")</x:f>
        <x:v>COMPROBACION-CRITERIO-UNITARIO-0.1</x:v>
      </x:c>
      <x:c r="U83" s="12" t="str">
        <x:f>IFERROR(INDEX('55_Codificacion_ensayo'!$C$5:$C$13,MATCH(B83,'55_Codificacion_ensayo'!$A$5:$A$13,0)),"")</x:f>
        <x:v>INFORME_PRUEBA</x:v>
      </x:c>
      <x:c r="V83" s="12" t="str">
        <x:f>IFERROR(INDEX('55_Codificacion_ensayo'!$D$5:$D$13,MATCH(B83,'55_Codificacion_ensayo'!$A$5:$A$13,0)),"")</x:f>
        <x:v>ORACULO_UNITARIO</x:v>
      </x:c>
      <x:c r="W83" s="12" t="str">
        <x:f>IFERROR(INDEX('55_Codificacion_ensayo'!$E$5:$E$13,MATCH(B83,'55_Codificacion_ensayo'!$A$5:$A$13,0)),"")</x:f>
        <x:v>PRUEBA</x:v>
      </x:c>
      <x:c r="X83" s="12" t="str">
        <x:f>IFERROR(INDEX('55_Codificacion_ensayo'!$F$5:$F$13,MATCH(B83,'55_Codificacion_ensayo'!$A$5:$A$13,0)),"")</x:f>
        <x:v>CRITERIO_CUMPLIDO</x:v>
      </x:c>
      <x:c r="Y83" s="12" t="str">
        <x:f>IFERROR(INDEX('55_Codificacion_ensayo'!$G$5:$G$13,MATCH(B83,'55_Codificacion_ensayo'!$A$5:$A$13,0)),"")</x:f>
      </x:c>
      <x:c r="Z83" s="12" t="str">
        <x:f>IFERROR(INDEX('55_Codificacion_ensayo'!$H$5:$H$13,MATCH(B83,'55_Codificacion_ensayo'!$A$5:$A$13,0)),"")</x:f>
        <x:v>CRITERIO_NO_CUMPLIDO</x:v>
      </x:c>
      <x:c r="AA83" s="12" t="str">
        <x:f>IFERROR(INDEX('55_Codificacion_ensayo'!$I$5:$I$13,MATCH(B83,'55_Codificacion_ensayo'!$A$5:$A$13,0)),"")</x:f>
        <x:v>CRITERIO_POSITIVO</x:v>
      </x:c>
      <x:c r="AB83" s="12" t="str">
        <x:f>IFERROR(INDEX('55_Codificacion_ensayo'!$J$5:$J$13,MATCH(B83,'55_Codificacion_ensayo'!$A$5:$A$13,0)),"")</x:f>
        <x:v>CRITERIO_NEGATIVO</x:v>
      </x:c>
    </x:row>
    <x:row r="84" ht="47" customHeight="1">
      <x:c r="A84" s="4" t="str">
        <x:v>L10-07-10</x:v>
      </x:c>
      <x:c r="B84" s="4" t="str">
        <x:v>PAR-CYB-COMPROBACION-POSITIVA-001</x:v>
      </x:c>
      <x:c r="C84" s="4" t="str">
        <x:v>COMPROBACION-CRITERIO-UNITARIO-0.1</x:v>
      </x:c>
      <x:c r="D84" s="4" t="str">
        <x:v>COINCIDE</x:v>
      </x:c>
      <x:c r="E84" s="4" t="str">
        <x:v>LEGIBLE</x:v>
      </x:c>
      <x:c r="F84" s="4" t="str">
        <x:v>INFORME_PRUEBA</x:v>
      </x:c>
      <x:c r="G84" s="4" t="str">
        <x:v>UNICA</x:v>
      </x:c>
      <x:c r="H84" s="4" t="str">
        <x:v>CRITERIO_CUMPLIDO</x:v>
      </x:c>
      <x:c r="I84" s="4" t="str"/>
      <x:c r="J84" s="4" t="str">
        <x:v>COMPLETA</x:v>
      </x:c>
      <x:c r="K84" s="4" t="str">
        <x:v>PENDIENTE</x:v>
      </x:c>
      <x:c r="L84" s="4" t="str">
        <x:v>CONFIGURACION_PENDIENTE</x:v>
      </x:c>
      <x:c r="M84" s="4" t="str"/>
      <x:c r="N84" s="4" t="str">
        <x:v>CONTEXTO_NO_CONSTITUIDO</x:v>
      </x:c>
      <x:c r="O84" s="12" t="str">
        <x:f>IF(Q84="SIN_EJECUCION_DOMINIO","FALLO_CAPTURA",IF(OR(Q84="CAPTURA_MAL_FORMADA",Q84="IDENTIDAD",Q84="OBSERVACION_MAL_FORMADA",Q84="LEXEMA_O_FORMA"),"NO_ADMISION",IF(OR(Q84="PERFIL_NO_CONSTITUIDO",Q84="RESULTADO_NO_TERMINAL"),"FUERA_PERFIL",IF(Q84="CONTEXTO_NO_CONSTITUIDO","CONFIGURACION_PENDIENTE","VALIDA"))))</x:f>
        <x:v>CONFIGURACION_PENDIENTE</x:v>
      </x:c>
      <x:c r="P84" s="12" t="str">
        <x:f>IF(O84&lt;&gt;"VALIDA","",IF(Q84=AA84,"1",IF(Q84=AB84,"0","U")))</x:f>
      </x:c>
      <x:c r="Q84" s="12" t="str">
        <x:f>IF(E84="FALLO","SIN_EJECUCION_DOMINIO",IF(E84&lt;&gt;"LEGIBLE","CAPTURA_MAL_FORMADA",IF(D84&lt;&gt;"COINCIDE","IDENTIDAD",IF(OR(T84="",C84&lt;&gt;T84),"PERFIL_NO_CONSTITUIDO",IF(K84&lt;&gt;V84,IF(V84="ORDEN_ACREDITADO","ORDEN_NO_ACREDITADO","CONTEXTO_NO_CONSTITUIDO"),IF(AND(G84="AUSENTE",H84="",I84=""),"DATO_AUSENTE",IF(AND(G84="CONFLICTO",H84="",I84=""),"CONFLICTO_OBSERVACIONAL",IF(G84&lt;&gt;"UNICA","OBSERVACION_MAL_FORMADA",IF(F84&lt;&gt;U84,"OBSERVACION_INSUFICIENTE",IF(W84="RESULTADO",IF(H84=X84,AA84,IF(OR(H84="orcSucceededWithErrors",H84="orcFailed",H84="orcAborted"),AB84,IF(OR(H84="orcNotStarted",H84="orcInProgress"),"RESULTADO_NO_TERMINAL","LEXEMA_O_FORMA"))),IF(W84="EVENTO_BOOT",IF(H84=X84,AA84,IF(OR(H84="NINGUNO",H84="SOLO_HIBRIDO"),IF(J84="COMPLETA",AB84,"COBERTURA_INSUFICIENTE"),"LEXEMA_O_FORMA")),IF(W84="REQUISITO_SOFT",IF(H84=X84,AA84,IF(H84=Z84,AB84,"LEXEMA_O_FORMA")),IF(W84="EVENTO_PROC",IF(H84=X84,AA84,IF(H84=Z84,IF(J84="COMPLETA",AB84,"COBERTURA_INSUFICIENTE"),"LEXEMA_O_FORMA")),IF(W84="IMAGEN",IF(AND(AND(ISTEXT(H84),LEN(("x"&amp;H84))=65,EXACT(("x"&amp;H84),LOWER(("x"&amp;H84))),ISERROR(SEARCH(" ",("x"&amp;H84))),ISERROR(SEARCH(CHAR(9),("x"&amp;H84))),ISERROR(SEARCH(CHAR(10),("x"&amp;H84))),ISERROR(SEARCH(CHAR(13),("x"&amp;H84))),IFERROR(HEX2DEC(MID(("x"&amp;H84),2,8))&gt;=0,FALSE),IFERROR(HEX2DEC(MID(("x"&amp;H84),10,8))&gt;=0,FALSE),IFERROR(HEX2DEC(MID(("x"&amp;H84),18,8))&gt;=0,FALSE),IFERROR(HEX2DEC(MID(("x"&amp;H84),26,8))&gt;=0,FALSE),IFERROR(HEX2DEC(MID(("x"&amp;H84),34,8))&gt;=0,FALSE),IFERROR(HEX2DEC(MID(("x"&amp;H84),42,8))&gt;=0,FALSE),IFERROR(HEX2DEC(MID(("x"&amp;H84),50,8))&gt;=0,FALSE),IFERROR(HEX2DEC(MID(("x"&amp;H84),58,8))&gt;=0,FALSE)),AND(ISTEXT(I84),LEN(("x"&amp;I84))=65,EXACT(("x"&amp;I84),LOWER(("x"&amp;I84))),ISERROR(SEARCH(" ",("x"&amp;I84))),ISERROR(SEARCH(CHAR(9),("x"&amp;I84))),ISERROR(SEARCH(CHAR(10),("x"&amp;I84))),ISERROR(SEARCH(CHAR(13),("x"&amp;I84))),IFERROR(HEX2DEC(MID(("x"&amp;I84),2,8))&gt;=0,FALSE),IFERROR(HEX2DEC(MID(("x"&amp;I84),10,8))&gt;=0,FALSE),IFERROR(HEX2DEC(MID(("x"&amp;I84),18,8))&gt;=0,FALSE),IFERROR(HEX2DEC(MID(("x"&amp;I84),26,8))&gt;=0,FALSE),IFERROR(HEX2DEC(MID(("x"&amp;I84),34,8))&gt;=0,FALSE),IFERROR(HEX2DEC(MID(("x"&amp;I84),42,8))&gt;=0,FALSE),IFERROR(HEX2DEC(MID(("x"&amp;I84),50,8))&gt;=0,FALSE),IFERROR(HEX2DEC(MID(("x"&amp;I84),58,8))&gt;=0,FALSE))),IF(EXACT("x"&amp;H84,"x"&amp;I84),AA84,AB84),"LEXEMA_O_FORMA"),IF(W84="PRUEBA",IF(H84=X84,AA84,IF(H84=Z84,AB84,"LEXEMA_O_FORMA")),IF(W84="RETIRADA",IF(AND(H84="NINGUNO",I84=""),IF(J84="COMPLETA",AB84,"COBERTURA_INSUFICIENTE"),IF(AND(OR(H84="uoInstallation",H84="uoUninstallation"),OR(I84="orcSucceeded",I84="orcSucceededWithErrors",I84="orcFailed",I84="orcAborted",I84="orcInProgress",I84="orcNotStarted")),IF(AND(H84=X84,I84=Y84),AA84,IF(AND(H84=X84,OR(I84="orcSucceededWithErrors",I84="orcInProgress",I84="orcNotStarted")),"RESULTADO_RETIRADA_INCIERTO",IF(J84="COMPLETA",AB84,"COBERTURA_INSUFICIENTE"))),"LEXEMA_O_FORMA")),IF(W84="CAMBIO",IF(OR(H84="CAMBIO",H84="CAMBIO_Y_RETORNO"),AA84,IF(OR(H84="NINGUNO",H84="SOLO_RENOMBRE"),IF(J84="COMPLETA",AB84,"COBERTURA_INSUFICIENTE"),"LEXEMA_O_FORMA")),IF(W84="RESTAURACION",IF(H84=X84,AA84,IF(OR(H84="NINGUNO",H84="RESTAURACION_POSTERIOR",H84="RESTAURACION_FALLIDA"),IF(J84="COMPLETA",AB84,"COBERTURA_INSUFICIENTE"),"LEXEMA_O_FORMA")),"PERFIL_NO_CONSTITUIDO"))))))))))))))))))</x:f>
        <x:v>CONTEXTO_NO_CONSTITUIDO</x:v>
      </x:c>
      <x:c r="R84" s="12" t="str">
        <x:f>IF(AND(L84=O84,M84=P84,N84=Q84),"PASA","NO_PASA")</x:f>
        <x:v>PASA</x:v>
      </x:c>
      <x:c r="S84" s="4" t="str">
        <x:v>Falta el contexto profesional que fija qué se está evaluando.</x:v>
      </x:c>
      <x:c r="T84" s="12" t="str">
        <x:f>IFERROR(INDEX('55_Codificacion_ensayo'!$B$5:$B$13,MATCH(B84,'55_Codificacion_ensayo'!$A$5:$A$13,0)),"")</x:f>
        <x:v>COMPROBACION-CRITERIO-UNITARIO-0.1</x:v>
      </x:c>
      <x:c r="U84" s="12" t="str">
        <x:f>IFERROR(INDEX('55_Codificacion_ensayo'!$C$5:$C$13,MATCH(B84,'55_Codificacion_ensayo'!$A$5:$A$13,0)),"")</x:f>
        <x:v>INFORME_PRUEBA</x:v>
      </x:c>
      <x:c r="V84" s="12" t="str">
        <x:f>IFERROR(INDEX('55_Codificacion_ensayo'!$D$5:$D$13,MATCH(B84,'55_Codificacion_ensayo'!$A$5:$A$13,0)),"")</x:f>
        <x:v>ORACULO_UNITARIO</x:v>
      </x:c>
      <x:c r="W84" s="12" t="str">
        <x:f>IFERROR(INDEX('55_Codificacion_ensayo'!$E$5:$E$13,MATCH(B84,'55_Codificacion_ensayo'!$A$5:$A$13,0)),"")</x:f>
        <x:v>PRUEBA</x:v>
      </x:c>
      <x:c r="X84" s="12" t="str">
        <x:f>IFERROR(INDEX('55_Codificacion_ensayo'!$F$5:$F$13,MATCH(B84,'55_Codificacion_ensayo'!$A$5:$A$13,0)),"")</x:f>
        <x:v>CRITERIO_CUMPLIDO</x:v>
      </x:c>
      <x:c r="Y84" s="12" t="str">
        <x:f>IFERROR(INDEX('55_Codificacion_ensayo'!$G$5:$G$13,MATCH(B84,'55_Codificacion_ensayo'!$A$5:$A$13,0)),"")</x:f>
      </x:c>
      <x:c r="Z84" s="12" t="str">
        <x:f>IFERROR(INDEX('55_Codificacion_ensayo'!$H$5:$H$13,MATCH(B84,'55_Codificacion_ensayo'!$A$5:$A$13,0)),"")</x:f>
        <x:v>CRITERIO_NO_CUMPLIDO</x:v>
      </x:c>
      <x:c r="AA84" s="12" t="str">
        <x:f>IFERROR(INDEX('55_Codificacion_ensayo'!$I$5:$I$13,MATCH(B84,'55_Codificacion_ensayo'!$A$5:$A$13,0)),"")</x:f>
        <x:v>CRITERIO_POSITIVO</x:v>
      </x:c>
      <x:c r="AB84" s="12" t="str">
        <x:f>IFERROR(INDEX('55_Codificacion_ensayo'!$J$5:$J$13,MATCH(B84,'55_Codificacion_ensayo'!$A$5:$A$13,0)),"")</x:f>
        <x:v>CRITERIO_NEGATIVO</x:v>
      </x:c>
    </x:row>
    <x:row r="85" ht="47" customHeight="1">
      <x:c r="A85" s="4" t="str">
        <x:v>L10-07-11</x:v>
      </x:c>
      <x:c r="B85" s="4" t="str">
        <x:v>PAR-CYB-COMPROBACION-POSITIVA-001</x:v>
      </x:c>
      <x:c r="C85" s="4" t="str">
        <x:v>COMPROBACION-CRITERIO-UNITARIO-0.1</x:v>
      </x:c>
      <x:c r="D85" s="4" t="str">
        <x:v>COINCIDE</x:v>
      </x:c>
      <x:c r="E85" s="4" t="str">
        <x:v>LEGIBLE</x:v>
      </x:c>
      <x:c r="F85" s="4" t="str">
        <x:v>SELLO_APTO</x:v>
      </x:c>
      <x:c r="G85" s="4" t="str">
        <x:v>UNICA</x:v>
      </x:c>
      <x:c r="H85" s="4" t="str">
        <x:v>CRITERIO_CUMPLIDO</x:v>
      </x:c>
      <x:c r="I85" s="4" t="str"/>
      <x:c r="J85" s="4" t="str">
        <x:v>COMPLETA</x:v>
      </x:c>
      <x:c r="K85" s="4" t="str">
        <x:v>ORACULO_UNITARIO</x:v>
      </x:c>
      <x:c r="L85" s="4" t="str">
        <x:v>VALIDA</x:v>
      </x:c>
      <x:c r="M85" s="4" t="str">
        <x:v>U</x:v>
      </x:c>
      <x:c r="N85" s="4" t="str">
        <x:v>OBSERVACION_INSUFICIENTE</x:v>
      </x:c>
      <x:c r="O85" s="12" t="str">
        <x:f>IF(Q85="SIN_EJECUCION_DOMINIO","FALLO_CAPTURA",IF(OR(Q85="CAPTURA_MAL_FORMADA",Q85="IDENTIDAD",Q85="OBSERVACION_MAL_FORMADA",Q85="LEXEMA_O_FORMA"),"NO_ADMISION",IF(OR(Q85="PERFIL_NO_CONSTITUIDO",Q85="RESULTADO_NO_TERMINAL"),"FUERA_PERFIL",IF(Q85="CONTEXTO_NO_CONSTITUIDO","CONFIGURACION_PENDIENTE","VALIDA"))))</x:f>
        <x:v>VALIDA</x:v>
      </x:c>
      <x:c r="P85" s="12" t="str">
        <x:f>IF(O85&lt;&gt;"VALIDA","",IF(Q85=AA85,"1",IF(Q85=AB85,"0","U")))</x:f>
        <x:v>U</x:v>
      </x:c>
      <x:c r="Q85" s="12" t="str">
        <x:f>IF(E85="FALLO","SIN_EJECUCION_DOMINIO",IF(E85&lt;&gt;"LEGIBLE","CAPTURA_MAL_FORMADA",IF(D85&lt;&gt;"COINCIDE","IDENTIDAD",IF(OR(T85="",C85&lt;&gt;T85),"PERFIL_NO_CONSTITUIDO",IF(K85&lt;&gt;V85,IF(V85="ORDEN_ACREDITADO","ORDEN_NO_ACREDITADO","CONTEXTO_NO_CONSTITUIDO"),IF(AND(G85="AUSENTE",H85="",I85=""),"DATO_AUSENTE",IF(AND(G85="CONFLICTO",H85="",I85=""),"CONFLICTO_OBSERVACIONAL",IF(G85&lt;&gt;"UNICA","OBSERVACION_MAL_FORMADA",IF(F85&lt;&gt;U85,"OBSERVACION_INSUFICIENTE",IF(W85="RESULTADO",IF(H85=X85,AA85,IF(OR(H85="orcSucceededWithErrors",H85="orcFailed",H85="orcAborted"),AB85,IF(OR(H85="orcNotStarted",H85="orcInProgress"),"RESULTADO_NO_TERMINAL","LEXEMA_O_FORMA"))),IF(W85="EVENTO_BOOT",IF(H85=X85,AA85,IF(OR(H85="NINGUNO",H85="SOLO_HIBRIDO"),IF(J85="COMPLETA",AB85,"COBERTURA_INSUFICIENTE"),"LEXEMA_O_FORMA")),IF(W85="REQUISITO_SOFT",IF(H85=X85,AA85,IF(H85=Z85,AB85,"LEXEMA_O_FORMA")),IF(W85="EVENTO_PROC",IF(H85=X85,AA85,IF(H85=Z85,IF(J85="COMPLETA",AB85,"COBERTURA_INSUFICIENTE"),"LEXEMA_O_FORMA")),IF(W85="IMAGEN",IF(AND(AND(ISTEXT(H85),LEN(("x"&amp;H85))=65,EXACT(("x"&amp;H85),LOWER(("x"&amp;H85))),ISERROR(SEARCH(" ",("x"&amp;H85))),ISERROR(SEARCH(CHAR(9),("x"&amp;H85))),ISERROR(SEARCH(CHAR(10),("x"&amp;H85))),ISERROR(SEARCH(CHAR(13),("x"&amp;H85))),IFERROR(HEX2DEC(MID(("x"&amp;H85),2,8))&gt;=0,FALSE),IFERROR(HEX2DEC(MID(("x"&amp;H85),10,8))&gt;=0,FALSE),IFERROR(HEX2DEC(MID(("x"&amp;H85),18,8))&gt;=0,FALSE),IFERROR(HEX2DEC(MID(("x"&amp;H85),26,8))&gt;=0,FALSE),IFERROR(HEX2DEC(MID(("x"&amp;H85),34,8))&gt;=0,FALSE),IFERROR(HEX2DEC(MID(("x"&amp;H85),42,8))&gt;=0,FALSE),IFERROR(HEX2DEC(MID(("x"&amp;H85),50,8))&gt;=0,FALSE),IFERROR(HEX2DEC(MID(("x"&amp;H85),58,8))&gt;=0,FALSE)),AND(ISTEXT(I85),LEN(("x"&amp;I85))=65,EXACT(("x"&amp;I85),LOWER(("x"&amp;I85))),ISERROR(SEARCH(" ",("x"&amp;I85))),ISERROR(SEARCH(CHAR(9),("x"&amp;I85))),ISERROR(SEARCH(CHAR(10),("x"&amp;I85))),ISERROR(SEARCH(CHAR(13),("x"&amp;I85))),IFERROR(HEX2DEC(MID(("x"&amp;I85),2,8))&gt;=0,FALSE),IFERROR(HEX2DEC(MID(("x"&amp;I85),10,8))&gt;=0,FALSE),IFERROR(HEX2DEC(MID(("x"&amp;I85),18,8))&gt;=0,FALSE),IFERROR(HEX2DEC(MID(("x"&amp;I85),26,8))&gt;=0,FALSE),IFERROR(HEX2DEC(MID(("x"&amp;I85),34,8))&gt;=0,FALSE),IFERROR(HEX2DEC(MID(("x"&amp;I85),42,8))&gt;=0,FALSE),IFERROR(HEX2DEC(MID(("x"&amp;I85),50,8))&gt;=0,FALSE),IFERROR(HEX2DEC(MID(("x"&amp;I85),58,8))&gt;=0,FALSE))),IF(EXACT("x"&amp;H85,"x"&amp;I85),AA85,AB85),"LEXEMA_O_FORMA"),IF(W85="PRUEBA",IF(H85=X85,AA85,IF(H85=Z85,AB85,"LEXEMA_O_FORMA")),IF(W85="RETIRADA",IF(AND(H85="NINGUNO",I85=""),IF(J85="COMPLETA",AB85,"COBERTURA_INSUFICIENTE"),IF(AND(OR(H85="uoInstallation",H85="uoUninstallation"),OR(I85="orcSucceeded",I85="orcSucceededWithErrors",I85="orcFailed",I85="orcAborted",I85="orcInProgress",I85="orcNotStarted")),IF(AND(H85=X85,I85=Y85),AA85,IF(AND(H85=X85,OR(I85="orcSucceededWithErrors",I85="orcInProgress",I85="orcNotStarted")),"RESULTADO_RETIRADA_INCIERTO",IF(J85="COMPLETA",AB85,"COBERTURA_INSUFICIENTE"))),"LEXEMA_O_FORMA")),IF(W85="CAMBIO",IF(OR(H85="CAMBIO",H85="CAMBIO_Y_RETORNO"),AA85,IF(OR(H85="NINGUNO",H85="SOLO_RENOMBRE"),IF(J85="COMPLETA",AB85,"COBERTURA_INSUFICIENTE"),"LEXEMA_O_FORMA")),IF(W85="RESTAURACION",IF(H85=X85,AA85,IF(OR(H85="NINGUNO",H85="RESTAURACION_POSTERIOR",H85="RESTAURACION_FALLIDA"),IF(J85="COMPLETA",AB85,"COBERTURA_INSUFICIENTE"),"LEXEMA_O_FORMA")),"PERFIL_NO_CONSTITUIDO"))))))))))))))))))</x:f>
        <x:v>OBSERVACION_INSUFICIENTE</x:v>
      </x:c>
      <x:c r="R85" s="12" t="str">
        <x:f>IF(AND(L85=O85,M85=P85,N85=Q85),"PASA","NO_PASA")</x:f>
        <x:v>PASA</x:v>
      </x:c>
      <x:c r="S85" s="4" t="str">
        <x:v>Sello global apto sin informe de la prueba no es un resultado suficiente.</x:v>
      </x:c>
      <x:c r="T85" s="12" t="str">
        <x:f>IFERROR(INDEX('55_Codificacion_ensayo'!$B$5:$B$13,MATCH(B85,'55_Codificacion_ensayo'!$A$5:$A$13,0)),"")</x:f>
        <x:v>COMPROBACION-CRITERIO-UNITARIO-0.1</x:v>
      </x:c>
      <x:c r="U85" s="12" t="str">
        <x:f>IFERROR(INDEX('55_Codificacion_ensayo'!$C$5:$C$13,MATCH(B85,'55_Codificacion_ensayo'!$A$5:$A$13,0)),"")</x:f>
        <x:v>INFORME_PRUEBA</x:v>
      </x:c>
      <x:c r="V85" s="12" t="str">
        <x:f>IFERROR(INDEX('55_Codificacion_ensayo'!$D$5:$D$13,MATCH(B85,'55_Codificacion_ensayo'!$A$5:$A$13,0)),"")</x:f>
        <x:v>ORACULO_UNITARIO</x:v>
      </x:c>
      <x:c r="W85" s="12" t="str">
        <x:f>IFERROR(INDEX('55_Codificacion_ensayo'!$E$5:$E$13,MATCH(B85,'55_Codificacion_ensayo'!$A$5:$A$13,0)),"")</x:f>
        <x:v>PRUEBA</x:v>
      </x:c>
      <x:c r="X85" s="12" t="str">
        <x:f>IFERROR(INDEX('55_Codificacion_ensayo'!$F$5:$F$13,MATCH(B85,'55_Codificacion_ensayo'!$A$5:$A$13,0)),"")</x:f>
        <x:v>CRITERIO_CUMPLIDO</x:v>
      </x:c>
      <x:c r="Y85" s="12" t="str">
        <x:f>IFERROR(INDEX('55_Codificacion_ensayo'!$G$5:$G$13,MATCH(B85,'55_Codificacion_ensayo'!$A$5:$A$13,0)),"")</x:f>
      </x:c>
      <x:c r="Z85" s="12" t="str">
        <x:f>IFERROR(INDEX('55_Codificacion_ensayo'!$H$5:$H$13,MATCH(B85,'55_Codificacion_ensayo'!$A$5:$A$13,0)),"")</x:f>
        <x:v>CRITERIO_NO_CUMPLIDO</x:v>
      </x:c>
      <x:c r="AA85" s="12" t="str">
        <x:f>IFERROR(INDEX('55_Codificacion_ensayo'!$I$5:$I$13,MATCH(B85,'55_Codificacion_ensayo'!$A$5:$A$13,0)),"")</x:f>
        <x:v>CRITERIO_POSITIVO</x:v>
      </x:c>
      <x:c r="AB85" s="12" t="str">
        <x:f>IFERROR(INDEX('55_Codificacion_ensayo'!$J$5:$J$13,MATCH(B85,'55_Codificacion_ensayo'!$A$5:$A$13,0)),"")</x:f>
        <x:v>CRITERIO_NEGATIVO</x:v>
      </x:c>
    </x:row>
    <x:row r="86" ht="47" customHeight="1">
      <x:c r="A86" s="4" t="str">
        <x:v>L10-07-12</x:v>
      </x:c>
      <x:c r="B86" s="4" t="str">
        <x:v>PAR-CYB-COMPROBACION-POSITIVA-001</x:v>
      </x:c>
      <x:c r="C86" s="4" t="str">
        <x:v>COMPROBACION-CRITERIO-UNITARIO-0.1</x:v>
      </x:c>
      <x:c r="D86" s="4" t="str">
        <x:v>COINCIDE</x:v>
      </x:c>
      <x:c r="E86" s="4" t="str">
        <x:v>LEGIBLE</x:v>
      </x:c>
      <x:c r="F86" s="4" t="str">
        <x:v>INFORME_PRUEBA</x:v>
      </x:c>
      <x:c r="G86" s="4" t="str">
        <x:v>UNICA</x:v>
      </x:c>
      <x:c r="H86" s="4" t="str">
        <x:v>CRITERIO_CUMPLIDO</x:v>
      </x:c>
      <x:c r="I86" s="4" t="str"/>
      <x:c r="J86" s="4" t="str">
        <x:v>COMPLETA</x:v>
      </x:c>
      <x:c r="K86" s="4" t="str">
        <x:v>ORACULO_COMPUESTO</x:v>
      </x:c>
      <x:c r="L86" s="4" t="str">
        <x:v>CONFIGURACION_PENDIENTE</x:v>
      </x:c>
      <x:c r="M86" s="4" t="str"/>
      <x:c r="N86" s="4" t="str">
        <x:v>CONTEXTO_NO_CONSTITUIDO</x:v>
      </x:c>
      <x:c r="O86" s="12" t="str">
        <x:f>IF(Q86="SIN_EJECUCION_DOMINIO","FALLO_CAPTURA",IF(OR(Q86="CAPTURA_MAL_FORMADA",Q86="IDENTIDAD",Q86="OBSERVACION_MAL_FORMADA",Q86="LEXEMA_O_FORMA"),"NO_ADMISION",IF(OR(Q86="PERFIL_NO_CONSTITUIDO",Q86="RESULTADO_NO_TERMINAL"),"FUERA_PERFIL",IF(Q86="CONTEXTO_NO_CONSTITUIDO","CONFIGURACION_PENDIENTE","VALIDA"))))</x:f>
        <x:v>CONFIGURACION_PENDIENTE</x:v>
      </x:c>
      <x:c r="P86" s="12" t="str">
        <x:f>IF(O86&lt;&gt;"VALIDA","",IF(Q86=AA86,"1",IF(Q86=AB86,"0","U")))</x:f>
      </x:c>
      <x:c r="Q86" s="12" t="str">
        <x:f>IF(E86="FALLO","SIN_EJECUCION_DOMINIO",IF(E86&lt;&gt;"LEGIBLE","CAPTURA_MAL_FORMADA",IF(D86&lt;&gt;"COINCIDE","IDENTIDAD",IF(OR(T86="",C86&lt;&gt;T86),"PERFIL_NO_CONSTITUIDO",IF(K86&lt;&gt;V86,IF(V86="ORDEN_ACREDITADO","ORDEN_NO_ACREDITADO","CONTEXTO_NO_CONSTITUIDO"),IF(AND(G86="AUSENTE",H86="",I86=""),"DATO_AUSENTE",IF(AND(G86="CONFLICTO",H86="",I86=""),"CONFLICTO_OBSERVACIONAL",IF(G86&lt;&gt;"UNICA","OBSERVACION_MAL_FORMADA",IF(F86&lt;&gt;U86,"OBSERVACION_INSUFICIENTE",IF(W86="RESULTADO",IF(H86=X86,AA86,IF(OR(H86="orcSucceededWithErrors",H86="orcFailed",H86="orcAborted"),AB86,IF(OR(H86="orcNotStarted",H86="orcInProgress"),"RESULTADO_NO_TERMINAL","LEXEMA_O_FORMA"))),IF(W86="EVENTO_BOOT",IF(H86=X86,AA86,IF(OR(H86="NINGUNO",H86="SOLO_HIBRIDO"),IF(J86="COMPLETA",AB86,"COBERTURA_INSUFICIENTE"),"LEXEMA_O_FORMA")),IF(W86="REQUISITO_SOFT",IF(H86=X86,AA86,IF(H86=Z86,AB86,"LEXEMA_O_FORMA")),IF(W86="EVENTO_PROC",IF(H86=X86,AA86,IF(H86=Z86,IF(J86="COMPLETA",AB86,"COBERTURA_INSUFICIENTE"),"LEXEMA_O_FORMA")),IF(W86="IMAGEN",IF(AND(AND(ISTEXT(H86),LEN(("x"&amp;H86))=65,EXACT(("x"&amp;H86),LOWER(("x"&amp;H86))),ISERROR(SEARCH(" ",("x"&amp;H86))),ISERROR(SEARCH(CHAR(9),("x"&amp;H86))),ISERROR(SEARCH(CHAR(10),("x"&amp;H86))),ISERROR(SEARCH(CHAR(13),("x"&amp;H86))),IFERROR(HEX2DEC(MID(("x"&amp;H86),2,8))&gt;=0,FALSE),IFERROR(HEX2DEC(MID(("x"&amp;H86),10,8))&gt;=0,FALSE),IFERROR(HEX2DEC(MID(("x"&amp;H86),18,8))&gt;=0,FALSE),IFERROR(HEX2DEC(MID(("x"&amp;H86),26,8))&gt;=0,FALSE),IFERROR(HEX2DEC(MID(("x"&amp;H86),34,8))&gt;=0,FALSE),IFERROR(HEX2DEC(MID(("x"&amp;H86),42,8))&gt;=0,FALSE),IFERROR(HEX2DEC(MID(("x"&amp;H86),50,8))&gt;=0,FALSE),IFERROR(HEX2DEC(MID(("x"&amp;H86),58,8))&gt;=0,FALSE)),AND(ISTEXT(I86),LEN(("x"&amp;I86))=65,EXACT(("x"&amp;I86),LOWER(("x"&amp;I86))),ISERROR(SEARCH(" ",("x"&amp;I86))),ISERROR(SEARCH(CHAR(9),("x"&amp;I86))),ISERROR(SEARCH(CHAR(10),("x"&amp;I86))),ISERROR(SEARCH(CHAR(13),("x"&amp;I86))),IFERROR(HEX2DEC(MID(("x"&amp;I86),2,8))&gt;=0,FALSE),IFERROR(HEX2DEC(MID(("x"&amp;I86),10,8))&gt;=0,FALSE),IFERROR(HEX2DEC(MID(("x"&amp;I86),18,8))&gt;=0,FALSE),IFERROR(HEX2DEC(MID(("x"&amp;I86),26,8))&gt;=0,FALSE),IFERROR(HEX2DEC(MID(("x"&amp;I86),34,8))&gt;=0,FALSE),IFERROR(HEX2DEC(MID(("x"&amp;I86),42,8))&gt;=0,FALSE),IFERROR(HEX2DEC(MID(("x"&amp;I86),50,8))&gt;=0,FALSE),IFERROR(HEX2DEC(MID(("x"&amp;I86),58,8))&gt;=0,FALSE))),IF(EXACT("x"&amp;H86,"x"&amp;I86),AA86,AB86),"LEXEMA_O_FORMA"),IF(W86="PRUEBA",IF(H86=X86,AA86,IF(H86=Z86,AB86,"LEXEMA_O_FORMA")),IF(W86="RETIRADA",IF(AND(H86="NINGUNO",I86=""),IF(J86="COMPLETA",AB86,"COBERTURA_INSUFICIENTE"),IF(AND(OR(H86="uoInstallation",H86="uoUninstallation"),OR(I86="orcSucceeded",I86="orcSucceededWithErrors",I86="orcFailed",I86="orcAborted",I86="orcInProgress",I86="orcNotStarted")),IF(AND(H86=X86,I86=Y86),AA86,IF(AND(H86=X86,OR(I86="orcSucceededWithErrors",I86="orcInProgress",I86="orcNotStarted")),"RESULTADO_RETIRADA_INCIERTO",IF(J86="COMPLETA",AB86,"COBERTURA_INSUFICIENTE"))),"LEXEMA_O_FORMA")),IF(W86="CAMBIO",IF(OR(H86="CAMBIO",H86="CAMBIO_Y_RETORNO"),AA86,IF(OR(H86="NINGUNO",H86="SOLO_RENOMBRE"),IF(J86="COMPLETA",AB86,"COBERTURA_INSUFICIENTE"),"LEXEMA_O_FORMA")),IF(W86="RESTAURACION",IF(H86=X86,AA86,IF(OR(H86="NINGUNO",H86="RESTAURACION_POSTERIOR",H86="RESTAURACION_FALLIDA"),IF(J86="COMPLETA",AB86,"COBERTURA_INSUFICIENTE"),"LEXEMA_O_FORMA")),"PERFIL_NO_CONSTITUIDO"))))))))))))))))))</x:f>
        <x:v>CONTEXTO_NO_CONSTITUIDO</x:v>
      </x:c>
      <x:c r="R86" s="12" t="str">
        <x:f>IF(AND(L86=O86,M86=P86,N86=Q86),"PASA","NO_PASA")</x:f>
        <x:v>PASA</x:v>
      </x:c>
      <x:c r="S86" s="4" t="str">
        <x:v>Criterio que agrega resultados independientes necesita descomposición.</x:v>
      </x:c>
      <x:c r="T86" s="12" t="str">
        <x:f>IFERROR(INDEX('55_Codificacion_ensayo'!$B$5:$B$13,MATCH(B86,'55_Codificacion_ensayo'!$A$5:$A$13,0)),"")</x:f>
        <x:v>COMPROBACION-CRITERIO-UNITARIO-0.1</x:v>
      </x:c>
      <x:c r="U86" s="12" t="str">
        <x:f>IFERROR(INDEX('55_Codificacion_ensayo'!$C$5:$C$13,MATCH(B86,'55_Codificacion_ensayo'!$A$5:$A$13,0)),"")</x:f>
        <x:v>INFORME_PRUEBA</x:v>
      </x:c>
      <x:c r="V86" s="12" t="str">
        <x:f>IFERROR(INDEX('55_Codificacion_ensayo'!$D$5:$D$13,MATCH(B86,'55_Codificacion_ensayo'!$A$5:$A$13,0)),"")</x:f>
        <x:v>ORACULO_UNITARIO</x:v>
      </x:c>
      <x:c r="W86" s="12" t="str">
        <x:f>IFERROR(INDEX('55_Codificacion_ensayo'!$E$5:$E$13,MATCH(B86,'55_Codificacion_ensayo'!$A$5:$A$13,0)),"")</x:f>
        <x:v>PRUEBA</x:v>
      </x:c>
      <x:c r="X86" s="12" t="str">
        <x:f>IFERROR(INDEX('55_Codificacion_ensayo'!$F$5:$F$13,MATCH(B86,'55_Codificacion_ensayo'!$A$5:$A$13,0)),"")</x:f>
        <x:v>CRITERIO_CUMPLIDO</x:v>
      </x:c>
      <x:c r="Y86" s="12" t="str">
        <x:f>IFERROR(INDEX('55_Codificacion_ensayo'!$G$5:$G$13,MATCH(B86,'55_Codificacion_ensayo'!$A$5:$A$13,0)),"")</x:f>
      </x:c>
      <x:c r="Z86" s="12" t="str">
        <x:f>IFERROR(INDEX('55_Codificacion_ensayo'!$H$5:$H$13,MATCH(B86,'55_Codificacion_ensayo'!$A$5:$A$13,0)),"")</x:f>
        <x:v>CRITERIO_NO_CUMPLIDO</x:v>
      </x:c>
      <x:c r="AA86" s="12" t="str">
        <x:f>IFERROR(INDEX('55_Codificacion_ensayo'!$I$5:$I$13,MATCH(B86,'55_Codificacion_ensayo'!$A$5:$A$13,0)),"")</x:f>
        <x:v>CRITERIO_POSITIVO</x:v>
      </x:c>
      <x:c r="AB86" s="12" t="str">
        <x:f>IFERROR(INDEX('55_Codificacion_ensayo'!$J$5:$J$13,MATCH(B86,'55_Codificacion_ensayo'!$A$5:$A$13,0)),"")</x:f>
        <x:v>CRITERIO_NEGATIVO</x:v>
      </x:c>
    </x:row>
    <x:row r="87" ht="47" customHeight="1">
      <x:c r="A87" s="4" t="str">
        <x:v>L10-08-01</x:v>
      </x:c>
      <x:c r="B87" s="4" t="str">
        <x:v>PAR-CYB-RETIRADA-EXITOSA-COMUNICADA-001</x:v>
      </x:c>
      <x:c r="C87" s="4" t="str">
        <x:v>HISTORIA-RETIRADA-ACTUALIZACION-0.1</x:v>
      </x:c>
      <x:c r="D87" s="4" t="str">
        <x:v>COINCIDE</x:v>
      </x:c>
      <x:c r="E87" s="4" t="str">
        <x:v>LEGIBLE</x:v>
      </x:c>
      <x:c r="F87" s="4" t="str">
        <x:v>HISTORIA_WUA</x:v>
      </x:c>
      <x:c r="G87" s="4" t="str">
        <x:v>UNICA</x:v>
      </x:c>
      <x:c r="H87" s="4" t="str">
        <x:v>uoUninstallation</x:v>
      </x:c>
      <x:c r="I87" s="4" t="str">
        <x:v>orcSucceeded</x:v>
      </x:c>
      <x:c r="J87" s="4" t="str">
        <x:v>COMPLETA</x:v>
      </x:c>
      <x:c r="K87" s="4" t="str">
        <x:v>ORDEN_ACREDITADO</x:v>
      </x:c>
      <x:c r="L87" s="4" t="str">
        <x:v>VALIDA</x:v>
      </x:c>
      <x:c r="M87" s="4" t="str">
        <x:v>1</x:v>
      </x:c>
      <x:c r="N87" s="4" t="str">
        <x:v>RETIRADA_EXITOSA</x:v>
      </x:c>
      <x:c r="O87" s="12" t="str">
        <x:f>IF(Q87="SIN_EJECUCION_DOMINIO","FALLO_CAPTURA",IF(OR(Q87="CAPTURA_MAL_FORMADA",Q87="IDENTIDAD",Q87="OBSERVACION_MAL_FORMADA",Q87="LEXEMA_O_FORMA"),"NO_ADMISION",IF(OR(Q87="PERFIL_NO_CONSTITUIDO",Q87="RESULTADO_NO_TERMINAL"),"FUERA_PERFIL",IF(Q87="CONTEXTO_NO_CONSTITUIDO","CONFIGURACION_PENDIENTE","VALIDA"))))</x:f>
        <x:v>VALIDA</x:v>
      </x:c>
      <x:c r="P87" s="12" t="str">
        <x:f>IF(O87&lt;&gt;"VALIDA","",IF(Q87=AA87,"1",IF(Q87=AB87,"0","U")))</x:f>
        <x:v>1</x:v>
      </x:c>
      <x:c r="Q87" s="12" t="str">
        <x:f>IF(E87="FALLO","SIN_EJECUCION_DOMINIO",IF(E87&lt;&gt;"LEGIBLE","CAPTURA_MAL_FORMADA",IF(D87&lt;&gt;"COINCIDE","IDENTIDAD",IF(OR(T87="",C87&lt;&gt;T87),"PERFIL_NO_CONSTITUIDO",IF(K87&lt;&gt;V87,IF(V87="ORDEN_ACREDITADO","ORDEN_NO_ACREDITADO","CONTEXTO_NO_CONSTITUIDO"),IF(AND(G87="AUSENTE",H87="",I87=""),"DATO_AUSENTE",IF(AND(G87="CONFLICTO",H87="",I87=""),"CONFLICTO_OBSERVACIONAL",IF(G87&lt;&gt;"UNICA","OBSERVACION_MAL_FORMADA",IF(F87&lt;&gt;U87,"OBSERVACION_INSUFICIENTE",IF(W87="RESULTADO",IF(H87=X87,AA87,IF(OR(H87="orcSucceededWithErrors",H87="orcFailed",H87="orcAborted"),AB87,IF(OR(H87="orcNotStarted",H87="orcInProgress"),"RESULTADO_NO_TERMINAL","LEXEMA_O_FORMA"))),IF(W87="EVENTO_BOOT",IF(H87=X87,AA87,IF(OR(H87="NINGUNO",H87="SOLO_HIBRIDO"),IF(J87="COMPLETA",AB87,"COBERTURA_INSUFICIENTE"),"LEXEMA_O_FORMA")),IF(W87="REQUISITO_SOFT",IF(H87=X87,AA87,IF(H87=Z87,AB87,"LEXEMA_O_FORMA")),IF(W87="EVENTO_PROC",IF(H87=X87,AA87,IF(H87=Z87,IF(J87="COMPLETA",AB87,"COBERTURA_INSUFICIENTE"),"LEXEMA_O_FORMA")),IF(W87="IMAGEN",IF(AND(AND(ISTEXT(H87),LEN(("x"&amp;H87))=65,EXACT(("x"&amp;H87),LOWER(("x"&amp;H87))),ISERROR(SEARCH(" ",("x"&amp;H87))),ISERROR(SEARCH(CHAR(9),("x"&amp;H87))),ISERROR(SEARCH(CHAR(10),("x"&amp;H87))),ISERROR(SEARCH(CHAR(13),("x"&amp;H87))),IFERROR(HEX2DEC(MID(("x"&amp;H87),2,8))&gt;=0,FALSE),IFERROR(HEX2DEC(MID(("x"&amp;H87),10,8))&gt;=0,FALSE),IFERROR(HEX2DEC(MID(("x"&amp;H87),18,8))&gt;=0,FALSE),IFERROR(HEX2DEC(MID(("x"&amp;H87),26,8))&gt;=0,FALSE),IFERROR(HEX2DEC(MID(("x"&amp;H87),34,8))&gt;=0,FALSE),IFERROR(HEX2DEC(MID(("x"&amp;H87),42,8))&gt;=0,FALSE),IFERROR(HEX2DEC(MID(("x"&amp;H87),50,8))&gt;=0,FALSE),IFERROR(HEX2DEC(MID(("x"&amp;H87),58,8))&gt;=0,FALSE)),AND(ISTEXT(I87),LEN(("x"&amp;I87))=65,EXACT(("x"&amp;I87),LOWER(("x"&amp;I87))),ISERROR(SEARCH(" ",("x"&amp;I87))),ISERROR(SEARCH(CHAR(9),("x"&amp;I87))),ISERROR(SEARCH(CHAR(10),("x"&amp;I87))),ISERROR(SEARCH(CHAR(13),("x"&amp;I87))),IFERROR(HEX2DEC(MID(("x"&amp;I87),2,8))&gt;=0,FALSE),IFERROR(HEX2DEC(MID(("x"&amp;I87),10,8))&gt;=0,FALSE),IFERROR(HEX2DEC(MID(("x"&amp;I87),18,8))&gt;=0,FALSE),IFERROR(HEX2DEC(MID(("x"&amp;I87),26,8))&gt;=0,FALSE),IFERROR(HEX2DEC(MID(("x"&amp;I87),34,8))&gt;=0,FALSE),IFERROR(HEX2DEC(MID(("x"&amp;I87),42,8))&gt;=0,FALSE),IFERROR(HEX2DEC(MID(("x"&amp;I87),50,8))&gt;=0,FALSE),IFERROR(HEX2DEC(MID(("x"&amp;I87),58,8))&gt;=0,FALSE))),IF(EXACT("x"&amp;H87,"x"&amp;I87),AA87,AB87),"LEXEMA_O_FORMA"),IF(W87="PRUEBA",IF(H87=X87,AA87,IF(H87=Z87,AB87,"LEXEMA_O_FORMA")),IF(W87="RETIRADA",IF(AND(H87="NINGUNO",I87=""),IF(J87="COMPLETA",AB87,"COBERTURA_INSUFICIENTE"),IF(AND(OR(H87="uoInstallation",H87="uoUninstallation"),OR(I87="orcSucceeded",I87="orcSucceededWithErrors",I87="orcFailed",I87="orcAborted",I87="orcInProgress",I87="orcNotStarted")),IF(AND(H87=X87,I87=Y87),AA87,IF(AND(H87=X87,OR(I87="orcSucceededWithErrors",I87="orcInProgress",I87="orcNotStarted")),"RESULTADO_RETIRADA_INCIERTO",IF(J87="COMPLETA",AB87,"COBERTURA_INSUFICIENTE"))),"LEXEMA_O_FORMA")),IF(W87="CAMBIO",IF(OR(H87="CAMBIO",H87="CAMBIO_Y_RETORNO"),AA87,IF(OR(H87="NINGUNO",H87="SOLO_RENOMBRE"),IF(J87="COMPLETA",AB87,"COBERTURA_INSUFICIENTE"),"LEXEMA_O_FORMA")),IF(W87="RESTAURACION",IF(H87=X87,AA87,IF(OR(H87="NINGUNO",H87="RESTAURACION_POSTERIOR",H87="RESTAURACION_FALLIDA"),IF(J87="COMPLETA",AB87,"COBERTURA_INSUFICIENTE"),"LEXEMA_O_FORMA")),"PERFIL_NO_CONSTITUIDO"))))))))))))))))))</x:f>
        <x:v>RETIRADA_EXITOSA</x:v>
      </x:c>
      <x:c r="R87" s="12" t="str">
        <x:f>IF(AND(L87=O87,M87=P87,N87=Q87),"PASA","NO_PASA")</x:f>
        <x:v>PASA</x:v>
      </x:c>
      <x:c r="S87" s="4" t="str">
        <x:v>Testigo positivo de la proposición; no licencia ninguna conclusión más amplia.</x:v>
      </x:c>
      <x:c r="T87" s="12" t="str">
        <x:f>IFERROR(INDEX('55_Codificacion_ensayo'!$B$5:$B$13,MATCH(B87,'55_Codificacion_ensayo'!$A$5:$A$13,0)),"")</x:f>
        <x:v>HISTORIA-RETIRADA-ACTUALIZACION-0.1</x:v>
      </x:c>
      <x:c r="U87" s="12" t="str">
        <x:f>IFERROR(INDEX('55_Codificacion_ensayo'!$C$5:$C$13,MATCH(B87,'55_Codificacion_ensayo'!$A$5:$A$13,0)),"")</x:f>
        <x:v>HISTORIA_WUA</x:v>
      </x:c>
      <x:c r="V87" s="12" t="str">
        <x:f>IFERROR(INDEX('55_Codificacion_ensayo'!$D$5:$D$13,MATCH(B87,'55_Codificacion_ensayo'!$A$5:$A$13,0)),"")</x:f>
        <x:v>ORDEN_ACREDITADO</x:v>
      </x:c>
      <x:c r="W87" s="12" t="str">
        <x:f>IFERROR(INDEX('55_Codificacion_ensayo'!$E$5:$E$13,MATCH(B87,'55_Codificacion_ensayo'!$A$5:$A$13,0)),"")</x:f>
        <x:v>RETIRADA</x:v>
      </x:c>
      <x:c r="X87" s="12" t="str">
        <x:f>IFERROR(INDEX('55_Codificacion_ensayo'!$F$5:$F$13,MATCH(B87,'55_Codificacion_ensayo'!$A$5:$A$13,0)),"")</x:f>
        <x:v>uoUninstallation</x:v>
      </x:c>
      <x:c r="Y87" s="12" t="str">
        <x:f>IFERROR(INDEX('55_Codificacion_ensayo'!$G$5:$G$13,MATCH(B87,'55_Codificacion_ensayo'!$A$5:$A$13,0)),"")</x:f>
        <x:v>orcSucceeded</x:v>
      </x:c>
      <x:c r="Z87" s="12" t="str">
        <x:f>IFERROR(INDEX('55_Codificacion_ensayo'!$H$5:$H$13,MATCH(B87,'55_Codificacion_ensayo'!$A$5:$A$13,0)),"")</x:f>
        <x:v>NINGUNO</x:v>
      </x:c>
      <x:c r="AA87" s="12" t="str">
        <x:f>IFERROR(INDEX('55_Codificacion_ensayo'!$I$5:$I$13,MATCH(B87,'55_Codificacion_ensayo'!$A$5:$A$13,0)),"")</x:f>
        <x:v>RETIRADA_EXITOSA</x:v>
      </x:c>
      <x:c r="AB87" s="12" t="str">
        <x:f>IFERROR(INDEX('55_Codificacion_ensayo'!$J$5:$J$13,MATCH(B87,'55_Codificacion_ensayo'!$A$5:$A$13,0)),"")</x:f>
        <x:v>SIN_RETIRADA_EXITOSA</x:v>
      </x:c>
    </x:row>
    <x:row r="88" ht="47" customHeight="1">
      <x:c r="A88" s="4" t="str">
        <x:v>L10-08-02</x:v>
      </x:c>
      <x:c r="B88" s="4" t="str">
        <x:v>PAR-CYB-RETIRADA-EXITOSA-COMUNICADA-001</x:v>
      </x:c>
      <x:c r="C88" s="4" t="str">
        <x:v>HISTORIA-RETIRADA-ACTUALIZACION-0.1</x:v>
      </x:c>
      <x:c r="D88" s="4" t="str">
        <x:v>COINCIDE</x:v>
      </x:c>
      <x:c r="E88" s="4" t="str">
        <x:v>LEGIBLE</x:v>
      </x:c>
      <x:c r="F88" s="4" t="str">
        <x:v>HISTORIA_WUA</x:v>
      </x:c>
      <x:c r="G88" s="4" t="str">
        <x:v>UNICA</x:v>
      </x:c>
      <x:c r="H88" s="4" t="str">
        <x:v>NINGUNO</x:v>
      </x:c>
      <x:c r="I88" s="4" t="str"/>
      <x:c r="J88" s="4" t="str">
        <x:v>COMPLETA</x:v>
      </x:c>
      <x:c r="K88" s="4" t="str">
        <x:v>ORDEN_ACREDITADO</x:v>
      </x:c>
      <x:c r="L88" s="4" t="str">
        <x:v>VALIDA</x:v>
      </x:c>
      <x:c r="M88" s="4" t="str">
        <x:v>0</x:v>
      </x:c>
      <x:c r="N88" s="4" t="str">
        <x:v>SIN_RETIRADA_EXITOSA</x:v>
      </x:c>
      <x:c r="O88" s="12" t="str">
        <x:f>IF(Q88="SIN_EJECUCION_DOMINIO","FALLO_CAPTURA",IF(OR(Q88="CAPTURA_MAL_FORMADA",Q88="IDENTIDAD",Q88="OBSERVACION_MAL_FORMADA",Q88="LEXEMA_O_FORMA"),"NO_ADMISION",IF(OR(Q88="PERFIL_NO_CONSTITUIDO",Q88="RESULTADO_NO_TERMINAL"),"FUERA_PERFIL",IF(Q88="CONTEXTO_NO_CONSTITUIDO","CONFIGURACION_PENDIENTE","VALIDA"))))</x:f>
        <x:v>VALIDA</x:v>
      </x:c>
      <x:c r="P88" s="12" t="str">
        <x:f>IF(O88&lt;&gt;"VALIDA","",IF(Q88=AA88,"1",IF(Q88=AB88,"0","U")))</x:f>
        <x:v>0</x:v>
      </x:c>
      <x:c r="Q88" s="12" t="str">
        <x:f>IF(E88="FALLO","SIN_EJECUCION_DOMINIO",IF(E88&lt;&gt;"LEGIBLE","CAPTURA_MAL_FORMADA",IF(D88&lt;&gt;"COINCIDE","IDENTIDAD",IF(OR(T88="",C88&lt;&gt;T88),"PERFIL_NO_CONSTITUIDO",IF(K88&lt;&gt;V88,IF(V88="ORDEN_ACREDITADO","ORDEN_NO_ACREDITADO","CONTEXTO_NO_CONSTITUIDO"),IF(AND(G88="AUSENTE",H88="",I88=""),"DATO_AUSENTE",IF(AND(G88="CONFLICTO",H88="",I88=""),"CONFLICTO_OBSERVACIONAL",IF(G88&lt;&gt;"UNICA","OBSERVACION_MAL_FORMADA",IF(F88&lt;&gt;U88,"OBSERVACION_INSUFICIENTE",IF(W88="RESULTADO",IF(H88=X88,AA88,IF(OR(H88="orcSucceededWithErrors",H88="orcFailed",H88="orcAborted"),AB88,IF(OR(H88="orcNotStarted",H88="orcInProgress"),"RESULTADO_NO_TERMINAL","LEXEMA_O_FORMA"))),IF(W88="EVENTO_BOOT",IF(H88=X88,AA88,IF(OR(H88="NINGUNO",H88="SOLO_HIBRIDO"),IF(J88="COMPLETA",AB88,"COBERTURA_INSUFICIENTE"),"LEXEMA_O_FORMA")),IF(W88="REQUISITO_SOFT",IF(H88=X88,AA88,IF(H88=Z88,AB88,"LEXEMA_O_FORMA")),IF(W88="EVENTO_PROC",IF(H88=X88,AA88,IF(H88=Z88,IF(J88="COMPLETA",AB88,"COBERTURA_INSUFICIENTE"),"LEXEMA_O_FORMA")),IF(W88="IMAGEN",IF(AND(AND(ISTEXT(H88),LEN(("x"&amp;H88))=65,EXACT(("x"&amp;H88),LOWER(("x"&amp;H88))),ISERROR(SEARCH(" ",("x"&amp;H88))),ISERROR(SEARCH(CHAR(9),("x"&amp;H88))),ISERROR(SEARCH(CHAR(10),("x"&amp;H88))),ISERROR(SEARCH(CHAR(13),("x"&amp;H88))),IFERROR(HEX2DEC(MID(("x"&amp;H88),2,8))&gt;=0,FALSE),IFERROR(HEX2DEC(MID(("x"&amp;H88),10,8))&gt;=0,FALSE),IFERROR(HEX2DEC(MID(("x"&amp;H88),18,8))&gt;=0,FALSE),IFERROR(HEX2DEC(MID(("x"&amp;H88),26,8))&gt;=0,FALSE),IFERROR(HEX2DEC(MID(("x"&amp;H88),34,8))&gt;=0,FALSE),IFERROR(HEX2DEC(MID(("x"&amp;H88),42,8))&gt;=0,FALSE),IFERROR(HEX2DEC(MID(("x"&amp;H88),50,8))&gt;=0,FALSE),IFERROR(HEX2DEC(MID(("x"&amp;H88),58,8))&gt;=0,FALSE)),AND(ISTEXT(I88),LEN(("x"&amp;I88))=65,EXACT(("x"&amp;I88),LOWER(("x"&amp;I88))),ISERROR(SEARCH(" ",("x"&amp;I88))),ISERROR(SEARCH(CHAR(9),("x"&amp;I88))),ISERROR(SEARCH(CHAR(10),("x"&amp;I88))),ISERROR(SEARCH(CHAR(13),("x"&amp;I88))),IFERROR(HEX2DEC(MID(("x"&amp;I88),2,8))&gt;=0,FALSE),IFERROR(HEX2DEC(MID(("x"&amp;I88),10,8))&gt;=0,FALSE),IFERROR(HEX2DEC(MID(("x"&amp;I88),18,8))&gt;=0,FALSE),IFERROR(HEX2DEC(MID(("x"&amp;I88),26,8))&gt;=0,FALSE),IFERROR(HEX2DEC(MID(("x"&amp;I88),34,8))&gt;=0,FALSE),IFERROR(HEX2DEC(MID(("x"&amp;I88),42,8))&gt;=0,FALSE),IFERROR(HEX2DEC(MID(("x"&amp;I88),50,8))&gt;=0,FALSE),IFERROR(HEX2DEC(MID(("x"&amp;I88),58,8))&gt;=0,FALSE))),IF(EXACT("x"&amp;H88,"x"&amp;I88),AA88,AB88),"LEXEMA_O_FORMA"),IF(W88="PRUEBA",IF(H88=X88,AA88,IF(H88=Z88,AB88,"LEXEMA_O_FORMA")),IF(W88="RETIRADA",IF(AND(H88="NINGUNO",I88=""),IF(J88="COMPLETA",AB88,"COBERTURA_INSUFICIENTE"),IF(AND(OR(H88="uoInstallation",H88="uoUninstallation"),OR(I88="orcSucceeded",I88="orcSucceededWithErrors",I88="orcFailed",I88="orcAborted",I88="orcInProgress",I88="orcNotStarted")),IF(AND(H88=X88,I88=Y88),AA88,IF(AND(H88=X88,OR(I88="orcSucceededWithErrors",I88="orcInProgress",I88="orcNotStarted")),"RESULTADO_RETIRADA_INCIERTO",IF(J88="COMPLETA",AB88,"COBERTURA_INSUFICIENTE"))),"LEXEMA_O_FORMA")),IF(W88="CAMBIO",IF(OR(H88="CAMBIO",H88="CAMBIO_Y_RETORNO"),AA88,IF(OR(H88="NINGUNO",H88="SOLO_RENOMBRE"),IF(J88="COMPLETA",AB88,"COBERTURA_INSUFICIENTE"),"LEXEMA_O_FORMA")),IF(W88="RESTAURACION",IF(H88=X88,AA88,IF(OR(H88="NINGUNO",H88="RESTAURACION_POSTERIOR",H88="RESTAURACION_FALLIDA"),IF(J88="COMPLETA",AB88,"COBERTURA_INSUFICIENTE"),"LEXEMA_O_FORMA")),"PERFIL_NO_CONSTITUIDO"))))))))))))))))))</x:f>
        <x:v>SIN_RETIRADA_EXITOSA</x:v>
      </x:c>
      <x:c r="R88" s="12" t="str">
        <x:f>IF(AND(L88=O88,M88=P88,N88=Q88),"PASA","NO_PASA")</x:f>
        <x:v>PASA</x:v>
      </x:c>
      <x:c r="S88" s="4" t="str">
        <x:v>Negativo explícito; en eventos exige cobertura del intervalo.</x:v>
      </x:c>
      <x:c r="T88" s="12" t="str">
        <x:f>IFERROR(INDEX('55_Codificacion_ensayo'!$B$5:$B$13,MATCH(B88,'55_Codificacion_ensayo'!$A$5:$A$13,0)),"")</x:f>
        <x:v>HISTORIA-RETIRADA-ACTUALIZACION-0.1</x:v>
      </x:c>
      <x:c r="U88" s="12" t="str">
        <x:f>IFERROR(INDEX('55_Codificacion_ensayo'!$C$5:$C$13,MATCH(B88,'55_Codificacion_ensayo'!$A$5:$A$13,0)),"")</x:f>
        <x:v>HISTORIA_WUA</x:v>
      </x:c>
      <x:c r="V88" s="12" t="str">
        <x:f>IFERROR(INDEX('55_Codificacion_ensayo'!$D$5:$D$13,MATCH(B88,'55_Codificacion_ensayo'!$A$5:$A$13,0)),"")</x:f>
        <x:v>ORDEN_ACREDITADO</x:v>
      </x:c>
      <x:c r="W88" s="12" t="str">
        <x:f>IFERROR(INDEX('55_Codificacion_ensayo'!$E$5:$E$13,MATCH(B88,'55_Codificacion_ensayo'!$A$5:$A$13,0)),"")</x:f>
        <x:v>RETIRADA</x:v>
      </x:c>
      <x:c r="X88" s="12" t="str">
        <x:f>IFERROR(INDEX('55_Codificacion_ensayo'!$F$5:$F$13,MATCH(B88,'55_Codificacion_ensayo'!$A$5:$A$13,0)),"")</x:f>
        <x:v>uoUninstallation</x:v>
      </x:c>
      <x:c r="Y88" s="12" t="str">
        <x:f>IFERROR(INDEX('55_Codificacion_ensayo'!$G$5:$G$13,MATCH(B88,'55_Codificacion_ensayo'!$A$5:$A$13,0)),"")</x:f>
        <x:v>orcSucceeded</x:v>
      </x:c>
      <x:c r="Z88" s="12" t="str">
        <x:f>IFERROR(INDEX('55_Codificacion_ensayo'!$H$5:$H$13,MATCH(B88,'55_Codificacion_ensayo'!$A$5:$A$13,0)),"")</x:f>
        <x:v>NINGUNO</x:v>
      </x:c>
      <x:c r="AA88" s="12" t="str">
        <x:f>IFERROR(INDEX('55_Codificacion_ensayo'!$I$5:$I$13,MATCH(B88,'55_Codificacion_ensayo'!$A$5:$A$13,0)),"")</x:f>
        <x:v>RETIRADA_EXITOSA</x:v>
      </x:c>
      <x:c r="AB88" s="12" t="str">
        <x:f>IFERROR(INDEX('55_Codificacion_ensayo'!$J$5:$J$13,MATCH(B88,'55_Codificacion_ensayo'!$A$5:$A$13,0)),"")</x:f>
        <x:v>SIN_RETIRADA_EXITOSA</x:v>
      </x:c>
    </x:row>
    <x:row r="89" ht="47" customHeight="1">
      <x:c r="A89" s="4" t="str">
        <x:v>L10-08-03</x:v>
      </x:c>
      <x:c r="B89" s="4" t="str">
        <x:v>PAR-CYB-RETIRADA-EXITOSA-COMUNICADA-001</x:v>
      </x:c>
      <x:c r="C89" s="4" t="str">
        <x:v>HISTORIA-RETIRADA-ACTUALIZACION-0.1</x:v>
      </x:c>
      <x:c r="D89" s="4" t="str">
        <x:v>COINCIDE</x:v>
      </x:c>
      <x:c r="E89" s="4" t="str">
        <x:v>LEGIBLE</x:v>
      </x:c>
      <x:c r="F89" s="4" t="str">
        <x:v>HISTORIA_WUA</x:v>
      </x:c>
      <x:c r="G89" s="4" t="str">
        <x:v>AUSENTE</x:v>
      </x:c>
      <x:c r="H89" s="4" t="str"/>
      <x:c r="I89" s="4" t="str"/>
      <x:c r="J89" s="4" t="str">
        <x:v>COMPLETA</x:v>
      </x:c>
      <x:c r="K89" s="4" t="str">
        <x:v>ORDEN_ACREDITADO</x:v>
      </x:c>
      <x:c r="L89" s="4" t="str">
        <x:v>VALIDA</x:v>
      </x:c>
      <x:c r="M89" s="4" t="str">
        <x:v>U</x:v>
      </x:c>
      <x:c r="N89" s="4" t="str">
        <x:v>DATO_AUSENTE</x:v>
      </x:c>
      <x:c r="O89" s="12" t="str">
        <x:f>IF(Q89="SIN_EJECUCION_DOMINIO","FALLO_CAPTURA",IF(OR(Q89="CAPTURA_MAL_FORMADA",Q89="IDENTIDAD",Q89="OBSERVACION_MAL_FORMADA",Q89="LEXEMA_O_FORMA"),"NO_ADMISION",IF(OR(Q89="PERFIL_NO_CONSTITUIDO",Q89="RESULTADO_NO_TERMINAL"),"FUERA_PERFIL",IF(Q89="CONTEXTO_NO_CONSTITUIDO","CONFIGURACION_PENDIENTE","VALIDA"))))</x:f>
        <x:v>VALIDA</x:v>
      </x:c>
      <x:c r="P89" s="12" t="str">
        <x:f>IF(O89&lt;&gt;"VALIDA","",IF(Q89=AA89,"1",IF(Q89=AB89,"0","U")))</x:f>
        <x:v>U</x:v>
      </x:c>
      <x:c r="Q89" s="12" t="str">
        <x:f>IF(E89="FALLO","SIN_EJECUCION_DOMINIO",IF(E89&lt;&gt;"LEGIBLE","CAPTURA_MAL_FORMADA",IF(D89&lt;&gt;"COINCIDE","IDENTIDAD",IF(OR(T89="",C89&lt;&gt;T89),"PERFIL_NO_CONSTITUIDO",IF(K89&lt;&gt;V89,IF(V89="ORDEN_ACREDITADO","ORDEN_NO_ACREDITADO","CONTEXTO_NO_CONSTITUIDO"),IF(AND(G89="AUSENTE",H89="",I89=""),"DATO_AUSENTE",IF(AND(G89="CONFLICTO",H89="",I89=""),"CONFLICTO_OBSERVACIONAL",IF(G89&lt;&gt;"UNICA","OBSERVACION_MAL_FORMADA",IF(F89&lt;&gt;U89,"OBSERVACION_INSUFICIENTE",IF(W89="RESULTADO",IF(H89=X89,AA89,IF(OR(H89="orcSucceededWithErrors",H89="orcFailed",H89="orcAborted"),AB89,IF(OR(H89="orcNotStarted",H89="orcInProgress"),"RESULTADO_NO_TERMINAL","LEXEMA_O_FORMA"))),IF(W89="EVENTO_BOOT",IF(H89=X89,AA89,IF(OR(H89="NINGUNO",H89="SOLO_HIBRIDO"),IF(J89="COMPLETA",AB89,"COBERTURA_INSUFICIENTE"),"LEXEMA_O_FORMA")),IF(W89="REQUISITO_SOFT",IF(H89=X89,AA89,IF(H89=Z89,AB89,"LEXEMA_O_FORMA")),IF(W89="EVENTO_PROC",IF(H89=X89,AA89,IF(H89=Z89,IF(J89="COMPLETA",AB89,"COBERTURA_INSUFICIENTE"),"LEXEMA_O_FORMA")),IF(W89="IMAGEN",IF(AND(AND(ISTEXT(H89),LEN(("x"&amp;H89))=65,EXACT(("x"&amp;H89),LOWER(("x"&amp;H89))),ISERROR(SEARCH(" ",("x"&amp;H89))),ISERROR(SEARCH(CHAR(9),("x"&amp;H89))),ISERROR(SEARCH(CHAR(10),("x"&amp;H89))),ISERROR(SEARCH(CHAR(13),("x"&amp;H89))),IFERROR(HEX2DEC(MID(("x"&amp;H89),2,8))&gt;=0,FALSE),IFERROR(HEX2DEC(MID(("x"&amp;H89),10,8))&gt;=0,FALSE),IFERROR(HEX2DEC(MID(("x"&amp;H89),18,8))&gt;=0,FALSE),IFERROR(HEX2DEC(MID(("x"&amp;H89),26,8))&gt;=0,FALSE),IFERROR(HEX2DEC(MID(("x"&amp;H89),34,8))&gt;=0,FALSE),IFERROR(HEX2DEC(MID(("x"&amp;H89),42,8))&gt;=0,FALSE),IFERROR(HEX2DEC(MID(("x"&amp;H89),50,8))&gt;=0,FALSE),IFERROR(HEX2DEC(MID(("x"&amp;H89),58,8))&gt;=0,FALSE)),AND(ISTEXT(I89),LEN(("x"&amp;I89))=65,EXACT(("x"&amp;I89),LOWER(("x"&amp;I89))),ISERROR(SEARCH(" ",("x"&amp;I89))),ISERROR(SEARCH(CHAR(9),("x"&amp;I89))),ISERROR(SEARCH(CHAR(10),("x"&amp;I89))),ISERROR(SEARCH(CHAR(13),("x"&amp;I89))),IFERROR(HEX2DEC(MID(("x"&amp;I89),2,8))&gt;=0,FALSE),IFERROR(HEX2DEC(MID(("x"&amp;I89),10,8))&gt;=0,FALSE),IFERROR(HEX2DEC(MID(("x"&amp;I89),18,8))&gt;=0,FALSE),IFERROR(HEX2DEC(MID(("x"&amp;I89),26,8))&gt;=0,FALSE),IFERROR(HEX2DEC(MID(("x"&amp;I89),34,8))&gt;=0,FALSE),IFERROR(HEX2DEC(MID(("x"&amp;I89),42,8))&gt;=0,FALSE),IFERROR(HEX2DEC(MID(("x"&amp;I89),50,8))&gt;=0,FALSE),IFERROR(HEX2DEC(MID(("x"&amp;I89),58,8))&gt;=0,FALSE))),IF(EXACT("x"&amp;H89,"x"&amp;I89),AA89,AB89),"LEXEMA_O_FORMA"),IF(W89="PRUEBA",IF(H89=X89,AA89,IF(H89=Z89,AB89,"LEXEMA_O_FORMA")),IF(W89="RETIRADA",IF(AND(H89="NINGUNO",I89=""),IF(J89="COMPLETA",AB89,"COBERTURA_INSUFICIENTE"),IF(AND(OR(H89="uoInstallation",H89="uoUninstallation"),OR(I89="orcSucceeded",I89="orcSucceededWithErrors",I89="orcFailed",I89="orcAborted",I89="orcInProgress",I89="orcNotStarted")),IF(AND(H89=X89,I89=Y89),AA89,IF(AND(H89=X89,OR(I89="orcSucceededWithErrors",I89="orcInProgress",I89="orcNotStarted")),"RESULTADO_RETIRADA_INCIERTO",IF(J89="COMPLETA",AB89,"COBERTURA_INSUFICIENTE"))),"LEXEMA_O_FORMA")),IF(W89="CAMBIO",IF(OR(H89="CAMBIO",H89="CAMBIO_Y_RETORNO"),AA89,IF(OR(H89="NINGUNO",H89="SOLO_RENOMBRE"),IF(J89="COMPLETA",AB89,"COBERTURA_INSUFICIENTE"),"LEXEMA_O_FORMA")),IF(W89="RESTAURACION",IF(H89=X89,AA89,IF(OR(H89="NINGUNO",H89="RESTAURACION_POSTERIOR",H89="RESTAURACION_FALLIDA"),IF(J89="COMPLETA",AB89,"COBERTURA_INSUFICIENTE"),"LEXEMA_O_FORMA")),"PERFIL_NO_CONSTITUIDO"))))))))))))))))))</x:f>
        <x:v>DATO_AUSENTE</x:v>
      </x:c>
      <x:c r="R89" s="12" t="str">
        <x:f>IF(AND(L89=O89,M89=P89,N89=Q89),"PASA","NO_PASA")</x:f>
        <x:v>PASA</x:v>
      </x:c>
      <x:c r="S89" s="4" t="str">
        <x:v>Documento declara que falta la observación, sin convertir ausencia en 0.</x:v>
      </x:c>
      <x:c r="T89" s="12" t="str">
        <x:f>IFERROR(INDEX('55_Codificacion_ensayo'!$B$5:$B$13,MATCH(B89,'55_Codificacion_ensayo'!$A$5:$A$13,0)),"")</x:f>
        <x:v>HISTORIA-RETIRADA-ACTUALIZACION-0.1</x:v>
      </x:c>
      <x:c r="U89" s="12" t="str">
        <x:f>IFERROR(INDEX('55_Codificacion_ensayo'!$C$5:$C$13,MATCH(B89,'55_Codificacion_ensayo'!$A$5:$A$13,0)),"")</x:f>
        <x:v>HISTORIA_WUA</x:v>
      </x:c>
      <x:c r="V89" s="12" t="str">
        <x:f>IFERROR(INDEX('55_Codificacion_ensayo'!$D$5:$D$13,MATCH(B89,'55_Codificacion_ensayo'!$A$5:$A$13,0)),"")</x:f>
        <x:v>ORDEN_ACREDITADO</x:v>
      </x:c>
      <x:c r="W89" s="12" t="str">
        <x:f>IFERROR(INDEX('55_Codificacion_ensayo'!$E$5:$E$13,MATCH(B89,'55_Codificacion_ensayo'!$A$5:$A$13,0)),"")</x:f>
        <x:v>RETIRADA</x:v>
      </x:c>
      <x:c r="X89" s="12" t="str">
        <x:f>IFERROR(INDEX('55_Codificacion_ensayo'!$F$5:$F$13,MATCH(B89,'55_Codificacion_ensayo'!$A$5:$A$13,0)),"")</x:f>
        <x:v>uoUninstallation</x:v>
      </x:c>
      <x:c r="Y89" s="12" t="str">
        <x:f>IFERROR(INDEX('55_Codificacion_ensayo'!$G$5:$G$13,MATCH(B89,'55_Codificacion_ensayo'!$A$5:$A$13,0)),"")</x:f>
        <x:v>orcSucceeded</x:v>
      </x:c>
      <x:c r="Z89" s="12" t="str">
        <x:f>IFERROR(INDEX('55_Codificacion_ensayo'!$H$5:$H$13,MATCH(B89,'55_Codificacion_ensayo'!$A$5:$A$13,0)),"")</x:f>
        <x:v>NINGUNO</x:v>
      </x:c>
      <x:c r="AA89" s="12" t="str">
        <x:f>IFERROR(INDEX('55_Codificacion_ensayo'!$I$5:$I$13,MATCH(B89,'55_Codificacion_ensayo'!$A$5:$A$13,0)),"")</x:f>
        <x:v>RETIRADA_EXITOSA</x:v>
      </x:c>
      <x:c r="AB89" s="12" t="str">
        <x:f>IFERROR(INDEX('55_Codificacion_ensayo'!$J$5:$J$13,MATCH(B89,'55_Codificacion_ensayo'!$A$5:$A$13,0)),"")</x:f>
        <x:v>SIN_RETIRADA_EXITOSA</x:v>
      </x:c>
    </x:row>
    <x:row r="90" ht="47" customHeight="1">
      <x:c r="A90" s="4" t="str">
        <x:v>L10-08-04</x:v>
      </x:c>
      <x:c r="B90" s="4" t="str">
        <x:v>PAR-CYB-RETIRADA-EXITOSA-COMUNICADA-001</x:v>
      </x:c>
      <x:c r="C90" s="4" t="str">
        <x:v>HISTORIA-RETIRADA-ACTUALIZACION-0.1</x:v>
      </x:c>
      <x:c r="D90" s="4" t="str">
        <x:v>COINCIDE</x:v>
      </x:c>
      <x:c r="E90" s="4" t="str">
        <x:v>LEGIBLE</x:v>
      </x:c>
      <x:c r="F90" s="4" t="str">
        <x:v>HISTORIA_WUA</x:v>
      </x:c>
      <x:c r="G90" s="4" t="str">
        <x:v>CONFLICTO</x:v>
      </x:c>
      <x:c r="H90" s="4" t="str"/>
      <x:c r="I90" s="4" t="str"/>
      <x:c r="J90" s="4" t="str">
        <x:v>COMPLETA</x:v>
      </x:c>
      <x:c r="K90" s="4" t="str">
        <x:v>ORDEN_ACREDITADO</x:v>
      </x:c>
      <x:c r="L90" s="4" t="str">
        <x:v>VALIDA</x:v>
      </x:c>
      <x:c r="M90" s="4" t="str">
        <x:v>U</x:v>
      </x:c>
      <x:c r="N90" s="4" t="str">
        <x:v>CONFLICTO_OBSERVACIONAL</x:v>
      </x:c>
      <x:c r="O90" s="12" t="str">
        <x:f>IF(Q90="SIN_EJECUCION_DOMINIO","FALLO_CAPTURA",IF(OR(Q90="CAPTURA_MAL_FORMADA",Q90="IDENTIDAD",Q90="OBSERVACION_MAL_FORMADA",Q90="LEXEMA_O_FORMA"),"NO_ADMISION",IF(OR(Q90="PERFIL_NO_CONSTITUIDO",Q90="RESULTADO_NO_TERMINAL"),"FUERA_PERFIL",IF(Q90="CONTEXTO_NO_CONSTITUIDO","CONFIGURACION_PENDIENTE","VALIDA"))))</x:f>
        <x:v>VALIDA</x:v>
      </x:c>
      <x:c r="P90" s="12" t="str">
        <x:f>IF(O90&lt;&gt;"VALIDA","",IF(Q90=AA90,"1",IF(Q90=AB90,"0","U")))</x:f>
        <x:v>U</x:v>
      </x:c>
      <x:c r="Q90" s="12" t="str">
        <x:f>IF(E90="FALLO","SIN_EJECUCION_DOMINIO",IF(E90&lt;&gt;"LEGIBLE","CAPTURA_MAL_FORMADA",IF(D90&lt;&gt;"COINCIDE","IDENTIDAD",IF(OR(T90="",C90&lt;&gt;T90),"PERFIL_NO_CONSTITUIDO",IF(K90&lt;&gt;V90,IF(V90="ORDEN_ACREDITADO","ORDEN_NO_ACREDITADO","CONTEXTO_NO_CONSTITUIDO"),IF(AND(G90="AUSENTE",H90="",I90=""),"DATO_AUSENTE",IF(AND(G90="CONFLICTO",H90="",I90=""),"CONFLICTO_OBSERVACIONAL",IF(G90&lt;&gt;"UNICA","OBSERVACION_MAL_FORMADA",IF(F90&lt;&gt;U90,"OBSERVACION_INSUFICIENTE",IF(W90="RESULTADO",IF(H90=X90,AA90,IF(OR(H90="orcSucceededWithErrors",H90="orcFailed",H90="orcAborted"),AB90,IF(OR(H90="orcNotStarted",H90="orcInProgress"),"RESULTADO_NO_TERMINAL","LEXEMA_O_FORMA"))),IF(W90="EVENTO_BOOT",IF(H90=X90,AA90,IF(OR(H90="NINGUNO",H90="SOLO_HIBRIDO"),IF(J90="COMPLETA",AB90,"COBERTURA_INSUFICIENTE"),"LEXEMA_O_FORMA")),IF(W90="REQUISITO_SOFT",IF(H90=X90,AA90,IF(H90=Z90,AB90,"LEXEMA_O_FORMA")),IF(W90="EVENTO_PROC",IF(H90=X90,AA90,IF(H90=Z90,IF(J90="COMPLETA",AB90,"COBERTURA_INSUFICIENTE"),"LEXEMA_O_FORMA")),IF(W90="IMAGEN",IF(AND(AND(ISTEXT(H90),LEN(("x"&amp;H90))=65,EXACT(("x"&amp;H90),LOWER(("x"&amp;H90))),ISERROR(SEARCH(" ",("x"&amp;H90))),ISERROR(SEARCH(CHAR(9),("x"&amp;H90))),ISERROR(SEARCH(CHAR(10),("x"&amp;H90))),ISERROR(SEARCH(CHAR(13),("x"&amp;H90))),IFERROR(HEX2DEC(MID(("x"&amp;H90),2,8))&gt;=0,FALSE),IFERROR(HEX2DEC(MID(("x"&amp;H90),10,8))&gt;=0,FALSE),IFERROR(HEX2DEC(MID(("x"&amp;H90),18,8))&gt;=0,FALSE),IFERROR(HEX2DEC(MID(("x"&amp;H90),26,8))&gt;=0,FALSE),IFERROR(HEX2DEC(MID(("x"&amp;H90),34,8))&gt;=0,FALSE),IFERROR(HEX2DEC(MID(("x"&amp;H90),42,8))&gt;=0,FALSE),IFERROR(HEX2DEC(MID(("x"&amp;H90),50,8))&gt;=0,FALSE),IFERROR(HEX2DEC(MID(("x"&amp;H90),58,8))&gt;=0,FALSE)),AND(ISTEXT(I90),LEN(("x"&amp;I90))=65,EXACT(("x"&amp;I90),LOWER(("x"&amp;I90))),ISERROR(SEARCH(" ",("x"&amp;I90))),ISERROR(SEARCH(CHAR(9),("x"&amp;I90))),ISERROR(SEARCH(CHAR(10),("x"&amp;I90))),ISERROR(SEARCH(CHAR(13),("x"&amp;I90))),IFERROR(HEX2DEC(MID(("x"&amp;I90),2,8))&gt;=0,FALSE),IFERROR(HEX2DEC(MID(("x"&amp;I90),10,8))&gt;=0,FALSE),IFERROR(HEX2DEC(MID(("x"&amp;I90),18,8))&gt;=0,FALSE),IFERROR(HEX2DEC(MID(("x"&amp;I90),26,8))&gt;=0,FALSE),IFERROR(HEX2DEC(MID(("x"&amp;I90),34,8))&gt;=0,FALSE),IFERROR(HEX2DEC(MID(("x"&amp;I90),42,8))&gt;=0,FALSE),IFERROR(HEX2DEC(MID(("x"&amp;I90),50,8))&gt;=0,FALSE),IFERROR(HEX2DEC(MID(("x"&amp;I90),58,8))&gt;=0,FALSE))),IF(EXACT("x"&amp;H90,"x"&amp;I90),AA90,AB90),"LEXEMA_O_FORMA"),IF(W90="PRUEBA",IF(H90=X90,AA90,IF(H90=Z90,AB90,"LEXEMA_O_FORMA")),IF(W90="RETIRADA",IF(AND(H90="NINGUNO",I90=""),IF(J90="COMPLETA",AB90,"COBERTURA_INSUFICIENTE"),IF(AND(OR(H90="uoInstallation",H90="uoUninstallation"),OR(I90="orcSucceeded",I90="orcSucceededWithErrors",I90="orcFailed",I90="orcAborted",I90="orcInProgress",I90="orcNotStarted")),IF(AND(H90=X90,I90=Y90),AA90,IF(AND(H90=X90,OR(I90="orcSucceededWithErrors",I90="orcInProgress",I90="orcNotStarted")),"RESULTADO_RETIRADA_INCIERTO",IF(J90="COMPLETA",AB90,"COBERTURA_INSUFICIENTE"))),"LEXEMA_O_FORMA")),IF(W90="CAMBIO",IF(OR(H90="CAMBIO",H90="CAMBIO_Y_RETORNO"),AA90,IF(OR(H90="NINGUNO",H90="SOLO_RENOMBRE"),IF(J90="COMPLETA",AB90,"COBERTURA_INSUFICIENTE"),"LEXEMA_O_FORMA")),IF(W90="RESTAURACION",IF(H90=X90,AA90,IF(OR(H90="NINGUNO",H90="RESTAURACION_POSTERIOR",H90="RESTAURACION_FALLIDA"),IF(J90="COMPLETA",AB90,"COBERTURA_INSUFICIENTE"),"LEXEMA_O_FORMA")),"PERFIL_NO_CONSTITUIDO"))))))))))))))))))</x:f>
        <x:v>CONFLICTO_OBSERVACIONAL</x:v>
      </x:c>
      <x:c r="R90" s="12" t="str">
        <x:f>IF(AND(L90=O90,M90=P90,N90=Q90),"PASA","NO_PASA")</x:f>
        <x:v>PASA</x:v>
      </x:c>
      <x:c r="S90" s="4" t="str">
        <x:v>Conflicto entre observaciones admitidas del mismo sujeto y corte.</x:v>
      </x:c>
      <x:c r="T90" s="12" t="str">
        <x:f>IFERROR(INDEX('55_Codificacion_ensayo'!$B$5:$B$13,MATCH(B90,'55_Codificacion_ensayo'!$A$5:$A$13,0)),"")</x:f>
        <x:v>HISTORIA-RETIRADA-ACTUALIZACION-0.1</x:v>
      </x:c>
      <x:c r="U90" s="12" t="str">
        <x:f>IFERROR(INDEX('55_Codificacion_ensayo'!$C$5:$C$13,MATCH(B90,'55_Codificacion_ensayo'!$A$5:$A$13,0)),"")</x:f>
        <x:v>HISTORIA_WUA</x:v>
      </x:c>
      <x:c r="V90" s="12" t="str">
        <x:f>IFERROR(INDEX('55_Codificacion_ensayo'!$D$5:$D$13,MATCH(B90,'55_Codificacion_ensayo'!$A$5:$A$13,0)),"")</x:f>
        <x:v>ORDEN_ACREDITADO</x:v>
      </x:c>
      <x:c r="W90" s="12" t="str">
        <x:f>IFERROR(INDEX('55_Codificacion_ensayo'!$E$5:$E$13,MATCH(B90,'55_Codificacion_ensayo'!$A$5:$A$13,0)),"")</x:f>
        <x:v>RETIRADA</x:v>
      </x:c>
      <x:c r="X90" s="12" t="str">
        <x:f>IFERROR(INDEX('55_Codificacion_ensayo'!$F$5:$F$13,MATCH(B90,'55_Codificacion_ensayo'!$A$5:$A$13,0)),"")</x:f>
        <x:v>uoUninstallation</x:v>
      </x:c>
      <x:c r="Y90" s="12" t="str">
        <x:f>IFERROR(INDEX('55_Codificacion_ensayo'!$G$5:$G$13,MATCH(B90,'55_Codificacion_ensayo'!$A$5:$A$13,0)),"")</x:f>
        <x:v>orcSucceeded</x:v>
      </x:c>
      <x:c r="Z90" s="12" t="str">
        <x:f>IFERROR(INDEX('55_Codificacion_ensayo'!$H$5:$H$13,MATCH(B90,'55_Codificacion_ensayo'!$A$5:$A$13,0)),"")</x:f>
        <x:v>NINGUNO</x:v>
      </x:c>
      <x:c r="AA90" s="12" t="str">
        <x:f>IFERROR(INDEX('55_Codificacion_ensayo'!$I$5:$I$13,MATCH(B90,'55_Codificacion_ensayo'!$A$5:$A$13,0)),"")</x:f>
        <x:v>RETIRADA_EXITOSA</x:v>
      </x:c>
      <x:c r="AB90" s="12" t="str">
        <x:f>IFERROR(INDEX('55_Codificacion_ensayo'!$J$5:$J$13,MATCH(B90,'55_Codificacion_ensayo'!$A$5:$A$13,0)),"")</x:f>
        <x:v>SIN_RETIRADA_EXITOSA</x:v>
      </x:c>
    </x:row>
    <x:row r="91" ht="47" customHeight="1">
      <x:c r="A91" s="4" t="str">
        <x:v>L10-08-05</x:v>
      </x:c>
      <x:c r="B91" s="4" t="str">
        <x:v>PAR-CYB-RETIRADA-EXITOSA-COMUNICADA-001</x:v>
      </x:c>
      <x:c r="C91" s="4" t="str">
        <x:v>HISTORIA-RETIRADA-ACTUALIZACION-0.1</x:v>
      </x:c>
      <x:c r="D91" s="4" t="str">
        <x:v>COINCIDE</x:v>
      </x:c>
      <x:c r="E91" s="4" t="str">
        <x:v>FALLO</x:v>
      </x:c>
      <x:c r="F91" s="4" t="str">
        <x:v>HISTORIA_WUA</x:v>
      </x:c>
      <x:c r="G91" s="4" t="str">
        <x:v>UNICA</x:v>
      </x:c>
      <x:c r="H91" s="4" t="str">
        <x:v>uoUninstallation</x:v>
      </x:c>
      <x:c r="I91" s="4" t="str">
        <x:v>orcSucceeded</x:v>
      </x:c>
      <x:c r="J91" s="4" t="str">
        <x:v>COMPLETA</x:v>
      </x:c>
      <x:c r="K91" s="4" t="str">
        <x:v>ORDEN_ACREDITADO</x:v>
      </x:c>
      <x:c r="L91" s="4" t="str">
        <x:v>FALLO_CAPTURA</x:v>
      </x:c>
      <x:c r="M91" s="4" t="str"/>
      <x:c r="N91" s="4" t="str">
        <x:v>SIN_EJECUCION_DOMINIO</x:v>
      </x:c>
      <x:c r="O91" s="12" t="str">
        <x:f>IF(Q91="SIN_EJECUCION_DOMINIO","FALLO_CAPTURA",IF(OR(Q91="CAPTURA_MAL_FORMADA",Q91="IDENTIDAD",Q91="OBSERVACION_MAL_FORMADA",Q91="LEXEMA_O_FORMA"),"NO_ADMISION",IF(OR(Q91="PERFIL_NO_CONSTITUIDO",Q91="RESULTADO_NO_TERMINAL"),"FUERA_PERFIL",IF(Q91="CONTEXTO_NO_CONSTITUIDO","CONFIGURACION_PENDIENTE","VALIDA"))))</x:f>
        <x:v>FALLO_CAPTURA</x:v>
      </x:c>
      <x:c r="P91" s="12" t="str">
        <x:f>IF(O91&lt;&gt;"VALIDA","",IF(Q91=AA91,"1",IF(Q91=AB91,"0","U")))</x:f>
      </x:c>
      <x:c r="Q91" s="12" t="str">
        <x:f>IF(E91="FALLO","SIN_EJECUCION_DOMINIO",IF(E91&lt;&gt;"LEGIBLE","CAPTURA_MAL_FORMADA",IF(D91&lt;&gt;"COINCIDE","IDENTIDAD",IF(OR(T91="",C91&lt;&gt;T91),"PERFIL_NO_CONSTITUIDO",IF(K91&lt;&gt;V91,IF(V91="ORDEN_ACREDITADO","ORDEN_NO_ACREDITADO","CONTEXTO_NO_CONSTITUIDO"),IF(AND(G91="AUSENTE",H91="",I91=""),"DATO_AUSENTE",IF(AND(G91="CONFLICTO",H91="",I91=""),"CONFLICTO_OBSERVACIONAL",IF(G91&lt;&gt;"UNICA","OBSERVACION_MAL_FORMADA",IF(F91&lt;&gt;U91,"OBSERVACION_INSUFICIENTE",IF(W91="RESULTADO",IF(H91=X91,AA91,IF(OR(H91="orcSucceededWithErrors",H91="orcFailed",H91="orcAborted"),AB91,IF(OR(H91="orcNotStarted",H91="orcInProgress"),"RESULTADO_NO_TERMINAL","LEXEMA_O_FORMA"))),IF(W91="EVENTO_BOOT",IF(H91=X91,AA91,IF(OR(H91="NINGUNO",H91="SOLO_HIBRIDO"),IF(J91="COMPLETA",AB91,"COBERTURA_INSUFICIENTE"),"LEXEMA_O_FORMA")),IF(W91="REQUISITO_SOFT",IF(H91=X91,AA91,IF(H91=Z91,AB91,"LEXEMA_O_FORMA")),IF(W91="EVENTO_PROC",IF(H91=X91,AA91,IF(H91=Z91,IF(J91="COMPLETA",AB91,"COBERTURA_INSUFICIENTE"),"LEXEMA_O_FORMA")),IF(W91="IMAGEN",IF(AND(AND(ISTEXT(H91),LEN(("x"&amp;H91))=65,EXACT(("x"&amp;H91),LOWER(("x"&amp;H91))),ISERROR(SEARCH(" ",("x"&amp;H91))),ISERROR(SEARCH(CHAR(9),("x"&amp;H91))),ISERROR(SEARCH(CHAR(10),("x"&amp;H91))),ISERROR(SEARCH(CHAR(13),("x"&amp;H91))),IFERROR(HEX2DEC(MID(("x"&amp;H91),2,8))&gt;=0,FALSE),IFERROR(HEX2DEC(MID(("x"&amp;H91),10,8))&gt;=0,FALSE),IFERROR(HEX2DEC(MID(("x"&amp;H91),18,8))&gt;=0,FALSE),IFERROR(HEX2DEC(MID(("x"&amp;H91),26,8))&gt;=0,FALSE),IFERROR(HEX2DEC(MID(("x"&amp;H91),34,8))&gt;=0,FALSE),IFERROR(HEX2DEC(MID(("x"&amp;H91),42,8))&gt;=0,FALSE),IFERROR(HEX2DEC(MID(("x"&amp;H91),50,8))&gt;=0,FALSE),IFERROR(HEX2DEC(MID(("x"&amp;H91),58,8))&gt;=0,FALSE)),AND(ISTEXT(I91),LEN(("x"&amp;I91))=65,EXACT(("x"&amp;I91),LOWER(("x"&amp;I91))),ISERROR(SEARCH(" ",("x"&amp;I91))),ISERROR(SEARCH(CHAR(9),("x"&amp;I91))),ISERROR(SEARCH(CHAR(10),("x"&amp;I91))),ISERROR(SEARCH(CHAR(13),("x"&amp;I91))),IFERROR(HEX2DEC(MID(("x"&amp;I91),2,8))&gt;=0,FALSE),IFERROR(HEX2DEC(MID(("x"&amp;I91),10,8))&gt;=0,FALSE),IFERROR(HEX2DEC(MID(("x"&amp;I91),18,8))&gt;=0,FALSE),IFERROR(HEX2DEC(MID(("x"&amp;I91),26,8))&gt;=0,FALSE),IFERROR(HEX2DEC(MID(("x"&amp;I91),34,8))&gt;=0,FALSE),IFERROR(HEX2DEC(MID(("x"&amp;I91),42,8))&gt;=0,FALSE),IFERROR(HEX2DEC(MID(("x"&amp;I91),50,8))&gt;=0,FALSE),IFERROR(HEX2DEC(MID(("x"&amp;I91),58,8))&gt;=0,FALSE))),IF(EXACT("x"&amp;H91,"x"&amp;I91),AA91,AB91),"LEXEMA_O_FORMA"),IF(W91="PRUEBA",IF(H91=X91,AA91,IF(H91=Z91,AB91,"LEXEMA_O_FORMA")),IF(W91="RETIRADA",IF(AND(H91="NINGUNO",I91=""),IF(J91="COMPLETA",AB91,"COBERTURA_INSUFICIENTE"),IF(AND(OR(H91="uoInstallation",H91="uoUninstallation"),OR(I91="orcSucceeded",I91="orcSucceededWithErrors",I91="orcFailed",I91="orcAborted",I91="orcInProgress",I91="orcNotStarted")),IF(AND(H91=X91,I91=Y91),AA91,IF(AND(H91=X91,OR(I91="orcSucceededWithErrors",I91="orcInProgress",I91="orcNotStarted")),"RESULTADO_RETIRADA_INCIERTO",IF(J91="COMPLETA",AB91,"COBERTURA_INSUFICIENTE"))),"LEXEMA_O_FORMA")),IF(W91="CAMBIO",IF(OR(H91="CAMBIO",H91="CAMBIO_Y_RETORNO"),AA91,IF(OR(H91="NINGUNO",H91="SOLO_RENOMBRE"),IF(J91="COMPLETA",AB91,"COBERTURA_INSUFICIENTE"),"LEXEMA_O_FORMA")),IF(W91="RESTAURACION",IF(H91=X91,AA91,IF(OR(H91="NINGUNO",H91="RESTAURACION_POSTERIOR",H91="RESTAURACION_FALLIDA"),IF(J91="COMPLETA",AB91,"COBERTURA_INSUFICIENTE"),"LEXEMA_O_FORMA")),"PERFIL_NO_CONSTITUIDO"))))))))))))))))))</x:f>
        <x:v>SIN_EJECUCION_DOMINIO</x:v>
      </x:c>
      <x:c r="R91" s="12" t="str">
        <x:f>IF(AND(L91=O91,M91=P91,N91=Q91),"PASA","NO_PASA")</x:f>
        <x:v>PASA</x:v>
      </x:c>
      <x:c r="S91" s="4" t="str">
        <x:v>El observador falla; no existe ejecución de dominio ni Tri alternativo.</x:v>
      </x:c>
      <x:c r="T91" s="12" t="str">
        <x:f>IFERROR(INDEX('55_Codificacion_ensayo'!$B$5:$B$13,MATCH(B91,'55_Codificacion_ensayo'!$A$5:$A$13,0)),"")</x:f>
        <x:v>HISTORIA-RETIRADA-ACTUALIZACION-0.1</x:v>
      </x:c>
      <x:c r="U91" s="12" t="str">
        <x:f>IFERROR(INDEX('55_Codificacion_ensayo'!$C$5:$C$13,MATCH(B91,'55_Codificacion_ensayo'!$A$5:$A$13,0)),"")</x:f>
        <x:v>HISTORIA_WUA</x:v>
      </x:c>
      <x:c r="V91" s="12" t="str">
        <x:f>IFERROR(INDEX('55_Codificacion_ensayo'!$D$5:$D$13,MATCH(B91,'55_Codificacion_ensayo'!$A$5:$A$13,0)),"")</x:f>
        <x:v>ORDEN_ACREDITADO</x:v>
      </x:c>
      <x:c r="W91" s="12" t="str">
        <x:f>IFERROR(INDEX('55_Codificacion_ensayo'!$E$5:$E$13,MATCH(B91,'55_Codificacion_ensayo'!$A$5:$A$13,0)),"")</x:f>
        <x:v>RETIRADA</x:v>
      </x:c>
      <x:c r="X91" s="12" t="str">
        <x:f>IFERROR(INDEX('55_Codificacion_ensayo'!$F$5:$F$13,MATCH(B91,'55_Codificacion_ensayo'!$A$5:$A$13,0)),"")</x:f>
        <x:v>uoUninstallation</x:v>
      </x:c>
      <x:c r="Y91" s="12" t="str">
        <x:f>IFERROR(INDEX('55_Codificacion_ensayo'!$G$5:$G$13,MATCH(B91,'55_Codificacion_ensayo'!$A$5:$A$13,0)),"")</x:f>
        <x:v>orcSucceeded</x:v>
      </x:c>
      <x:c r="Z91" s="12" t="str">
        <x:f>IFERROR(INDEX('55_Codificacion_ensayo'!$H$5:$H$13,MATCH(B91,'55_Codificacion_ensayo'!$A$5:$A$13,0)),"")</x:f>
        <x:v>NINGUNO</x:v>
      </x:c>
      <x:c r="AA91" s="12" t="str">
        <x:f>IFERROR(INDEX('55_Codificacion_ensayo'!$I$5:$I$13,MATCH(B91,'55_Codificacion_ensayo'!$A$5:$A$13,0)),"")</x:f>
        <x:v>RETIRADA_EXITOSA</x:v>
      </x:c>
      <x:c r="AB91" s="12" t="str">
        <x:f>IFERROR(INDEX('55_Codificacion_ensayo'!$J$5:$J$13,MATCH(B91,'55_Codificacion_ensayo'!$A$5:$A$13,0)),"")</x:f>
        <x:v>SIN_RETIRADA_EXITOSA</x:v>
      </x:c>
    </x:row>
    <x:row r="92" ht="47" customHeight="1">
      <x:c r="A92" s="4" t="str">
        <x:v>L10-08-06</x:v>
      </x:c>
      <x:c r="B92" s="4" t="str">
        <x:v>PAR-CYB-RETIRADA-EXITOSA-COMUNICADA-001</x:v>
      </x:c>
      <x:c r="C92" s="4" t="str">
        <x:v>HISTORIA-RETIRADA-ACTUALIZACION-0.1</x:v>
      </x:c>
      <x:c r="D92" s="4" t="str">
        <x:v>OTRO</x:v>
      </x:c>
      <x:c r="E92" s="4" t="str">
        <x:v>LEGIBLE</x:v>
      </x:c>
      <x:c r="F92" s="4" t="str">
        <x:v>HISTORIA_WUA</x:v>
      </x:c>
      <x:c r="G92" s="4" t="str">
        <x:v>UNICA</x:v>
      </x:c>
      <x:c r="H92" s="4" t="str">
        <x:v>uoUninstallation</x:v>
      </x:c>
      <x:c r="I92" s="4" t="str">
        <x:v>orcSucceeded</x:v>
      </x:c>
      <x:c r="J92" s="4" t="str">
        <x:v>COMPLETA</x:v>
      </x:c>
      <x:c r="K92" s="4" t="str">
        <x:v>ORDEN_ACREDITADO</x:v>
      </x:c>
      <x:c r="L92" s="4" t="str">
        <x:v>NO_ADMISION</x:v>
      </x:c>
      <x:c r="M92" s="4" t="str"/>
      <x:c r="N92" s="4" t="str">
        <x:v>IDENTIDAD</x:v>
      </x:c>
      <x:c r="O92" s="12" t="str">
        <x:f>IF(Q92="SIN_EJECUCION_DOMINIO","FALLO_CAPTURA",IF(OR(Q92="CAPTURA_MAL_FORMADA",Q92="IDENTIDAD",Q92="OBSERVACION_MAL_FORMADA",Q92="LEXEMA_O_FORMA"),"NO_ADMISION",IF(OR(Q92="PERFIL_NO_CONSTITUIDO",Q92="RESULTADO_NO_TERMINAL"),"FUERA_PERFIL",IF(Q92="CONTEXTO_NO_CONSTITUIDO","CONFIGURACION_PENDIENTE","VALIDA"))))</x:f>
        <x:v>NO_ADMISION</x:v>
      </x:c>
      <x:c r="P92" s="12" t="str">
        <x:f>IF(O92&lt;&gt;"VALIDA","",IF(Q92=AA92,"1",IF(Q92=AB92,"0","U")))</x:f>
      </x:c>
      <x:c r="Q92" s="12" t="str">
        <x:f>IF(E92="FALLO","SIN_EJECUCION_DOMINIO",IF(E92&lt;&gt;"LEGIBLE","CAPTURA_MAL_FORMADA",IF(D92&lt;&gt;"COINCIDE","IDENTIDAD",IF(OR(T92="",C92&lt;&gt;T92),"PERFIL_NO_CONSTITUIDO",IF(K92&lt;&gt;V92,IF(V92="ORDEN_ACREDITADO","ORDEN_NO_ACREDITADO","CONTEXTO_NO_CONSTITUIDO"),IF(AND(G92="AUSENTE",H92="",I92=""),"DATO_AUSENTE",IF(AND(G92="CONFLICTO",H92="",I92=""),"CONFLICTO_OBSERVACIONAL",IF(G92&lt;&gt;"UNICA","OBSERVACION_MAL_FORMADA",IF(F92&lt;&gt;U92,"OBSERVACION_INSUFICIENTE",IF(W92="RESULTADO",IF(H92=X92,AA92,IF(OR(H92="orcSucceededWithErrors",H92="orcFailed",H92="orcAborted"),AB92,IF(OR(H92="orcNotStarted",H92="orcInProgress"),"RESULTADO_NO_TERMINAL","LEXEMA_O_FORMA"))),IF(W92="EVENTO_BOOT",IF(H92=X92,AA92,IF(OR(H92="NINGUNO",H92="SOLO_HIBRIDO"),IF(J92="COMPLETA",AB92,"COBERTURA_INSUFICIENTE"),"LEXEMA_O_FORMA")),IF(W92="REQUISITO_SOFT",IF(H92=X92,AA92,IF(H92=Z92,AB92,"LEXEMA_O_FORMA")),IF(W92="EVENTO_PROC",IF(H92=X92,AA92,IF(H92=Z92,IF(J92="COMPLETA",AB92,"COBERTURA_INSUFICIENTE"),"LEXEMA_O_FORMA")),IF(W92="IMAGEN",IF(AND(AND(ISTEXT(H92),LEN(("x"&amp;H92))=65,EXACT(("x"&amp;H92),LOWER(("x"&amp;H92))),ISERROR(SEARCH(" ",("x"&amp;H92))),ISERROR(SEARCH(CHAR(9),("x"&amp;H92))),ISERROR(SEARCH(CHAR(10),("x"&amp;H92))),ISERROR(SEARCH(CHAR(13),("x"&amp;H92))),IFERROR(HEX2DEC(MID(("x"&amp;H92),2,8))&gt;=0,FALSE),IFERROR(HEX2DEC(MID(("x"&amp;H92),10,8))&gt;=0,FALSE),IFERROR(HEX2DEC(MID(("x"&amp;H92),18,8))&gt;=0,FALSE),IFERROR(HEX2DEC(MID(("x"&amp;H92),26,8))&gt;=0,FALSE),IFERROR(HEX2DEC(MID(("x"&amp;H92),34,8))&gt;=0,FALSE),IFERROR(HEX2DEC(MID(("x"&amp;H92),42,8))&gt;=0,FALSE),IFERROR(HEX2DEC(MID(("x"&amp;H92),50,8))&gt;=0,FALSE),IFERROR(HEX2DEC(MID(("x"&amp;H92),58,8))&gt;=0,FALSE)),AND(ISTEXT(I92),LEN(("x"&amp;I92))=65,EXACT(("x"&amp;I92),LOWER(("x"&amp;I92))),ISERROR(SEARCH(" ",("x"&amp;I92))),ISERROR(SEARCH(CHAR(9),("x"&amp;I92))),ISERROR(SEARCH(CHAR(10),("x"&amp;I92))),ISERROR(SEARCH(CHAR(13),("x"&amp;I92))),IFERROR(HEX2DEC(MID(("x"&amp;I92),2,8))&gt;=0,FALSE),IFERROR(HEX2DEC(MID(("x"&amp;I92),10,8))&gt;=0,FALSE),IFERROR(HEX2DEC(MID(("x"&amp;I92),18,8))&gt;=0,FALSE),IFERROR(HEX2DEC(MID(("x"&amp;I92),26,8))&gt;=0,FALSE),IFERROR(HEX2DEC(MID(("x"&amp;I92),34,8))&gt;=0,FALSE),IFERROR(HEX2DEC(MID(("x"&amp;I92),42,8))&gt;=0,FALSE),IFERROR(HEX2DEC(MID(("x"&amp;I92),50,8))&gt;=0,FALSE),IFERROR(HEX2DEC(MID(("x"&amp;I92),58,8))&gt;=0,FALSE))),IF(EXACT("x"&amp;H92,"x"&amp;I92),AA92,AB92),"LEXEMA_O_FORMA"),IF(W92="PRUEBA",IF(H92=X92,AA92,IF(H92=Z92,AB92,"LEXEMA_O_FORMA")),IF(W92="RETIRADA",IF(AND(H92="NINGUNO",I92=""),IF(J92="COMPLETA",AB92,"COBERTURA_INSUFICIENTE"),IF(AND(OR(H92="uoInstallation",H92="uoUninstallation"),OR(I92="orcSucceeded",I92="orcSucceededWithErrors",I92="orcFailed",I92="orcAborted",I92="orcInProgress",I92="orcNotStarted")),IF(AND(H92=X92,I92=Y92),AA92,IF(AND(H92=X92,OR(I92="orcSucceededWithErrors",I92="orcInProgress",I92="orcNotStarted")),"RESULTADO_RETIRADA_INCIERTO",IF(J92="COMPLETA",AB92,"COBERTURA_INSUFICIENTE"))),"LEXEMA_O_FORMA")),IF(W92="CAMBIO",IF(OR(H92="CAMBIO",H92="CAMBIO_Y_RETORNO"),AA92,IF(OR(H92="NINGUNO",H92="SOLO_RENOMBRE"),IF(J92="COMPLETA",AB92,"COBERTURA_INSUFICIENTE"),"LEXEMA_O_FORMA")),IF(W92="RESTAURACION",IF(H92=X92,AA92,IF(OR(H92="NINGUNO",H92="RESTAURACION_POSTERIOR",H92="RESTAURACION_FALLIDA"),IF(J92="COMPLETA",AB92,"COBERTURA_INSUFICIENTE"),"LEXEMA_O_FORMA")),"PERFIL_NO_CONSTITUIDO"))))))))))))))))))</x:f>
        <x:v>IDENTIDAD</x:v>
      </x:c>
      <x:c r="R92" s="12" t="str">
        <x:f>IF(AND(L92=O92,M92=P92,N92=Q92),"PASA","NO_PASA")</x:f>
        <x:v>PASA</x:v>
      </x:c>
      <x:c r="S92" s="4" t="str">
        <x:v>El testigo pertenece a otro sujeto; no se recicla su dato.</x:v>
      </x:c>
      <x:c r="T92" s="12" t="str">
        <x:f>IFERROR(INDEX('55_Codificacion_ensayo'!$B$5:$B$13,MATCH(B92,'55_Codificacion_ensayo'!$A$5:$A$13,0)),"")</x:f>
        <x:v>HISTORIA-RETIRADA-ACTUALIZACION-0.1</x:v>
      </x:c>
      <x:c r="U92" s="12" t="str">
        <x:f>IFERROR(INDEX('55_Codificacion_ensayo'!$C$5:$C$13,MATCH(B92,'55_Codificacion_ensayo'!$A$5:$A$13,0)),"")</x:f>
        <x:v>HISTORIA_WUA</x:v>
      </x:c>
      <x:c r="V92" s="12" t="str">
        <x:f>IFERROR(INDEX('55_Codificacion_ensayo'!$D$5:$D$13,MATCH(B92,'55_Codificacion_ensayo'!$A$5:$A$13,0)),"")</x:f>
        <x:v>ORDEN_ACREDITADO</x:v>
      </x:c>
      <x:c r="W92" s="12" t="str">
        <x:f>IFERROR(INDEX('55_Codificacion_ensayo'!$E$5:$E$13,MATCH(B92,'55_Codificacion_ensayo'!$A$5:$A$13,0)),"")</x:f>
        <x:v>RETIRADA</x:v>
      </x:c>
      <x:c r="X92" s="12" t="str">
        <x:f>IFERROR(INDEX('55_Codificacion_ensayo'!$F$5:$F$13,MATCH(B92,'55_Codificacion_ensayo'!$A$5:$A$13,0)),"")</x:f>
        <x:v>uoUninstallation</x:v>
      </x:c>
      <x:c r="Y92" s="12" t="str">
        <x:f>IFERROR(INDEX('55_Codificacion_ensayo'!$G$5:$G$13,MATCH(B92,'55_Codificacion_ensayo'!$A$5:$A$13,0)),"")</x:f>
        <x:v>orcSucceeded</x:v>
      </x:c>
      <x:c r="Z92" s="12" t="str">
        <x:f>IFERROR(INDEX('55_Codificacion_ensayo'!$H$5:$H$13,MATCH(B92,'55_Codificacion_ensayo'!$A$5:$A$13,0)),"")</x:f>
        <x:v>NINGUNO</x:v>
      </x:c>
      <x:c r="AA92" s="12" t="str">
        <x:f>IFERROR(INDEX('55_Codificacion_ensayo'!$I$5:$I$13,MATCH(B92,'55_Codificacion_ensayo'!$A$5:$A$13,0)),"")</x:f>
        <x:v>RETIRADA_EXITOSA</x:v>
      </x:c>
      <x:c r="AB92" s="12" t="str">
        <x:f>IFERROR(INDEX('55_Codificacion_ensayo'!$J$5:$J$13,MATCH(B92,'55_Codificacion_ensayo'!$A$5:$A$13,0)),"")</x:f>
        <x:v>SIN_RETIRADA_EXITOSA</x:v>
      </x:c>
    </x:row>
    <x:row r="93" ht="47" customHeight="1">
      <x:c r="A93" s="4" t="str">
        <x:v>L10-08-07</x:v>
      </x:c>
      <x:c r="B93" s="4" t="str">
        <x:v>PAR-CYB-RETIRADA-EXITOSA-COMUNICADA-001</x:v>
      </x:c>
      <x:c r="C93" s="4" t="str">
        <x:v>HISTORIA-RETIRADA-ACTUALIZACION-0.1</x:v>
      </x:c>
      <x:c r="D93" s="4" t="str">
        <x:v>COINCIDE</x:v>
      </x:c>
      <x:c r="E93" s="4" t="str">
        <x:v>LEGIBLE</x:v>
      </x:c>
      <x:c r="F93" s="4" t="str">
        <x:v>FUENTE_GENERAL</x:v>
      </x:c>
      <x:c r="G93" s="4" t="str">
        <x:v>UNICA</x:v>
      </x:c>
      <x:c r="H93" s="4" t="str">
        <x:v>uoUninstallation</x:v>
      </x:c>
      <x:c r="I93" s="4" t="str">
        <x:v>orcSucceeded</x:v>
      </x:c>
      <x:c r="J93" s="4" t="str">
        <x:v>COMPLETA</x:v>
      </x:c>
      <x:c r="K93" s="4" t="str">
        <x:v>ORDEN_ACREDITADO</x:v>
      </x:c>
      <x:c r="L93" s="4" t="str">
        <x:v>VALIDA</x:v>
      </x:c>
      <x:c r="M93" s="4" t="str">
        <x:v>U</x:v>
      </x:c>
      <x:c r="N93" s="4" t="str">
        <x:v>OBSERVACION_INSUFICIENTE</x:v>
      </x:c>
      <x:c r="O93" s="12" t="str">
        <x:f>IF(Q93="SIN_EJECUCION_DOMINIO","FALLO_CAPTURA",IF(OR(Q93="CAPTURA_MAL_FORMADA",Q93="IDENTIDAD",Q93="OBSERVACION_MAL_FORMADA",Q93="LEXEMA_O_FORMA"),"NO_ADMISION",IF(OR(Q93="PERFIL_NO_CONSTITUIDO",Q93="RESULTADO_NO_TERMINAL"),"FUERA_PERFIL",IF(Q93="CONTEXTO_NO_CONSTITUIDO","CONFIGURACION_PENDIENTE","VALIDA"))))</x:f>
        <x:v>VALIDA</x:v>
      </x:c>
      <x:c r="P93" s="12" t="str">
        <x:f>IF(O93&lt;&gt;"VALIDA","",IF(Q93=AA93,"1",IF(Q93=AB93,"0","U")))</x:f>
        <x:v>U</x:v>
      </x:c>
      <x:c r="Q93" s="12" t="str">
        <x:f>IF(E93="FALLO","SIN_EJECUCION_DOMINIO",IF(E93&lt;&gt;"LEGIBLE","CAPTURA_MAL_FORMADA",IF(D93&lt;&gt;"COINCIDE","IDENTIDAD",IF(OR(T93="",C93&lt;&gt;T93),"PERFIL_NO_CONSTITUIDO",IF(K93&lt;&gt;V93,IF(V93="ORDEN_ACREDITADO","ORDEN_NO_ACREDITADO","CONTEXTO_NO_CONSTITUIDO"),IF(AND(G93="AUSENTE",H93="",I93=""),"DATO_AUSENTE",IF(AND(G93="CONFLICTO",H93="",I93=""),"CONFLICTO_OBSERVACIONAL",IF(G93&lt;&gt;"UNICA","OBSERVACION_MAL_FORMADA",IF(F93&lt;&gt;U93,"OBSERVACION_INSUFICIENTE",IF(W93="RESULTADO",IF(H93=X93,AA93,IF(OR(H93="orcSucceededWithErrors",H93="orcFailed",H93="orcAborted"),AB93,IF(OR(H93="orcNotStarted",H93="orcInProgress"),"RESULTADO_NO_TERMINAL","LEXEMA_O_FORMA"))),IF(W93="EVENTO_BOOT",IF(H93=X93,AA93,IF(OR(H93="NINGUNO",H93="SOLO_HIBRIDO"),IF(J93="COMPLETA",AB93,"COBERTURA_INSUFICIENTE"),"LEXEMA_O_FORMA")),IF(W93="REQUISITO_SOFT",IF(H93=X93,AA93,IF(H93=Z93,AB93,"LEXEMA_O_FORMA")),IF(W93="EVENTO_PROC",IF(H93=X93,AA93,IF(H93=Z93,IF(J93="COMPLETA",AB93,"COBERTURA_INSUFICIENTE"),"LEXEMA_O_FORMA")),IF(W93="IMAGEN",IF(AND(AND(ISTEXT(H93),LEN(("x"&amp;H93))=65,EXACT(("x"&amp;H93),LOWER(("x"&amp;H93))),ISERROR(SEARCH(" ",("x"&amp;H93))),ISERROR(SEARCH(CHAR(9),("x"&amp;H93))),ISERROR(SEARCH(CHAR(10),("x"&amp;H93))),ISERROR(SEARCH(CHAR(13),("x"&amp;H93))),IFERROR(HEX2DEC(MID(("x"&amp;H93),2,8))&gt;=0,FALSE),IFERROR(HEX2DEC(MID(("x"&amp;H93),10,8))&gt;=0,FALSE),IFERROR(HEX2DEC(MID(("x"&amp;H93),18,8))&gt;=0,FALSE),IFERROR(HEX2DEC(MID(("x"&amp;H93),26,8))&gt;=0,FALSE),IFERROR(HEX2DEC(MID(("x"&amp;H93),34,8))&gt;=0,FALSE),IFERROR(HEX2DEC(MID(("x"&amp;H93),42,8))&gt;=0,FALSE),IFERROR(HEX2DEC(MID(("x"&amp;H93),50,8))&gt;=0,FALSE),IFERROR(HEX2DEC(MID(("x"&amp;H93),58,8))&gt;=0,FALSE)),AND(ISTEXT(I93),LEN(("x"&amp;I93))=65,EXACT(("x"&amp;I93),LOWER(("x"&amp;I93))),ISERROR(SEARCH(" ",("x"&amp;I93))),ISERROR(SEARCH(CHAR(9),("x"&amp;I93))),ISERROR(SEARCH(CHAR(10),("x"&amp;I93))),ISERROR(SEARCH(CHAR(13),("x"&amp;I93))),IFERROR(HEX2DEC(MID(("x"&amp;I93),2,8))&gt;=0,FALSE),IFERROR(HEX2DEC(MID(("x"&amp;I93),10,8))&gt;=0,FALSE),IFERROR(HEX2DEC(MID(("x"&amp;I93),18,8))&gt;=0,FALSE),IFERROR(HEX2DEC(MID(("x"&amp;I93),26,8))&gt;=0,FALSE),IFERROR(HEX2DEC(MID(("x"&amp;I93),34,8))&gt;=0,FALSE),IFERROR(HEX2DEC(MID(("x"&amp;I93),42,8))&gt;=0,FALSE),IFERROR(HEX2DEC(MID(("x"&amp;I93),50,8))&gt;=0,FALSE),IFERROR(HEX2DEC(MID(("x"&amp;I93),58,8))&gt;=0,FALSE))),IF(EXACT("x"&amp;H93,"x"&amp;I93),AA93,AB93),"LEXEMA_O_FORMA"),IF(W93="PRUEBA",IF(H93=X93,AA93,IF(H93=Z93,AB93,"LEXEMA_O_FORMA")),IF(W93="RETIRADA",IF(AND(H93="NINGUNO",I93=""),IF(J93="COMPLETA",AB93,"COBERTURA_INSUFICIENTE"),IF(AND(OR(H93="uoInstallation",H93="uoUninstallation"),OR(I93="orcSucceeded",I93="orcSucceededWithErrors",I93="orcFailed",I93="orcAborted",I93="orcInProgress",I93="orcNotStarted")),IF(AND(H93=X93,I93=Y93),AA93,IF(AND(H93=X93,OR(I93="orcSucceededWithErrors",I93="orcInProgress",I93="orcNotStarted")),"RESULTADO_RETIRADA_INCIERTO",IF(J93="COMPLETA",AB93,"COBERTURA_INSUFICIENTE"))),"LEXEMA_O_FORMA")),IF(W93="CAMBIO",IF(OR(H93="CAMBIO",H93="CAMBIO_Y_RETORNO"),AA93,IF(OR(H93="NINGUNO",H93="SOLO_RENOMBRE"),IF(J93="COMPLETA",AB93,"COBERTURA_INSUFICIENTE"),"LEXEMA_O_FORMA")),IF(W93="RESTAURACION",IF(H93=X93,AA93,IF(OR(H93="NINGUNO",H93="RESTAURACION_POSTERIOR",H93="RESTAURACION_FALLIDA"),IF(J93="COMPLETA",AB93,"COBERTURA_INSUFICIENTE"),"LEXEMA_O_FORMA")),"PERFIL_NO_CONSTITUIDO"))))))))))))))))))</x:f>
        <x:v>OBSERVACION_INSUFICIENTE</x:v>
      </x:c>
      <x:c r="R93" s="12" t="str">
        <x:f>IF(AND(L93=O93,M93=P93,N93=Q93),"PASA","NO_PASA")</x:f>
        <x:v>PASA</x:v>
      </x:c>
      <x:c r="S93" s="4" t="str">
        <x:v>Una fuente del dominio no sustituye la observación específica del episodio.</x:v>
      </x:c>
      <x:c r="T93" s="12" t="str">
        <x:f>IFERROR(INDEX('55_Codificacion_ensayo'!$B$5:$B$13,MATCH(B93,'55_Codificacion_ensayo'!$A$5:$A$13,0)),"")</x:f>
        <x:v>HISTORIA-RETIRADA-ACTUALIZACION-0.1</x:v>
      </x:c>
      <x:c r="U93" s="12" t="str">
        <x:f>IFERROR(INDEX('55_Codificacion_ensayo'!$C$5:$C$13,MATCH(B93,'55_Codificacion_ensayo'!$A$5:$A$13,0)),"")</x:f>
        <x:v>HISTORIA_WUA</x:v>
      </x:c>
      <x:c r="V93" s="12" t="str">
        <x:f>IFERROR(INDEX('55_Codificacion_ensayo'!$D$5:$D$13,MATCH(B93,'55_Codificacion_ensayo'!$A$5:$A$13,0)),"")</x:f>
        <x:v>ORDEN_ACREDITADO</x:v>
      </x:c>
      <x:c r="W93" s="12" t="str">
        <x:f>IFERROR(INDEX('55_Codificacion_ensayo'!$E$5:$E$13,MATCH(B93,'55_Codificacion_ensayo'!$A$5:$A$13,0)),"")</x:f>
        <x:v>RETIRADA</x:v>
      </x:c>
      <x:c r="X93" s="12" t="str">
        <x:f>IFERROR(INDEX('55_Codificacion_ensayo'!$F$5:$F$13,MATCH(B93,'55_Codificacion_ensayo'!$A$5:$A$13,0)),"")</x:f>
        <x:v>uoUninstallation</x:v>
      </x:c>
      <x:c r="Y93" s="12" t="str">
        <x:f>IFERROR(INDEX('55_Codificacion_ensayo'!$G$5:$G$13,MATCH(B93,'55_Codificacion_ensayo'!$A$5:$A$13,0)),"")</x:f>
        <x:v>orcSucceeded</x:v>
      </x:c>
      <x:c r="Z93" s="12" t="str">
        <x:f>IFERROR(INDEX('55_Codificacion_ensayo'!$H$5:$H$13,MATCH(B93,'55_Codificacion_ensayo'!$A$5:$A$13,0)),"")</x:f>
        <x:v>NINGUNO</x:v>
      </x:c>
      <x:c r="AA93" s="12" t="str">
        <x:f>IFERROR(INDEX('55_Codificacion_ensayo'!$I$5:$I$13,MATCH(B93,'55_Codificacion_ensayo'!$A$5:$A$13,0)),"")</x:f>
        <x:v>RETIRADA_EXITOSA</x:v>
      </x:c>
      <x:c r="AB93" s="12" t="str">
        <x:f>IFERROR(INDEX('55_Codificacion_ensayo'!$J$5:$J$13,MATCH(B93,'55_Codificacion_ensayo'!$A$5:$A$13,0)),"")</x:f>
        <x:v>SIN_RETIRADA_EXITOSA</x:v>
      </x:c>
    </x:row>
    <x:row r="94" ht="47" customHeight="1">
      <x:c r="A94" s="4" t="str">
        <x:v>L10-08-08</x:v>
      </x:c>
      <x:c r="B94" s="4" t="str">
        <x:v>PAR-CYB-RETIRADA-EXITOSA-COMUNICADA-001</x:v>
      </x:c>
      <x:c r="C94" s="4" t="str">
        <x:v>OTRO_PERFIL</x:v>
      </x:c>
      <x:c r="D94" s="4" t="str">
        <x:v>COINCIDE</x:v>
      </x:c>
      <x:c r="E94" s="4" t="str">
        <x:v>LEGIBLE</x:v>
      </x:c>
      <x:c r="F94" s="4" t="str">
        <x:v>HISTORIA_WUA</x:v>
      </x:c>
      <x:c r="G94" s="4" t="str">
        <x:v>UNICA</x:v>
      </x:c>
      <x:c r="H94" s="4" t="str">
        <x:v>uoUninstallation</x:v>
      </x:c>
      <x:c r="I94" s="4" t="str">
        <x:v>orcSucceeded</x:v>
      </x:c>
      <x:c r="J94" s="4" t="str">
        <x:v>COMPLETA</x:v>
      </x:c>
      <x:c r="K94" s="4" t="str">
        <x:v>ORDEN_ACREDITADO</x:v>
      </x:c>
      <x:c r="L94" s="4" t="str">
        <x:v>FUERA_PERFIL</x:v>
      </x:c>
      <x:c r="M94" s="4" t="str"/>
      <x:c r="N94" s="4" t="str">
        <x:v>PERFIL_NO_CONSTITUIDO</x:v>
      </x:c>
      <x:c r="O94" s="12" t="str">
        <x:f>IF(Q94="SIN_EJECUCION_DOMINIO","FALLO_CAPTURA",IF(OR(Q94="CAPTURA_MAL_FORMADA",Q94="IDENTIDAD",Q94="OBSERVACION_MAL_FORMADA",Q94="LEXEMA_O_FORMA"),"NO_ADMISION",IF(OR(Q94="PERFIL_NO_CONSTITUIDO",Q94="RESULTADO_NO_TERMINAL"),"FUERA_PERFIL",IF(Q94="CONTEXTO_NO_CONSTITUIDO","CONFIGURACION_PENDIENTE","VALIDA"))))</x:f>
        <x:v>FUERA_PERFIL</x:v>
      </x:c>
      <x:c r="P94" s="12" t="str">
        <x:f>IF(O94&lt;&gt;"VALIDA","",IF(Q94=AA94,"1",IF(Q94=AB94,"0","U")))</x:f>
      </x:c>
      <x:c r="Q94" s="12" t="str">
        <x:f>IF(E94="FALLO","SIN_EJECUCION_DOMINIO",IF(E94&lt;&gt;"LEGIBLE","CAPTURA_MAL_FORMADA",IF(D94&lt;&gt;"COINCIDE","IDENTIDAD",IF(OR(T94="",C94&lt;&gt;T94),"PERFIL_NO_CONSTITUIDO",IF(K94&lt;&gt;V94,IF(V94="ORDEN_ACREDITADO","ORDEN_NO_ACREDITADO","CONTEXTO_NO_CONSTITUIDO"),IF(AND(G94="AUSENTE",H94="",I94=""),"DATO_AUSENTE",IF(AND(G94="CONFLICTO",H94="",I94=""),"CONFLICTO_OBSERVACIONAL",IF(G94&lt;&gt;"UNICA","OBSERVACION_MAL_FORMADA",IF(F94&lt;&gt;U94,"OBSERVACION_INSUFICIENTE",IF(W94="RESULTADO",IF(H94=X94,AA94,IF(OR(H94="orcSucceededWithErrors",H94="orcFailed",H94="orcAborted"),AB94,IF(OR(H94="orcNotStarted",H94="orcInProgress"),"RESULTADO_NO_TERMINAL","LEXEMA_O_FORMA"))),IF(W94="EVENTO_BOOT",IF(H94=X94,AA94,IF(OR(H94="NINGUNO",H94="SOLO_HIBRIDO"),IF(J94="COMPLETA",AB94,"COBERTURA_INSUFICIENTE"),"LEXEMA_O_FORMA")),IF(W94="REQUISITO_SOFT",IF(H94=X94,AA94,IF(H94=Z94,AB94,"LEXEMA_O_FORMA")),IF(W94="EVENTO_PROC",IF(H94=X94,AA94,IF(H94=Z94,IF(J94="COMPLETA",AB94,"COBERTURA_INSUFICIENTE"),"LEXEMA_O_FORMA")),IF(W94="IMAGEN",IF(AND(AND(ISTEXT(H94),LEN(("x"&amp;H94))=65,EXACT(("x"&amp;H94),LOWER(("x"&amp;H94))),ISERROR(SEARCH(" ",("x"&amp;H94))),ISERROR(SEARCH(CHAR(9),("x"&amp;H94))),ISERROR(SEARCH(CHAR(10),("x"&amp;H94))),ISERROR(SEARCH(CHAR(13),("x"&amp;H94))),IFERROR(HEX2DEC(MID(("x"&amp;H94),2,8))&gt;=0,FALSE),IFERROR(HEX2DEC(MID(("x"&amp;H94),10,8))&gt;=0,FALSE),IFERROR(HEX2DEC(MID(("x"&amp;H94),18,8))&gt;=0,FALSE),IFERROR(HEX2DEC(MID(("x"&amp;H94),26,8))&gt;=0,FALSE),IFERROR(HEX2DEC(MID(("x"&amp;H94),34,8))&gt;=0,FALSE),IFERROR(HEX2DEC(MID(("x"&amp;H94),42,8))&gt;=0,FALSE),IFERROR(HEX2DEC(MID(("x"&amp;H94),50,8))&gt;=0,FALSE),IFERROR(HEX2DEC(MID(("x"&amp;H94),58,8))&gt;=0,FALSE)),AND(ISTEXT(I94),LEN(("x"&amp;I94))=65,EXACT(("x"&amp;I94),LOWER(("x"&amp;I94))),ISERROR(SEARCH(" ",("x"&amp;I94))),ISERROR(SEARCH(CHAR(9),("x"&amp;I94))),ISERROR(SEARCH(CHAR(10),("x"&amp;I94))),ISERROR(SEARCH(CHAR(13),("x"&amp;I94))),IFERROR(HEX2DEC(MID(("x"&amp;I94),2,8))&gt;=0,FALSE),IFERROR(HEX2DEC(MID(("x"&amp;I94),10,8))&gt;=0,FALSE),IFERROR(HEX2DEC(MID(("x"&amp;I94),18,8))&gt;=0,FALSE),IFERROR(HEX2DEC(MID(("x"&amp;I94),26,8))&gt;=0,FALSE),IFERROR(HEX2DEC(MID(("x"&amp;I94),34,8))&gt;=0,FALSE),IFERROR(HEX2DEC(MID(("x"&amp;I94),42,8))&gt;=0,FALSE),IFERROR(HEX2DEC(MID(("x"&amp;I94),50,8))&gt;=0,FALSE),IFERROR(HEX2DEC(MID(("x"&amp;I94),58,8))&gt;=0,FALSE))),IF(EXACT("x"&amp;H94,"x"&amp;I94),AA94,AB94),"LEXEMA_O_FORMA"),IF(W94="PRUEBA",IF(H94=X94,AA94,IF(H94=Z94,AB94,"LEXEMA_O_FORMA")),IF(W94="RETIRADA",IF(AND(H94="NINGUNO",I94=""),IF(J94="COMPLETA",AB94,"COBERTURA_INSUFICIENTE"),IF(AND(OR(H94="uoInstallation",H94="uoUninstallation"),OR(I94="orcSucceeded",I94="orcSucceededWithErrors",I94="orcFailed",I94="orcAborted",I94="orcInProgress",I94="orcNotStarted")),IF(AND(H94=X94,I94=Y94),AA94,IF(AND(H94=X94,OR(I94="orcSucceededWithErrors",I94="orcInProgress",I94="orcNotStarted")),"RESULTADO_RETIRADA_INCIERTO",IF(J94="COMPLETA",AB94,"COBERTURA_INSUFICIENTE"))),"LEXEMA_O_FORMA")),IF(W94="CAMBIO",IF(OR(H94="CAMBIO",H94="CAMBIO_Y_RETORNO"),AA94,IF(OR(H94="NINGUNO",H94="SOLO_RENOMBRE"),IF(J94="COMPLETA",AB94,"COBERTURA_INSUFICIENTE"),"LEXEMA_O_FORMA")),IF(W94="RESTAURACION",IF(H94=X94,AA94,IF(OR(H94="NINGUNO",H94="RESTAURACION_POSTERIOR",H94="RESTAURACION_FALLIDA"),IF(J94="COMPLETA",AB94,"COBERTURA_INSUFICIENTE"),"LEXEMA_O_FORMA")),"PERFIL_NO_CONSTITUIDO"))))))))))))))))))</x:f>
        <x:v>PERFIL_NO_CONSTITUIDO</x:v>
      </x:c>
      <x:c r="R94" s="12" t="str">
        <x:f>IF(AND(L94=O94,M94=P94,N94=Q94),"PASA","NO_PASA")</x:f>
        <x:v>PASA</x:v>
      </x:c>
      <x:c r="S94" s="4" t="str">
        <x:v>Perfil de otro producto no se normaliza por analogía.</x:v>
      </x:c>
      <x:c r="T94" s="12" t="str">
        <x:f>IFERROR(INDEX('55_Codificacion_ensayo'!$B$5:$B$13,MATCH(B94,'55_Codificacion_ensayo'!$A$5:$A$13,0)),"")</x:f>
        <x:v>HISTORIA-RETIRADA-ACTUALIZACION-0.1</x:v>
      </x:c>
      <x:c r="U94" s="12" t="str">
        <x:f>IFERROR(INDEX('55_Codificacion_ensayo'!$C$5:$C$13,MATCH(B94,'55_Codificacion_ensayo'!$A$5:$A$13,0)),"")</x:f>
        <x:v>HISTORIA_WUA</x:v>
      </x:c>
      <x:c r="V94" s="12" t="str">
        <x:f>IFERROR(INDEX('55_Codificacion_ensayo'!$D$5:$D$13,MATCH(B94,'55_Codificacion_ensayo'!$A$5:$A$13,0)),"")</x:f>
        <x:v>ORDEN_ACREDITADO</x:v>
      </x:c>
      <x:c r="W94" s="12" t="str">
        <x:f>IFERROR(INDEX('55_Codificacion_ensayo'!$E$5:$E$13,MATCH(B94,'55_Codificacion_ensayo'!$A$5:$A$13,0)),"")</x:f>
        <x:v>RETIRADA</x:v>
      </x:c>
      <x:c r="X94" s="12" t="str">
        <x:f>IFERROR(INDEX('55_Codificacion_ensayo'!$F$5:$F$13,MATCH(B94,'55_Codificacion_ensayo'!$A$5:$A$13,0)),"")</x:f>
        <x:v>uoUninstallation</x:v>
      </x:c>
      <x:c r="Y94" s="12" t="str">
        <x:f>IFERROR(INDEX('55_Codificacion_ensayo'!$G$5:$G$13,MATCH(B94,'55_Codificacion_ensayo'!$A$5:$A$13,0)),"")</x:f>
        <x:v>orcSucceeded</x:v>
      </x:c>
      <x:c r="Z94" s="12" t="str">
        <x:f>IFERROR(INDEX('55_Codificacion_ensayo'!$H$5:$H$13,MATCH(B94,'55_Codificacion_ensayo'!$A$5:$A$13,0)),"")</x:f>
        <x:v>NINGUNO</x:v>
      </x:c>
      <x:c r="AA94" s="12" t="str">
        <x:f>IFERROR(INDEX('55_Codificacion_ensayo'!$I$5:$I$13,MATCH(B94,'55_Codificacion_ensayo'!$A$5:$A$13,0)),"")</x:f>
        <x:v>RETIRADA_EXITOSA</x:v>
      </x:c>
      <x:c r="AB94" s="12" t="str">
        <x:f>IFERROR(INDEX('55_Codificacion_ensayo'!$J$5:$J$13,MATCH(B94,'55_Codificacion_ensayo'!$A$5:$A$13,0)),"")</x:f>
        <x:v>SIN_RETIRADA_EXITOSA</x:v>
      </x:c>
    </x:row>
    <x:row r="95" ht="47" customHeight="1">
      <x:c r="A95" s="4" t="str">
        <x:v>L10-08-09</x:v>
      </x:c>
      <x:c r="B95" s="4" t="str">
        <x:v>PAR-CYB-RETIRADA-EXITOSA-COMUNICADA-001</x:v>
      </x:c>
      <x:c r="C95" s="4" t="str">
        <x:v>HISTORIA-RETIRADA-ACTUALIZACION-0.1</x:v>
      </x:c>
      <x:c r="D95" s="4" t="str">
        <x:v>COINCIDE</x:v>
      </x:c>
      <x:c r="E95" s="4" t="str">
        <x:v>LEGIBLE</x:v>
      </x:c>
      <x:c r="F95" s="4" t="str">
        <x:v>HISTORIA_WUA</x:v>
      </x:c>
      <x:c r="G95" s="4" t="str">
        <x:v>UNICA</x:v>
      </x:c>
      <x:c r="H95" s="4" t="str">
        <x:v>true false desconocido</x:v>
      </x:c>
      <x:c r="I95" s="4" t="str">
        <x:v>orcSucceeded</x:v>
      </x:c>
      <x:c r="J95" s="4" t="str">
        <x:v>COMPLETA</x:v>
      </x:c>
      <x:c r="K95" s="4" t="str">
        <x:v>ORDEN_ACREDITADO</x:v>
      </x:c>
      <x:c r="L95" s="4" t="str">
        <x:v>NO_ADMISION</x:v>
      </x:c>
      <x:c r="M95" s="4" t="str"/>
      <x:c r="N95" s="4" t="str">
        <x:v>LEXEMA_O_FORMA</x:v>
      </x:c>
      <x:c r="O95" s="12" t="str">
        <x:f>IF(Q95="SIN_EJECUCION_DOMINIO","FALLO_CAPTURA",IF(OR(Q95="CAPTURA_MAL_FORMADA",Q95="IDENTIDAD",Q95="OBSERVACION_MAL_FORMADA",Q95="LEXEMA_O_FORMA"),"NO_ADMISION",IF(OR(Q95="PERFIL_NO_CONSTITUIDO",Q95="RESULTADO_NO_TERMINAL"),"FUERA_PERFIL",IF(Q95="CONTEXTO_NO_CONSTITUIDO","CONFIGURACION_PENDIENTE","VALIDA"))))</x:f>
        <x:v>NO_ADMISION</x:v>
      </x:c>
      <x:c r="P95" s="12" t="str">
        <x:f>IF(O95&lt;&gt;"VALIDA","",IF(Q95=AA95,"1",IF(Q95=AB95,"0","U")))</x:f>
      </x:c>
      <x:c r="Q95" s="12" t="str">
        <x:f>IF(E95="FALLO","SIN_EJECUCION_DOMINIO",IF(E95&lt;&gt;"LEGIBLE","CAPTURA_MAL_FORMADA",IF(D95&lt;&gt;"COINCIDE","IDENTIDAD",IF(OR(T95="",C95&lt;&gt;T95),"PERFIL_NO_CONSTITUIDO",IF(K95&lt;&gt;V95,IF(V95="ORDEN_ACREDITADO","ORDEN_NO_ACREDITADO","CONTEXTO_NO_CONSTITUIDO"),IF(AND(G95="AUSENTE",H95="",I95=""),"DATO_AUSENTE",IF(AND(G95="CONFLICTO",H95="",I95=""),"CONFLICTO_OBSERVACIONAL",IF(G95&lt;&gt;"UNICA","OBSERVACION_MAL_FORMADA",IF(F95&lt;&gt;U95,"OBSERVACION_INSUFICIENTE",IF(W95="RESULTADO",IF(H95=X95,AA95,IF(OR(H95="orcSucceededWithErrors",H95="orcFailed",H95="orcAborted"),AB95,IF(OR(H95="orcNotStarted",H95="orcInProgress"),"RESULTADO_NO_TERMINAL","LEXEMA_O_FORMA"))),IF(W95="EVENTO_BOOT",IF(H95=X95,AA95,IF(OR(H95="NINGUNO",H95="SOLO_HIBRIDO"),IF(J95="COMPLETA",AB95,"COBERTURA_INSUFICIENTE"),"LEXEMA_O_FORMA")),IF(W95="REQUISITO_SOFT",IF(H95=X95,AA95,IF(H95=Z95,AB95,"LEXEMA_O_FORMA")),IF(W95="EVENTO_PROC",IF(H95=X95,AA95,IF(H95=Z95,IF(J95="COMPLETA",AB95,"COBERTURA_INSUFICIENTE"),"LEXEMA_O_FORMA")),IF(W95="IMAGEN",IF(AND(AND(ISTEXT(H95),LEN(("x"&amp;H95))=65,EXACT(("x"&amp;H95),LOWER(("x"&amp;H95))),ISERROR(SEARCH(" ",("x"&amp;H95))),ISERROR(SEARCH(CHAR(9),("x"&amp;H95))),ISERROR(SEARCH(CHAR(10),("x"&amp;H95))),ISERROR(SEARCH(CHAR(13),("x"&amp;H95))),IFERROR(HEX2DEC(MID(("x"&amp;H95),2,8))&gt;=0,FALSE),IFERROR(HEX2DEC(MID(("x"&amp;H95),10,8))&gt;=0,FALSE),IFERROR(HEX2DEC(MID(("x"&amp;H95),18,8))&gt;=0,FALSE),IFERROR(HEX2DEC(MID(("x"&amp;H95),26,8))&gt;=0,FALSE),IFERROR(HEX2DEC(MID(("x"&amp;H95),34,8))&gt;=0,FALSE),IFERROR(HEX2DEC(MID(("x"&amp;H95),42,8))&gt;=0,FALSE),IFERROR(HEX2DEC(MID(("x"&amp;H95),50,8))&gt;=0,FALSE),IFERROR(HEX2DEC(MID(("x"&amp;H95),58,8))&gt;=0,FALSE)),AND(ISTEXT(I95),LEN(("x"&amp;I95))=65,EXACT(("x"&amp;I95),LOWER(("x"&amp;I95))),ISERROR(SEARCH(" ",("x"&amp;I95))),ISERROR(SEARCH(CHAR(9),("x"&amp;I95))),ISERROR(SEARCH(CHAR(10),("x"&amp;I95))),ISERROR(SEARCH(CHAR(13),("x"&amp;I95))),IFERROR(HEX2DEC(MID(("x"&amp;I95),2,8))&gt;=0,FALSE),IFERROR(HEX2DEC(MID(("x"&amp;I95),10,8))&gt;=0,FALSE),IFERROR(HEX2DEC(MID(("x"&amp;I95),18,8))&gt;=0,FALSE),IFERROR(HEX2DEC(MID(("x"&amp;I95),26,8))&gt;=0,FALSE),IFERROR(HEX2DEC(MID(("x"&amp;I95),34,8))&gt;=0,FALSE),IFERROR(HEX2DEC(MID(("x"&amp;I95),42,8))&gt;=0,FALSE),IFERROR(HEX2DEC(MID(("x"&amp;I95),50,8))&gt;=0,FALSE),IFERROR(HEX2DEC(MID(("x"&amp;I95),58,8))&gt;=0,FALSE))),IF(EXACT("x"&amp;H95,"x"&amp;I95),AA95,AB95),"LEXEMA_O_FORMA"),IF(W95="PRUEBA",IF(H95=X95,AA95,IF(H95=Z95,AB95,"LEXEMA_O_FORMA")),IF(W95="RETIRADA",IF(AND(H95="NINGUNO",I95=""),IF(J95="COMPLETA",AB95,"COBERTURA_INSUFICIENTE"),IF(AND(OR(H95="uoInstallation",H95="uoUninstallation"),OR(I95="orcSucceeded",I95="orcSucceededWithErrors",I95="orcFailed",I95="orcAborted",I95="orcInProgress",I95="orcNotStarted")),IF(AND(H95=X95,I95=Y95),AA95,IF(AND(H95=X95,OR(I95="orcSucceededWithErrors",I95="orcInProgress",I95="orcNotStarted")),"RESULTADO_RETIRADA_INCIERTO",IF(J95="COMPLETA",AB95,"COBERTURA_INSUFICIENTE"))),"LEXEMA_O_FORMA")),IF(W95="CAMBIO",IF(OR(H95="CAMBIO",H95="CAMBIO_Y_RETORNO"),AA95,IF(OR(H95="NINGUNO",H95="SOLO_RENOMBRE"),IF(J95="COMPLETA",AB95,"COBERTURA_INSUFICIENTE"),"LEXEMA_O_FORMA")),IF(W95="RESTAURACION",IF(H95=X95,AA95,IF(OR(H95="NINGUNO",H95="RESTAURACION_POSTERIOR",H95="RESTAURACION_FALLIDA"),IF(J95="COMPLETA",AB95,"COBERTURA_INSUFICIENTE"),"LEXEMA_O_FORMA")),"PERFIL_NO_CONSTITUIDO"))))))))))))))))))</x:f>
        <x:v>LEXEMA_O_FORMA</x:v>
      </x:c>
      <x:c r="R95" s="12" t="str">
        <x:f>IF(AND(L95=O95,M95=P95,N95=Q95),"PASA","NO_PASA")</x:f>
        <x:v>PASA</x:v>
      </x:c>
      <x:c r="S95" s="4" t="str">
        <x:v>La observación usa un lexema ajeno al contrato.</x:v>
      </x:c>
      <x:c r="T95" s="12" t="str">
        <x:f>IFERROR(INDEX('55_Codificacion_ensayo'!$B$5:$B$13,MATCH(B95,'55_Codificacion_ensayo'!$A$5:$A$13,0)),"")</x:f>
        <x:v>HISTORIA-RETIRADA-ACTUALIZACION-0.1</x:v>
      </x:c>
      <x:c r="U95" s="12" t="str">
        <x:f>IFERROR(INDEX('55_Codificacion_ensayo'!$C$5:$C$13,MATCH(B95,'55_Codificacion_ensayo'!$A$5:$A$13,0)),"")</x:f>
        <x:v>HISTORIA_WUA</x:v>
      </x:c>
      <x:c r="V95" s="12" t="str">
        <x:f>IFERROR(INDEX('55_Codificacion_ensayo'!$D$5:$D$13,MATCH(B95,'55_Codificacion_ensayo'!$A$5:$A$13,0)),"")</x:f>
        <x:v>ORDEN_ACREDITADO</x:v>
      </x:c>
      <x:c r="W95" s="12" t="str">
        <x:f>IFERROR(INDEX('55_Codificacion_ensayo'!$E$5:$E$13,MATCH(B95,'55_Codificacion_ensayo'!$A$5:$A$13,0)),"")</x:f>
        <x:v>RETIRADA</x:v>
      </x:c>
      <x:c r="X95" s="12" t="str">
        <x:f>IFERROR(INDEX('55_Codificacion_ensayo'!$F$5:$F$13,MATCH(B95,'55_Codificacion_ensayo'!$A$5:$A$13,0)),"")</x:f>
        <x:v>uoUninstallation</x:v>
      </x:c>
      <x:c r="Y95" s="12" t="str">
        <x:f>IFERROR(INDEX('55_Codificacion_ensayo'!$G$5:$G$13,MATCH(B95,'55_Codificacion_ensayo'!$A$5:$A$13,0)),"")</x:f>
        <x:v>orcSucceeded</x:v>
      </x:c>
      <x:c r="Z95" s="12" t="str">
        <x:f>IFERROR(INDEX('55_Codificacion_ensayo'!$H$5:$H$13,MATCH(B95,'55_Codificacion_ensayo'!$A$5:$A$13,0)),"")</x:f>
        <x:v>NINGUNO</x:v>
      </x:c>
      <x:c r="AA95" s="12" t="str">
        <x:f>IFERROR(INDEX('55_Codificacion_ensayo'!$I$5:$I$13,MATCH(B95,'55_Codificacion_ensayo'!$A$5:$A$13,0)),"")</x:f>
        <x:v>RETIRADA_EXITOSA</x:v>
      </x:c>
      <x:c r="AB95" s="12" t="str">
        <x:f>IFERROR(INDEX('55_Codificacion_ensayo'!$J$5:$J$13,MATCH(B95,'55_Codificacion_ensayo'!$A$5:$A$13,0)),"")</x:f>
        <x:v>SIN_RETIRADA_EXITOSA</x:v>
      </x:c>
    </x:row>
    <x:row r="96" ht="47" customHeight="1">
      <x:c r="A96" s="4" t="str">
        <x:v>L10-08-10</x:v>
      </x:c>
      <x:c r="B96" s="4" t="str">
        <x:v>PAR-CYB-RETIRADA-EXITOSA-COMUNICADA-001</x:v>
      </x:c>
      <x:c r="C96" s="4" t="str">
        <x:v>HISTORIA-RETIRADA-ACTUALIZACION-0.1</x:v>
      </x:c>
      <x:c r="D96" s="4" t="str">
        <x:v>COINCIDE</x:v>
      </x:c>
      <x:c r="E96" s="4" t="str">
        <x:v>LEGIBLE</x:v>
      </x:c>
      <x:c r="F96" s="4" t="str">
        <x:v>HISTORIA_WUA</x:v>
      </x:c>
      <x:c r="G96" s="4" t="str">
        <x:v>UNICA</x:v>
      </x:c>
      <x:c r="H96" s="4" t="str">
        <x:v>NINGUNO</x:v>
      </x:c>
      <x:c r="I96" s="4" t="str"/>
      <x:c r="J96" s="4" t="str">
        <x:v>PARCIAL</x:v>
      </x:c>
      <x:c r="K96" s="4" t="str">
        <x:v>ORDEN_ACREDITADO</x:v>
      </x:c>
      <x:c r="L96" s="4" t="str">
        <x:v>VALIDA</x:v>
      </x:c>
      <x:c r="M96" s="4" t="str">
        <x:v>U</x:v>
      </x:c>
      <x:c r="N96" s="4" t="str">
        <x:v>COBERTURA_INSUFICIENTE</x:v>
      </x:c>
      <x:c r="O96" s="12" t="str">
        <x:f>IF(Q96="SIN_EJECUCION_DOMINIO","FALLO_CAPTURA",IF(OR(Q96="CAPTURA_MAL_FORMADA",Q96="IDENTIDAD",Q96="OBSERVACION_MAL_FORMADA",Q96="LEXEMA_O_FORMA"),"NO_ADMISION",IF(OR(Q96="PERFIL_NO_CONSTITUIDO",Q96="RESULTADO_NO_TERMINAL"),"FUERA_PERFIL",IF(Q96="CONTEXTO_NO_CONSTITUIDO","CONFIGURACION_PENDIENTE","VALIDA"))))</x:f>
        <x:v>VALIDA</x:v>
      </x:c>
      <x:c r="P96" s="12" t="str">
        <x:f>IF(O96&lt;&gt;"VALIDA","",IF(Q96=AA96,"1",IF(Q96=AB96,"0","U")))</x:f>
        <x:v>U</x:v>
      </x:c>
      <x:c r="Q96" s="12" t="str">
        <x:f>IF(E96="FALLO","SIN_EJECUCION_DOMINIO",IF(E96&lt;&gt;"LEGIBLE","CAPTURA_MAL_FORMADA",IF(D96&lt;&gt;"COINCIDE","IDENTIDAD",IF(OR(T96="",C96&lt;&gt;T96),"PERFIL_NO_CONSTITUIDO",IF(K96&lt;&gt;V96,IF(V96="ORDEN_ACREDITADO","ORDEN_NO_ACREDITADO","CONTEXTO_NO_CONSTITUIDO"),IF(AND(G96="AUSENTE",H96="",I96=""),"DATO_AUSENTE",IF(AND(G96="CONFLICTO",H96="",I96=""),"CONFLICTO_OBSERVACIONAL",IF(G96&lt;&gt;"UNICA","OBSERVACION_MAL_FORMADA",IF(F96&lt;&gt;U96,"OBSERVACION_INSUFICIENTE",IF(W96="RESULTADO",IF(H96=X96,AA96,IF(OR(H96="orcSucceededWithErrors",H96="orcFailed",H96="orcAborted"),AB96,IF(OR(H96="orcNotStarted",H96="orcInProgress"),"RESULTADO_NO_TERMINAL","LEXEMA_O_FORMA"))),IF(W96="EVENTO_BOOT",IF(H96=X96,AA96,IF(OR(H96="NINGUNO",H96="SOLO_HIBRIDO"),IF(J96="COMPLETA",AB96,"COBERTURA_INSUFICIENTE"),"LEXEMA_O_FORMA")),IF(W96="REQUISITO_SOFT",IF(H96=X96,AA96,IF(H96=Z96,AB96,"LEXEMA_O_FORMA")),IF(W96="EVENTO_PROC",IF(H96=X96,AA96,IF(H96=Z96,IF(J96="COMPLETA",AB96,"COBERTURA_INSUFICIENTE"),"LEXEMA_O_FORMA")),IF(W96="IMAGEN",IF(AND(AND(ISTEXT(H96),LEN(("x"&amp;H96))=65,EXACT(("x"&amp;H96),LOWER(("x"&amp;H96))),ISERROR(SEARCH(" ",("x"&amp;H96))),ISERROR(SEARCH(CHAR(9),("x"&amp;H96))),ISERROR(SEARCH(CHAR(10),("x"&amp;H96))),ISERROR(SEARCH(CHAR(13),("x"&amp;H96))),IFERROR(HEX2DEC(MID(("x"&amp;H96),2,8))&gt;=0,FALSE),IFERROR(HEX2DEC(MID(("x"&amp;H96),10,8))&gt;=0,FALSE),IFERROR(HEX2DEC(MID(("x"&amp;H96),18,8))&gt;=0,FALSE),IFERROR(HEX2DEC(MID(("x"&amp;H96),26,8))&gt;=0,FALSE),IFERROR(HEX2DEC(MID(("x"&amp;H96),34,8))&gt;=0,FALSE),IFERROR(HEX2DEC(MID(("x"&amp;H96),42,8))&gt;=0,FALSE),IFERROR(HEX2DEC(MID(("x"&amp;H96),50,8))&gt;=0,FALSE),IFERROR(HEX2DEC(MID(("x"&amp;H96),58,8))&gt;=0,FALSE)),AND(ISTEXT(I96),LEN(("x"&amp;I96))=65,EXACT(("x"&amp;I96),LOWER(("x"&amp;I96))),ISERROR(SEARCH(" ",("x"&amp;I96))),ISERROR(SEARCH(CHAR(9),("x"&amp;I96))),ISERROR(SEARCH(CHAR(10),("x"&amp;I96))),ISERROR(SEARCH(CHAR(13),("x"&amp;I96))),IFERROR(HEX2DEC(MID(("x"&amp;I96),2,8))&gt;=0,FALSE),IFERROR(HEX2DEC(MID(("x"&amp;I96),10,8))&gt;=0,FALSE),IFERROR(HEX2DEC(MID(("x"&amp;I96),18,8))&gt;=0,FALSE),IFERROR(HEX2DEC(MID(("x"&amp;I96),26,8))&gt;=0,FALSE),IFERROR(HEX2DEC(MID(("x"&amp;I96),34,8))&gt;=0,FALSE),IFERROR(HEX2DEC(MID(("x"&amp;I96),42,8))&gt;=0,FALSE),IFERROR(HEX2DEC(MID(("x"&amp;I96),50,8))&gt;=0,FALSE),IFERROR(HEX2DEC(MID(("x"&amp;I96),58,8))&gt;=0,FALSE))),IF(EXACT("x"&amp;H96,"x"&amp;I96),AA96,AB96),"LEXEMA_O_FORMA"),IF(W96="PRUEBA",IF(H96=X96,AA96,IF(H96=Z96,AB96,"LEXEMA_O_FORMA")),IF(W96="RETIRADA",IF(AND(H96="NINGUNO",I96=""),IF(J96="COMPLETA",AB96,"COBERTURA_INSUFICIENTE"),IF(AND(OR(H96="uoInstallation",H96="uoUninstallation"),OR(I96="orcSucceeded",I96="orcSucceededWithErrors",I96="orcFailed",I96="orcAborted",I96="orcInProgress",I96="orcNotStarted")),IF(AND(H96=X96,I96=Y96),AA96,IF(AND(H96=X96,OR(I96="orcSucceededWithErrors",I96="orcInProgress",I96="orcNotStarted")),"RESULTADO_RETIRADA_INCIERTO",IF(J96="COMPLETA",AB96,"COBERTURA_INSUFICIENTE"))),"LEXEMA_O_FORMA")),IF(W96="CAMBIO",IF(OR(H96="CAMBIO",H96="CAMBIO_Y_RETORNO"),AA96,IF(OR(H96="NINGUNO",H96="SOLO_RENOMBRE"),IF(J96="COMPLETA",AB96,"COBERTURA_INSUFICIENTE"),"LEXEMA_O_FORMA")),IF(W96="RESTAURACION",IF(H96=X96,AA96,IF(OR(H96="NINGUNO",H96="RESTAURACION_POSTERIOR",H96="RESTAURACION_FALLIDA"),IF(J96="COMPLETA",AB96,"COBERTURA_INSUFICIENTE"),"LEXEMA_O_FORMA")),"PERFIL_NO_CONSTITUIDO"))))))))))))))))))</x:f>
        <x:v>COBERTURA_INSUFICIENTE</x:v>
      </x:c>
      <x:c r="R96" s="12" t="str">
        <x:f>IF(AND(L96=O96,M96=P96,N96=Q96),"PASA","NO_PASA")</x:f>
        <x:v>PASA</x:v>
      </x:c>
      <x:c r="S96" s="4" t="str">
        <x:v>Ningún evento encontrado en cobertura parcial: U, no 0.</x:v>
      </x:c>
      <x:c r="T96" s="12" t="str">
        <x:f>IFERROR(INDEX('55_Codificacion_ensayo'!$B$5:$B$13,MATCH(B96,'55_Codificacion_ensayo'!$A$5:$A$13,0)),"")</x:f>
        <x:v>HISTORIA-RETIRADA-ACTUALIZACION-0.1</x:v>
      </x:c>
      <x:c r="U96" s="12" t="str">
        <x:f>IFERROR(INDEX('55_Codificacion_ensayo'!$C$5:$C$13,MATCH(B96,'55_Codificacion_ensayo'!$A$5:$A$13,0)),"")</x:f>
        <x:v>HISTORIA_WUA</x:v>
      </x:c>
      <x:c r="V96" s="12" t="str">
        <x:f>IFERROR(INDEX('55_Codificacion_ensayo'!$D$5:$D$13,MATCH(B96,'55_Codificacion_ensayo'!$A$5:$A$13,0)),"")</x:f>
        <x:v>ORDEN_ACREDITADO</x:v>
      </x:c>
      <x:c r="W96" s="12" t="str">
        <x:f>IFERROR(INDEX('55_Codificacion_ensayo'!$E$5:$E$13,MATCH(B96,'55_Codificacion_ensayo'!$A$5:$A$13,0)),"")</x:f>
        <x:v>RETIRADA</x:v>
      </x:c>
      <x:c r="X96" s="12" t="str">
        <x:f>IFERROR(INDEX('55_Codificacion_ensayo'!$F$5:$F$13,MATCH(B96,'55_Codificacion_ensayo'!$A$5:$A$13,0)),"")</x:f>
        <x:v>uoUninstallation</x:v>
      </x:c>
      <x:c r="Y96" s="12" t="str">
        <x:f>IFERROR(INDEX('55_Codificacion_ensayo'!$G$5:$G$13,MATCH(B96,'55_Codificacion_ensayo'!$A$5:$A$13,0)),"")</x:f>
        <x:v>orcSucceeded</x:v>
      </x:c>
      <x:c r="Z96" s="12" t="str">
        <x:f>IFERROR(INDEX('55_Codificacion_ensayo'!$H$5:$H$13,MATCH(B96,'55_Codificacion_ensayo'!$A$5:$A$13,0)),"")</x:f>
        <x:v>NINGUNO</x:v>
      </x:c>
      <x:c r="AA96" s="12" t="str">
        <x:f>IFERROR(INDEX('55_Codificacion_ensayo'!$I$5:$I$13,MATCH(B96,'55_Codificacion_ensayo'!$A$5:$A$13,0)),"")</x:f>
        <x:v>RETIRADA_EXITOSA</x:v>
      </x:c>
      <x:c r="AB96" s="12" t="str">
        <x:f>IFERROR(INDEX('55_Codificacion_ensayo'!$J$5:$J$13,MATCH(B96,'55_Codificacion_ensayo'!$A$5:$A$13,0)),"")</x:f>
        <x:v>SIN_RETIRADA_EXITOSA</x:v>
      </x:c>
    </x:row>
    <x:row r="97" ht="47" customHeight="1">
      <x:c r="A97" s="4" t="str">
        <x:v>L10-08-11</x:v>
      </x:c>
      <x:c r="B97" s="4" t="str">
        <x:v>PAR-CYB-RETIRADA-EXITOSA-COMUNICADA-001</x:v>
      </x:c>
      <x:c r="C97" s="4" t="str">
        <x:v>HISTORIA-RETIRADA-ACTUALIZACION-0.1</x:v>
      </x:c>
      <x:c r="D97" s="4" t="str">
        <x:v>COINCIDE</x:v>
      </x:c>
      <x:c r="E97" s="4" t="str">
        <x:v>LEGIBLE</x:v>
      </x:c>
      <x:c r="F97" s="4" t="str">
        <x:v>HISTORIA_WUA</x:v>
      </x:c>
      <x:c r="G97" s="4" t="str">
        <x:v>UNICA</x:v>
      </x:c>
      <x:c r="H97" s="4" t="str">
        <x:v>uoUninstallation</x:v>
      </x:c>
      <x:c r="I97" s="4" t="str">
        <x:v>orcSucceeded</x:v>
      </x:c>
      <x:c r="J97" s="4" t="str">
        <x:v>PARCIAL</x:v>
      </x:c>
      <x:c r="K97" s="4" t="str">
        <x:v>ORDEN_ACREDITADO</x:v>
      </x:c>
      <x:c r="L97" s="4" t="str">
        <x:v>VALIDA</x:v>
      </x:c>
      <x:c r="M97" s="4" t="str">
        <x:v>1</x:v>
      </x:c>
      <x:c r="N97" s="4" t="str">
        <x:v>RETIRADA_EXITOSA</x:v>
      </x:c>
      <x:c r="O97" s="12" t="str">
        <x:f>IF(Q97="SIN_EJECUCION_DOMINIO","FALLO_CAPTURA",IF(OR(Q97="CAPTURA_MAL_FORMADA",Q97="IDENTIDAD",Q97="OBSERVACION_MAL_FORMADA",Q97="LEXEMA_O_FORMA"),"NO_ADMISION",IF(OR(Q97="PERFIL_NO_CONSTITUIDO",Q97="RESULTADO_NO_TERMINAL"),"FUERA_PERFIL",IF(Q97="CONTEXTO_NO_CONSTITUIDO","CONFIGURACION_PENDIENTE","VALIDA"))))</x:f>
        <x:v>VALIDA</x:v>
      </x:c>
      <x:c r="P97" s="12" t="str">
        <x:f>IF(O97&lt;&gt;"VALIDA","",IF(Q97=AA97,"1",IF(Q97=AB97,"0","U")))</x:f>
        <x:v>1</x:v>
      </x:c>
      <x:c r="Q97" s="12" t="str">
        <x:f>IF(E97="FALLO","SIN_EJECUCION_DOMINIO",IF(E97&lt;&gt;"LEGIBLE","CAPTURA_MAL_FORMADA",IF(D97&lt;&gt;"COINCIDE","IDENTIDAD",IF(OR(T97="",C97&lt;&gt;T97),"PERFIL_NO_CONSTITUIDO",IF(K97&lt;&gt;V97,IF(V97="ORDEN_ACREDITADO","ORDEN_NO_ACREDITADO","CONTEXTO_NO_CONSTITUIDO"),IF(AND(G97="AUSENTE",H97="",I97=""),"DATO_AUSENTE",IF(AND(G97="CONFLICTO",H97="",I97=""),"CONFLICTO_OBSERVACIONAL",IF(G97&lt;&gt;"UNICA","OBSERVACION_MAL_FORMADA",IF(F97&lt;&gt;U97,"OBSERVACION_INSUFICIENTE",IF(W97="RESULTADO",IF(H97=X97,AA97,IF(OR(H97="orcSucceededWithErrors",H97="orcFailed",H97="orcAborted"),AB97,IF(OR(H97="orcNotStarted",H97="orcInProgress"),"RESULTADO_NO_TERMINAL","LEXEMA_O_FORMA"))),IF(W97="EVENTO_BOOT",IF(H97=X97,AA97,IF(OR(H97="NINGUNO",H97="SOLO_HIBRIDO"),IF(J97="COMPLETA",AB97,"COBERTURA_INSUFICIENTE"),"LEXEMA_O_FORMA")),IF(W97="REQUISITO_SOFT",IF(H97=X97,AA97,IF(H97=Z97,AB97,"LEXEMA_O_FORMA")),IF(W97="EVENTO_PROC",IF(H97=X97,AA97,IF(H97=Z97,IF(J97="COMPLETA",AB97,"COBERTURA_INSUFICIENTE"),"LEXEMA_O_FORMA")),IF(W97="IMAGEN",IF(AND(AND(ISTEXT(H97),LEN(("x"&amp;H97))=65,EXACT(("x"&amp;H97),LOWER(("x"&amp;H97))),ISERROR(SEARCH(" ",("x"&amp;H97))),ISERROR(SEARCH(CHAR(9),("x"&amp;H97))),ISERROR(SEARCH(CHAR(10),("x"&amp;H97))),ISERROR(SEARCH(CHAR(13),("x"&amp;H97))),IFERROR(HEX2DEC(MID(("x"&amp;H97),2,8))&gt;=0,FALSE),IFERROR(HEX2DEC(MID(("x"&amp;H97),10,8))&gt;=0,FALSE),IFERROR(HEX2DEC(MID(("x"&amp;H97),18,8))&gt;=0,FALSE),IFERROR(HEX2DEC(MID(("x"&amp;H97),26,8))&gt;=0,FALSE),IFERROR(HEX2DEC(MID(("x"&amp;H97),34,8))&gt;=0,FALSE),IFERROR(HEX2DEC(MID(("x"&amp;H97),42,8))&gt;=0,FALSE),IFERROR(HEX2DEC(MID(("x"&amp;H97),50,8))&gt;=0,FALSE),IFERROR(HEX2DEC(MID(("x"&amp;H97),58,8))&gt;=0,FALSE)),AND(ISTEXT(I97),LEN(("x"&amp;I97))=65,EXACT(("x"&amp;I97),LOWER(("x"&amp;I97))),ISERROR(SEARCH(" ",("x"&amp;I97))),ISERROR(SEARCH(CHAR(9),("x"&amp;I97))),ISERROR(SEARCH(CHAR(10),("x"&amp;I97))),ISERROR(SEARCH(CHAR(13),("x"&amp;I97))),IFERROR(HEX2DEC(MID(("x"&amp;I97),2,8))&gt;=0,FALSE),IFERROR(HEX2DEC(MID(("x"&amp;I97),10,8))&gt;=0,FALSE),IFERROR(HEX2DEC(MID(("x"&amp;I97),18,8))&gt;=0,FALSE),IFERROR(HEX2DEC(MID(("x"&amp;I97),26,8))&gt;=0,FALSE),IFERROR(HEX2DEC(MID(("x"&amp;I97),34,8))&gt;=0,FALSE),IFERROR(HEX2DEC(MID(("x"&amp;I97),42,8))&gt;=0,FALSE),IFERROR(HEX2DEC(MID(("x"&amp;I97),50,8))&gt;=0,FALSE),IFERROR(HEX2DEC(MID(("x"&amp;I97),58,8))&gt;=0,FALSE))),IF(EXACT("x"&amp;H97,"x"&amp;I97),AA97,AB97),"LEXEMA_O_FORMA"),IF(W97="PRUEBA",IF(H97=X97,AA97,IF(H97=Z97,AB97,"LEXEMA_O_FORMA")),IF(W97="RETIRADA",IF(AND(H97="NINGUNO",I97=""),IF(J97="COMPLETA",AB97,"COBERTURA_INSUFICIENTE"),IF(AND(OR(H97="uoInstallation",H97="uoUninstallation"),OR(I97="orcSucceeded",I97="orcSucceededWithErrors",I97="orcFailed",I97="orcAborted",I97="orcInProgress",I97="orcNotStarted")),IF(AND(H97=X97,I97=Y97),AA97,IF(AND(H97=X97,OR(I97="orcSucceededWithErrors",I97="orcInProgress",I97="orcNotStarted")),"RESULTADO_RETIRADA_INCIERTO",IF(J97="COMPLETA",AB97,"COBERTURA_INSUFICIENTE"))),"LEXEMA_O_FORMA")),IF(W97="CAMBIO",IF(OR(H97="CAMBIO",H97="CAMBIO_Y_RETORNO"),AA97,IF(OR(H97="NINGUNO",H97="SOLO_RENOMBRE"),IF(J97="COMPLETA",AB97,"COBERTURA_INSUFICIENTE"),"LEXEMA_O_FORMA")),IF(W97="RESTAURACION",IF(H97=X97,AA97,IF(OR(H97="NINGUNO",H97="RESTAURACION_POSTERIOR",H97="RESTAURACION_FALLIDA"),IF(J97="COMPLETA",AB97,"COBERTURA_INSUFICIENTE"),"LEXEMA_O_FORMA")),"PERFIL_NO_CONSTITUIDO"))))))))))))))))))</x:f>
        <x:v>RETIRADA_EXITOSA</x:v>
      </x:c>
      <x:c r="R97" s="12" t="str">
        <x:f>IF(AND(L97=O97,M97=P97,N97=Q97),"PASA","NO_PASA")</x:f>
        <x:v>PASA</x:v>
      </x:c>
      <x:c r="S97" s="4" t="str">
        <x:v>Un testigo positivo acredita existencia aunque la historia restante sea parcial.</x:v>
      </x:c>
      <x:c r="T97" s="12" t="str">
        <x:f>IFERROR(INDEX('55_Codificacion_ensayo'!$B$5:$B$13,MATCH(B97,'55_Codificacion_ensayo'!$A$5:$A$13,0)),"")</x:f>
        <x:v>HISTORIA-RETIRADA-ACTUALIZACION-0.1</x:v>
      </x:c>
      <x:c r="U97" s="12" t="str">
        <x:f>IFERROR(INDEX('55_Codificacion_ensayo'!$C$5:$C$13,MATCH(B97,'55_Codificacion_ensayo'!$A$5:$A$13,0)),"")</x:f>
        <x:v>HISTORIA_WUA</x:v>
      </x:c>
      <x:c r="V97" s="12" t="str">
        <x:f>IFERROR(INDEX('55_Codificacion_ensayo'!$D$5:$D$13,MATCH(B97,'55_Codificacion_ensayo'!$A$5:$A$13,0)),"")</x:f>
        <x:v>ORDEN_ACREDITADO</x:v>
      </x:c>
      <x:c r="W97" s="12" t="str">
        <x:f>IFERROR(INDEX('55_Codificacion_ensayo'!$E$5:$E$13,MATCH(B97,'55_Codificacion_ensayo'!$A$5:$A$13,0)),"")</x:f>
        <x:v>RETIRADA</x:v>
      </x:c>
      <x:c r="X97" s="12" t="str">
        <x:f>IFERROR(INDEX('55_Codificacion_ensayo'!$F$5:$F$13,MATCH(B97,'55_Codificacion_ensayo'!$A$5:$A$13,0)),"")</x:f>
        <x:v>uoUninstallation</x:v>
      </x:c>
      <x:c r="Y97" s="12" t="str">
        <x:f>IFERROR(INDEX('55_Codificacion_ensayo'!$G$5:$G$13,MATCH(B97,'55_Codificacion_ensayo'!$A$5:$A$13,0)),"")</x:f>
        <x:v>orcSucceeded</x:v>
      </x:c>
      <x:c r="Z97" s="12" t="str">
        <x:f>IFERROR(INDEX('55_Codificacion_ensayo'!$H$5:$H$13,MATCH(B97,'55_Codificacion_ensayo'!$A$5:$A$13,0)),"")</x:f>
        <x:v>NINGUNO</x:v>
      </x:c>
      <x:c r="AA97" s="12" t="str">
        <x:f>IFERROR(INDEX('55_Codificacion_ensayo'!$I$5:$I$13,MATCH(B97,'55_Codificacion_ensayo'!$A$5:$A$13,0)),"")</x:f>
        <x:v>RETIRADA_EXITOSA</x:v>
      </x:c>
      <x:c r="AB97" s="12" t="str">
        <x:f>IFERROR(INDEX('55_Codificacion_ensayo'!$J$5:$J$13,MATCH(B97,'55_Codificacion_ensayo'!$A$5:$A$13,0)),"")</x:f>
        <x:v>SIN_RETIRADA_EXITOSA</x:v>
      </x:c>
    </x:row>
    <x:row r="98" ht="47" customHeight="1">
      <x:c r="A98" s="4" t="str">
        <x:v>L10-08-12</x:v>
      </x:c>
      <x:c r="B98" s="4" t="str">
        <x:v>PAR-CYB-RETIRADA-EXITOSA-COMUNICADA-001</x:v>
      </x:c>
      <x:c r="C98" s="4" t="str">
        <x:v>HISTORIA-RETIRADA-ACTUALIZACION-0.1</x:v>
      </x:c>
      <x:c r="D98" s="4" t="str">
        <x:v>COINCIDE</x:v>
      </x:c>
      <x:c r="E98" s="4" t="str">
        <x:v>LEGIBLE</x:v>
      </x:c>
      <x:c r="F98" s="4" t="str">
        <x:v>HISTORIA_WUA</x:v>
      </x:c>
      <x:c r="G98" s="4" t="str">
        <x:v>UNICA</x:v>
      </x:c>
      <x:c r="H98" s="4" t="str">
        <x:v>uoUninstallation</x:v>
      </x:c>
      <x:c r="I98" s="4" t="str">
        <x:v>orcSucceeded</x:v>
      </x:c>
      <x:c r="J98" s="4" t="str">
        <x:v>COMPLETA</x:v>
      </x:c>
      <x:c r="K98" s="4" t="str">
        <x:v>ORDEN_INCIERTO</x:v>
      </x:c>
      <x:c r="L98" s="4" t="str">
        <x:v>VALIDA</x:v>
      </x:c>
      <x:c r="M98" s="4" t="str">
        <x:v>U</x:v>
      </x:c>
      <x:c r="N98" s="4" t="str">
        <x:v>ORDEN_NO_ACREDITADO</x:v>
      </x:c>
      <x:c r="O98" s="12" t="str">
        <x:f>IF(Q98="SIN_EJECUCION_DOMINIO","FALLO_CAPTURA",IF(OR(Q98="CAPTURA_MAL_FORMADA",Q98="IDENTIDAD",Q98="OBSERVACION_MAL_FORMADA",Q98="LEXEMA_O_FORMA"),"NO_ADMISION",IF(OR(Q98="PERFIL_NO_CONSTITUIDO",Q98="RESULTADO_NO_TERMINAL"),"FUERA_PERFIL",IF(Q98="CONTEXTO_NO_CONSTITUIDO","CONFIGURACION_PENDIENTE","VALIDA"))))</x:f>
        <x:v>VALIDA</x:v>
      </x:c>
      <x:c r="P98" s="12" t="str">
        <x:f>IF(O98&lt;&gt;"VALIDA","",IF(Q98=AA98,"1",IF(Q98=AB98,"0","U")))</x:f>
        <x:v>U</x:v>
      </x:c>
      <x:c r="Q98" s="12" t="str">
        <x:f>IF(E98="FALLO","SIN_EJECUCION_DOMINIO",IF(E98&lt;&gt;"LEGIBLE","CAPTURA_MAL_FORMADA",IF(D98&lt;&gt;"COINCIDE","IDENTIDAD",IF(OR(T98="",C98&lt;&gt;T98),"PERFIL_NO_CONSTITUIDO",IF(K98&lt;&gt;V98,IF(V98="ORDEN_ACREDITADO","ORDEN_NO_ACREDITADO","CONTEXTO_NO_CONSTITUIDO"),IF(AND(G98="AUSENTE",H98="",I98=""),"DATO_AUSENTE",IF(AND(G98="CONFLICTO",H98="",I98=""),"CONFLICTO_OBSERVACIONAL",IF(G98&lt;&gt;"UNICA","OBSERVACION_MAL_FORMADA",IF(F98&lt;&gt;U98,"OBSERVACION_INSUFICIENTE",IF(W98="RESULTADO",IF(H98=X98,AA98,IF(OR(H98="orcSucceededWithErrors",H98="orcFailed",H98="orcAborted"),AB98,IF(OR(H98="orcNotStarted",H98="orcInProgress"),"RESULTADO_NO_TERMINAL","LEXEMA_O_FORMA"))),IF(W98="EVENTO_BOOT",IF(H98=X98,AA98,IF(OR(H98="NINGUNO",H98="SOLO_HIBRIDO"),IF(J98="COMPLETA",AB98,"COBERTURA_INSUFICIENTE"),"LEXEMA_O_FORMA")),IF(W98="REQUISITO_SOFT",IF(H98=X98,AA98,IF(H98=Z98,AB98,"LEXEMA_O_FORMA")),IF(W98="EVENTO_PROC",IF(H98=X98,AA98,IF(H98=Z98,IF(J98="COMPLETA",AB98,"COBERTURA_INSUFICIENTE"),"LEXEMA_O_FORMA")),IF(W98="IMAGEN",IF(AND(AND(ISTEXT(H98),LEN(("x"&amp;H98))=65,EXACT(("x"&amp;H98),LOWER(("x"&amp;H98))),ISERROR(SEARCH(" ",("x"&amp;H98))),ISERROR(SEARCH(CHAR(9),("x"&amp;H98))),ISERROR(SEARCH(CHAR(10),("x"&amp;H98))),ISERROR(SEARCH(CHAR(13),("x"&amp;H98))),IFERROR(HEX2DEC(MID(("x"&amp;H98),2,8))&gt;=0,FALSE),IFERROR(HEX2DEC(MID(("x"&amp;H98),10,8))&gt;=0,FALSE),IFERROR(HEX2DEC(MID(("x"&amp;H98),18,8))&gt;=0,FALSE),IFERROR(HEX2DEC(MID(("x"&amp;H98),26,8))&gt;=0,FALSE),IFERROR(HEX2DEC(MID(("x"&amp;H98),34,8))&gt;=0,FALSE),IFERROR(HEX2DEC(MID(("x"&amp;H98),42,8))&gt;=0,FALSE),IFERROR(HEX2DEC(MID(("x"&amp;H98),50,8))&gt;=0,FALSE),IFERROR(HEX2DEC(MID(("x"&amp;H98),58,8))&gt;=0,FALSE)),AND(ISTEXT(I98),LEN(("x"&amp;I98))=65,EXACT(("x"&amp;I98),LOWER(("x"&amp;I98))),ISERROR(SEARCH(" ",("x"&amp;I98))),ISERROR(SEARCH(CHAR(9),("x"&amp;I98))),ISERROR(SEARCH(CHAR(10),("x"&amp;I98))),ISERROR(SEARCH(CHAR(13),("x"&amp;I98))),IFERROR(HEX2DEC(MID(("x"&amp;I98),2,8))&gt;=0,FALSE),IFERROR(HEX2DEC(MID(("x"&amp;I98),10,8))&gt;=0,FALSE),IFERROR(HEX2DEC(MID(("x"&amp;I98),18,8))&gt;=0,FALSE),IFERROR(HEX2DEC(MID(("x"&amp;I98),26,8))&gt;=0,FALSE),IFERROR(HEX2DEC(MID(("x"&amp;I98),34,8))&gt;=0,FALSE),IFERROR(HEX2DEC(MID(("x"&amp;I98),42,8))&gt;=0,FALSE),IFERROR(HEX2DEC(MID(("x"&amp;I98),50,8))&gt;=0,FALSE),IFERROR(HEX2DEC(MID(("x"&amp;I98),58,8))&gt;=0,FALSE))),IF(EXACT("x"&amp;H98,"x"&amp;I98),AA98,AB98),"LEXEMA_O_FORMA"),IF(W98="PRUEBA",IF(H98=X98,AA98,IF(H98=Z98,AB98,"LEXEMA_O_FORMA")),IF(W98="RETIRADA",IF(AND(H98="NINGUNO",I98=""),IF(J98="COMPLETA",AB98,"COBERTURA_INSUFICIENTE"),IF(AND(OR(H98="uoInstallation",H98="uoUninstallation"),OR(I98="orcSucceeded",I98="orcSucceededWithErrors",I98="orcFailed",I98="orcAborted",I98="orcInProgress",I98="orcNotStarted")),IF(AND(H98=X98,I98=Y98),AA98,IF(AND(H98=X98,OR(I98="orcSucceededWithErrors",I98="orcInProgress",I98="orcNotStarted")),"RESULTADO_RETIRADA_INCIERTO",IF(J98="COMPLETA",AB98,"COBERTURA_INSUFICIENTE"))),"LEXEMA_O_FORMA")),IF(W98="CAMBIO",IF(OR(H98="CAMBIO",H98="CAMBIO_Y_RETORNO"),AA98,IF(OR(H98="NINGUNO",H98="SOLO_RENOMBRE"),IF(J98="COMPLETA",AB98,"COBERTURA_INSUFICIENTE"),"LEXEMA_O_FORMA")),IF(W98="RESTAURACION",IF(H98=X98,AA98,IF(OR(H98="NINGUNO",H98="RESTAURACION_POSTERIOR",H98="RESTAURACION_FALLIDA"),IF(J98="COMPLETA",AB98,"COBERTURA_INSUFICIENTE"),"LEXEMA_O_FORMA")),"PERFIL_NO_CONSTITUIDO"))))))))))))))))))</x:f>
        <x:v>ORDEN_NO_ACREDITADO</x:v>
      </x:c>
      <x:c r="R98" s="12" t="str">
        <x:f>IF(AND(L98=O98,M98=P98,N98=Q98),"PASA","NO_PASA")</x:f>
        <x:v>PASA</x:v>
      </x:c>
      <x:c r="S98" s="4" t="str">
        <x:v>El orden no está acreditado; la mera fecha no prueba posterioridad.</x:v>
      </x:c>
      <x:c r="T98" s="12" t="str">
        <x:f>IFERROR(INDEX('55_Codificacion_ensayo'!$B$5:$B$13,MATCH(B98,'55_Codificacion_ensayo'!$A$5:$A$13,0)),"")</x:f>
        <x:v>HISTORIA-RETIRADA-ACTUALIZACION-0.1</x:v>
      </x:c>
      <x:c r="U98" s="12" t="str">
        <x:f>IFERROR(INDEX('55_Codificacion_ensayo'!$C$5:$C$13,MATCH(B98,'55_Codificacion_ensayo'!$A$5:$A$13,0)),"")</x:f>
        <x:v>HISTORIA_WUA</x:v>
      </x:c>
      <x:c r="V98" s="12" t="str">
        <x:f>IFERROR(INDEX('55_Codificacion_ensayo'!$D$5:$D$13,MATCH(B98,'55_Codificacion_ensayo'!$A$5:$A$13,0)),"")</x:f>
        <x:v>ORDEN_ACREDITADO</x:v>
      </x:c>
      <x:c r="W98" s="12" t="str">
        <x:f>IFERROR(INDEX('55_Codificacion_ensayo'!$E$5:$E$13,MATCH(B98,'55_Codificacion_ensayo'!$A$5:$A$13,0)),"")</x:f>
        <x:v>RETIRADA</x:v>
      </x:c>
      <x:c r="X98" s="12" t="str">
        <x:f>IFERROR(INDEX('55_Codificacion_ensayo'!$F$5:$F$13,MATCH(B98,'55_Codificacion_ensayo'!$A$5:$A$13,0)),"")</x:f>
        <x:v>uoUninstallation</x:v>
      </x:c>
      <x:c r="Y98" s="12" t="str">
        <x:f>IFERROR(INDEX('55_Codificacion_ensayo'!$G$5:$G$13,MATCH(B98,'55_Codificacion_ensayo'!$A$5:$A$13,0)),"")</x:f>
        <x:v>orcSucceeded</x:v>
      </x:c>
      <x:c r="Z98" s="12" t="str">
        <x:f>IFERROR(INDEX('55_Codificacion_ensayo'!$H$5:$H$13,MATCH(B98,'55_Codificacion_ensayo'!$A$5:$A$13,0)),"")</x:f>
        <x:v>NINGUNO</x:v>
      </x:c>
      <x:c r="AA98" s="12" t="str">
        <x:f>IFERROR(INDEX('55_Codificacion_ensayo'!$I$5:$I$13,MATCH(B98,'55_Codificacion_ensayo'!$A$5:$A$13,0)),"")</x:f>
        <x:v>RETIRADA_EXITOSA</x:v>
      </x:c>
      <x:c r="AB98" s="12" t="str">
        <x:f>IFERROR(INDEX('55_Codificacion_ensayo'!$J$5:$J$13,MATCH(B98,'55_Codificacion_ensayo'!$A$5:$A$13,0)),"")</x:f>
        <x:v>SIN_RETIRADA_EXITOSA</x:v>
      </x:c>
    </x:row>
    <x:row r="99" ht="47" customHeight="1">
      <x:c r="A99" s="4" t="str">
        <x:v>L10-08-13</x:v>
      </x:c>
      <x:c r="B99" s="4" t="str">
        <x:v>PAR-CYB-RETIRADA-EXITOSA-COMUNICADA-001</x:v>
      </x:c>
      <x:c r="C99" s="4" t="str">
        <x:v>HISTORIA-RETIRADA-ACTUALIZACION-0.1</x:v>
      </x:c>
      <x:c r="D99" s="4" t="str">
        <x:v>COINCIDE</x:v>
      </x:c>
      <x:c r="E99" s="4" t="str">
        <x:v>LEGIBLE</x:v>
      </x:c>
      <x:c r="F99" s="4" t="str">
        <x:v>HISTORIA_WUA</x:v>
      </x:c>
      <x:c r="G99" s="4" t="str">
        <x:v>UNICA</x:v>
      </x:c>
      <x:c r="H99" s="4" t="str">
        <x:v>uoUninstallation</x:v>
      </x:c>
      <x:c r="I99" s="4" t="str">
        <x:v>orcFailed</x:v>
      </x:c>
      <x:c r="J99" s="4" t="str">
        <x:v>COMPLETA</x:v>
      </x:c>
      <x:c r="K99" s="4" t="str">
        <x:v>ORDEN_ACREDITADO</x:v>
      </x:c>
      <x:c r="L99" s="4" t="str">
        <x:v>VALIDA</x:v>
      </x:c>
      <x:c r="M99" s="4" t="str">
        <x:v>0</x:v>
      </x:c>
      <x:c r="N99" s="4" t="str">
        <x:v>SIN_RETIRADA_EXITOSA</x:v>
      </x:c>
      <x:c r="O99" s="12" t="str">
        <x:f>IF(Q99="SIN_EJECUCION_DOMINIO","FALLO_CAPTURA",IF(OR(Q99="CAPTURA_MAL_FORMADA",Q99="IDENTIDAD",Q99="OBSERVACION_MAL_FORMADA",Q99="LEXEMA_O_FORMA"),"NO_ADMISION",IF(OR(Q99="PERFIL_NO_CONSTITUIDO",Q99="RESULTADO_NO_TERMINAL"),"FUERA_PERFIL",IF(Q99="CONTEXTO_NO_CONSTITUIDO","CONFIGURACION_PENDIENTE","VALIDA"))))</x:f>
        <x:v>VALIDA</x:v>
      </x:c>
      <x:c r="P99" s="12" t="str">
        <x:f>IF(O99&lt;&gt;"VALIDA","",IF(Q99=AA99,"1",IF(Q99=AB99,"0","U")))</x:f>
        <x:v>0</x:v>
      </x:c>
      <x:c r="Q99" s="12" t="str">
        <x:f>IF(E99="FALLO","SIN_EJECUCION_DOMINIO",IF(E99&lt;&gt;"LEGIBLE","CAPTURA_MAL_FORMADA",IF(D99&lt;&gt;"COINCIDE","IDENTIDAD",IF(OR(T99="",C99&lt;&gt;T99),"PERFIL_NO_CONSTITUIDO",IF(K99&lt;&gt;V99,IF(V99="ORDEN_ACREDITADO","ORDEN_NO_ACREDITADO","CONTEXTO_NO_CONSTITUIDO"),IF(AND(G99="AUSENTE",H99="",I99=""),"DATO_AUSENTE",IF(AND(G99="CONFLICTO",H99="",I99=""),"CONFLICTO_OBSERVACIONAL",IF(G99&lt;&gt;"UNICA","OBSERVACION_MAL_FORMADA",IF(F99&lt;&gt;U99,"OBSERVACION_INSUFICIENTE",IF(W99="RESULTADO",IF(H99=X99,AA99,IF(OR(H99="orcSucceededWithErrors",H99="orcFailed",H99="orcAborted"),AB99,IF(OR(H99="orcNotStarted",H99="orcInProgress"),"RESULTADO_NO_TERMINAL","LEXEMA_O_FORMA"))),IF(W99="EVENTO_BOOT",IF(H99=X99,AA99,IF(OR(H99="NINGUNO",H99="SOLO_HIBRIDO"),IF(J99="COMPLETA",AB99,"COBERTURA_INSUFICIENTE"),"LEXEMA_O_FORMA")),IF(W99="REQUISITO_SOFT",IF(H99=X99,AA99,IF(H99=Z99,AB99,"LEXEMA_O_FORMA")),IF(W99="EVENTO_PROC",IF(H99=X99,AA99,IF(H99=Z99,IF(J99="COMPLETA",AB99,"COBERTURA_INSUFICIENTE"),"LEXEMA_O_FORMA")),IF(W99="IMAGEN",IF(AND(AND(ISTEXT(H99),LEN(("x"&amp;H99))=65,EXACT(("x"&amp;H99),LOWER(("x"&amp;H99))),ISERROR(SEARCH(" ",("x"&amp;H99))),ISERROR(SEARCH(CHAR(9),("x"&amp;H99))),ISERROR(SEARCH(CHAR(10),("x"&amp;H99))),ISERROR(SEARCH(CHAR(13),("x"&amp;H99))),IFERROR(HEX2DEC(MID(("x"&amp;H99),2,8))&gt;=0,FALSE),IFERROR(HEX2DEC(MID(("x"&amp;H99),10,8))&gt;=0,FALSE),IFERROR(HEX2DEC(MID(("x"&amp;H99),18,8))&gt;=0,FALSE),IFERROR(HEX2DEC(MID(("x"&amp;H99),26,8))&gt;=0,FALSE),IFERROR(HEX2DEC(MID(("x"&amp;H99),34,8))&gt;=0,FALSE),IFERROR(HEX2DEC(MID(("x"&amp;H99),42,8))&gt;=0,FALSE),IFERROR(HEX2DEC(MID(("x"&amp;H99),50,8))&gt;=0,FALSE),IFERROR(HEX2DEC(MID(("x"&amp;H99),58,8))&gt;=0,FALSE)),AND(ISTEXT(I99),LEN(("x"&amp;I99))=65,EXACT(("x"&amp;I99),LOWER(("x"&amp;I99))),ISERROR(SEARCH(" ",("x"&amp;I99))),ISERROR(SEARCH(CHAR(9),("x"&amp;I99))),ISERROR(SEARCH(CHAR(10),("x"&amp;I99))),ISERROR(SEARCH(CHAR(13),("x"&amp;I99))),IFERROR(HEX2DEC(MID(("x"&amp;I99),2,8))&gt;=0,FALSE),IFERROR(HEX2DEC(MID(("x"&amp;I99),10,8))&gt;=0,FALSE),IFERROR(HEX2DEC(MID(("x"&amp;I99),18,8))&gt;=0,FALSE),IFERROR(HEX2DEC(MID(("x"&amp;I99),26,8))&gt;=0,FALSE),IFERROR(HEX2DEC(MID(("x"&amp;I99),34,8))&gt;=0,FALSE),IFERROR(HEX2DEC(MID(("x"&amp;I99),42,8))&gt;=0,FALSE),IFERROR(HEX2DEC(MID(("x"&amp;I99),50,8))&gt;=0,FALSE),IFERROR(HEX2DEC(MID(("x"&amp;I99),58,8))&gt;=0,FALSE))),IF(EXACT("x"&amp;H99,"x"&amp;I99),AA99,AB99),"LEXEMA_O_FORMA"),IF(W99="PRUEBA",IF(H99=X99,AA99,IF(H99=Z99,AB99,"LEXEMA_O_FORMA")),IF(W99="RETIRADA",IF(AND(H99="NINGUNO",I99=""),IF(J99="COMPLETA",AB99,"COBERTURA_INSUFICIENTE"),IF(AND(OR(H99="uoInstallation",H99="uoUninstallation"),OR(I99="orcSucceeded",I99="orcSucceededWithErrors",I99="orcFailed",I99="orcAborted",I99="orcInProgress",I99="orcNotStarted")),IF(AND(H99=X99,I99=Y99),AA99,IF(AND(H99=X99,OR(I99="orcSucceededWithErrors",I99="orcInProgress",I99="orcNotStarted")),"RESULTADO_RETIRADA_INCIERTO",IF(J99="COMPLETA",AB99,"COBERTURA_INSUFICIENTE"))),"LEXEMA_O_FORMA")),IF(W99="CAMBIO",IF(OR(H99="CAMBIO",H99="CAMBIO_Y_RETORNO"),AA99,IF(OR(H99="NINGUNO",H99="SOLO_RENOMBRE"),IF(J99="COMPLETA",AB99,"COBERTURA_INSUFICIENTE"),"LEXEMA_O_FORMA")),IF(W99="RESTAURACION",IF(H99=X99,AA99,IF(OR(H99="NINGUNO",H99="RESTAURACION_POSTERIOR",H99="RESTAURACION_FALLIDA"),IF(J99="COMPLETA",AB99,"COBERTURA_INSUFICIENTE"),"LEXEMA_O_FORMA")),"PERFIL_NO_CONSTITUIDO"))))))))))))))))))</x:f>
        <x:v>SIN_RETIRADA_EXITOSA</x:v>
      </x:c>
      <x:c r="R99" s="12" t="str">
        <x:f>IF(AND(L99=O99,M99=P99,N99=Q99),"PASA","NO_PASA")</x:f>
        <x:v>PASA</x:v>
      </x:c>
      <x:c r="S99" s="4" t="str">
        <x:v>Desinstalación fallida no equivale a retirada exitosa, con cobertura completa.</x:v>
      </x:c>
      <x:c r="T99" s="12" t="str">
        <x:f>IFERROR(INDEX('55_Codificacion_ensayo'!$B$5:$B$13,MATCH(B99,'55_Codificacion_ensayo'!$A$5:$A$13,0)),"")</x:f>
        <x:v>HISTORIA-RETIRADA-ACTUALIZACION-0.1</x:v>
      </x:c>
      <x:c r="U99" s="12" t="str">
        <x:f>IFERROR(INDEX('55_Codificacion_ensayo'!$C$5:$C$13,MATCH(B99,'55_Codificacion_ensayo'!$A$5:$A$13,0)),"")</x:f>
        <x:v>HISTORIA_WUA</x:v>
      </x:c>
      <x:c r="V99" s="12" t="str">
        <x:f>IFERROR(INDEX('55_Codificacion_ensayo'!$D$5:$D$13,MATCH(B99,'55_Codificacion_ensayo'!$A$5:$A$13,0)),"")</x:f>
        <x:v>ORDEN_ACREDITADO</x:v>
      </x:c>
      <x:c r="W99" s="12" t="str">
        <x:f>IFERROR(INDEX('55_Codificacion_ensayo'!$E$5:$E$13,MATCH(B99,'55_Codificacion_ensayo'!$A$5:$A$13,0)),"")</x:f>
        <x:v>RETIRADA</x:v>
      </x:c>
      <x:c r="X99" s="12" t="str">
        <x:f>IFERROR(INDEX('55_Codificacion_ensayo'!$F$5:$F$13,MATCH(B99,'55_Codificacion_ensayo'!$A$5:$A$13,0)),"")</x:f>
        <x:v>uoUninstallation</x:v>
      </x:c>
      <x:c r="Y99" s="12" t="str">
        <x:f>IFERROR(INDEX('55_Codificacion_ensayo'!$G$5:$G$13,MATCH(B99,'55_Codificacion_ensayo'!$A$5:$A$13,0)),"")</x:f>
        <x:v>orcSucceeded</x:v>
      </x:c>
      <x:c r="Z99" s="12" t="str">
        <x:f>IFERROR(INDEX('55_Codificacion_ensayo'!$H$5:$H$13,MATCH(B99,'55_Codificacion_ensayo'!$A$5:$A$13,0)),"")</x:f>
        <x:v>NINGUNO</x:v>
      </x:c>
      <x:c r="AA99" s="12" t="str">
        <x:f>IFERROR(INDEX('55_Codificacion_ensayo'!$I$5:$I$13,MATCH(B99,'55_Codificacion_ensayo'!$A$5:$A$13,0)),"")</x:f>
        <x:v>RETIRADA_EXITOSA</x:v>
      </x:c>
      <x:c r="AB99" s="12" t="str">
        <x:f>IFERROR(INDEX('55_Codificacion_ensayo'!$J$5:$J$13,MATCH(B99,'55_Codificacion_ensayo'!$A$5:$A$13,0)),"")</x:f>
        <x:v>SIN_RETIRADA_EXITOSA</x:v>
      </x:c>
    </x:row>
    <x:row r="100" ht="47" customHeight="1">
      <x:c r="A100" s="4" t="str">
        <x:v>L10-08-14</x:v>
      </x:c>
      <x:c r="B100" s="4" t="str">
        <x:v>PAR-CYB-RETIRADA-EXITOSA-COMUNICADA-001</x:v>
      </x:c>
      <x:c r="C100" s="4" t="str">
        <x:v>HISTORIA-RETIRADA-ACTUALIZACION-0.1</x:v>
      </x:c>
      <x:c r="D100" s="4" t="str">
        <x:v>COINCIDE</x:v>
      </x:c>
      <x:c r="E100" s="4" t="str">
        <x:v>LEGIBLE</x:v>
      </x:c>
      <x:c r="F100" s="4" t="str">
        <x:v>HISTORIA_WUA</x:v>
      </x:c>
      <x:c r="G100" s="4" t="str">
        <x:v>UNICA</x:v>
      </x:c>
      <x:c r="H100" s="4" t="str">
        <x:v>uoUninstallation</x:v>
      </x:c>
      <x:c r="I100" s="4" t="str">
        <x:v>orcSucceededWithErrors</x:v>
      </x:c>
      <x:c r="J100" s="4" t="str">
        <x:v>COMPLETA</x:v>
      </x:c>
      <x:c r="K100" s="4" t="str">
        <x:v>ORDEN_ACREDITADO</x:v>
      </x:c>
      <x:c r="L100" s="4" t="str">
        <x:v>VALIDA</x:v>
      </x:c>
      <x:c r="M100" s="4" t="str">
        <x:v>U</x:v>
      </x:c>
      <x:c r="N100" s="4" t="str">
        <x:v>RESULTADO_RETIRADA_INCIERTO</x:v>
      </x:c>
      <x:c r="O100" s="12" t="str">
        <x:f>IF(Q100="SIN_EJECUCION_DOMINIO","FALLO_CAPTURA",IF(OR(Q100="CAPTURA_MAL_FORMADA",Q100="IDENTIDAD",Q100="OBSERVACION_MAL_FORMADA",Q100="LEXEMA_O_FORMA"),"NO_ADMISION",IF(OR(Q100="PERFIL_NO_CONSTITUIDO",Q100="RESULTADO_NO_TERMINAL"),"FUERA_PERFIL",IF(Q100="CONTEXTO_NO_CONSTITUIDO","CONFIGURACION_PENDIENTE","VALIDA"))))</x:f>
        <x:v>VALIDA</x:v>
      </x:c>
      <x:c r="P100" s="12" t="str">
        <x:f>IF(O100&lt;&gt;"VALIDA","",IF(Q100=AA100,"1",IF(Q100=AB100,"0","U")))</x:f>
        <x:v>U</x:v>
      </x:c>
      <x:c r="Q100" s="12" t="str">
        <x:f>IF(E100="FALLO","SIN_EJECUCION_DOMINIO",IF(E100&lt;&gt;"LEGIBLE","CAPTURA_MAL_FORMADA",IF(D100&lt;&gt;"COINCIDE","IDENTIDAD",IF(OR(T100="",C100&lt;&gt;T100),"PERFIL_NO_CONSTITUIDO",IF(K100&lt;&gt;V100,IF(V100="ORDEN_ACREDITADO","ORDEN_NO_ACREDITADO","CONTEXTO_NO_CONSTITUIDO"),IF(AND(G100="AUSENTE",H100="",I100=""),"DATO_AUSENTE",IF(AND(G100="CONFLICTO",H100="",I100=""),"CONFLICTO_OBSERVACIONAL",IF(G100&lt;&gt;"UNICA","OBSERVACION_MAL_FORMADA",IF(F100&lt;&gt;U100,"OBSERVACION_INSUFICIENTE",IF(W100="RESULTADO",IF(H100=X100,AA100,IF(OR(H100="orcSucceededWithErrors",H100="orcFailed",H100="orcAborted"),AB100,IF(OR(H100="orcNotStarted",H100="orcInProgress"),"RESULTADO_NO_TERMINAL","LEXEMA_O_FORMA"))),IF(W100="EVENTO_BOOT",IF(H100=X100,AA100,IF(OR(H100="NINGUNO",H100="SOLO_HIBRIDO"),IF(J100="COMPLETA",AB100,"COBERTURA_INSUFICIENTE"),"LEXEMA_O_FORMA")),IF(W100="REQUISITO_SOFT",IF(H100=X100,AA100,IF(H100=Z100,AB100,"LEXEMA_O_FORMA")),IF(W100="EVENTO_PROC",IF(H100=X100,AA100,IF(H100=Z100,IF(J100="COMPLETA",AB100,"COBERTURA_INSUFICIENTE"),"LEXEMA_O_FORMA")),IF(W100="IMAGEN",IF(AND(AND(ISTEXT(H100),LEN(("x"&amp;H100))=65,EXACT(("x"&amp;H100),LOWER(("x"&amp;H100))),ISERROR(SEARCH(" ",("x"&amp;H100))),ISERROR(SEARCH(CHAR(9),("x"&amp;H100))),ISERROR(SEARCH(CHAR(10),("x"&amp;H100))),ISERROR(SEARCH(CHAR(13),("x"&amp;H100))),IFERROR(HEX2DEC(MID(("x"&amp;H100),2,8))&gt;=0,FALSE),IFERROR(HEX2DEC(MID(("x"&amp;H100),10,8))&gt;=0,FALSE),IFERROR(HEX2DEC(MID(("x"&amp;H100),18,8))&gt;=0,FALSE),IFERROR(HEX2DEC(MID(("x"&amp;H100),26,8))&gt;=0,FALSE),IFERROR(HEX2DEC(MID(("x"&amp;H100),34,8))&gt;=0,FALSE),IFERROR(HEX2DEC(MID(("x"&amp;H100),42,8))&gt;=0,FALSE),IFERROR(HEX2DEC(MID(("x"&amp;H100),50,8))&gt;=0,FALSE),IFERROR(HEX2DEC(MID(("x"&amp;H100),58,8))&gt;=0,FALSE)),AND(ISTEXT(I100),LEN(("x"&amp;I100))=65,EXACT(("x"&amp;I100),LOWER(("x"&amp;I100))),ISERROR(SEARCH(" ",("x"&amp;I100))),ISERROR(SEARCH(CHAR(9),("x"&amp;I100))),ISERROR(SEARCH(CHAR(10),("x"&amp;I100))),ISERROR(SEARCH(CHAR(13),("x"&amp;I100))),IFERROR(HEX2DEC(MID(("x"&amp;I100),2,8))&gt;=0,FALSE),IFERROR(HEX2DEC(MID(("x"&amp;I100),10,8))&gt;=0,FALSE),IFERROR(HEX2DEC(MID(("x"&amp;I100),18,8))&gt;=0,FALSE),IFERROR(HEX2DEC(MID(("x"&amp;I100),26,8))&gt;=0,FALSE),IFERROR(HEX2DEC(MID(("x"&amp;I100),34,8))&gt;=0,FALSE),IFERROR(HEX2DEC(MID(("x"&amp;I100),42,8))&gt;=0,FALSE),IFERROR(HEX2DEC(MID(("x"&amp;I100),50,8))&gt;=0,FALSE),IFERROR(HEX2DEC(MID(("x"&amp;I100),58,8))&gt;=0,FALSE))),IF(EXACT("x"&amp;H100,"x"&amp;I100),AA100,AB100),"LEXEMA_O_FORMA"),IF(W100="PRUEBA",IF(H100=X100,AA100,IF(H100=Z100,AB100,"LEXEMA_O_FORMA")),IF(W100="RETIRADA",IF(AND(H100="NINGUNO",I100=""),IF(J100="COMPLETA",AB100,"COBERTURA_INSUFICIENTE"),IF(AND(OR(H100="uoInstallation",H100="uoUninstallation"),OR(I100="orcSucceeded",I100="orcSucceededWithErrors",I100="orcFailed",I100="orcAborted",I100="orcInProgress",I100="orcNotStarted")),IF(AND(H100=X100,I100=Y100),AA100,IF(AND(H100=X100,OR(I100="orcSucceededWithErrors",I100="orcInProgress",I100="orcNotStarted")),"RESULTADO_RETIRADA_INCIERTO",IF(J100="COMPLETA",AB100,"COBERTURA_INSUFICIENTE"))),"LEXEMA_O_FORMA")),IF(W100="CAMBIO",IF(OR(H100="CAMBIO",H100="CAMBIO_Y_RETORNO"),AA100,IF(OR(H100="NINGUNO",H100="SOLO_RENOMBRE"),IF(J100="COMPLETA",AB100,"COBERTURA_INSUFICIENTE"),"LEXEMA_O_FORMA")),IF(W100="RESTAURACION",IF(H100=X100,AA100,IF(OR(H100="NINGUNO",H100="RESTAURACION_POSTERIOR",H100="RESTAURACION_FALLIDA"),IF(J100="COMPLETA",AB100,"COBERTURA_INSUFICIENTE"),"LEXEMA_O_FORMA")),"PERFIL_NO_CONSTITUIDO"))))))))))))))))))</x:f>
        <x:v>RESULTADO_RETIRADA_INCIERTO</x:v>
      </x:c>
      <x:c r="R100" s="12" t="str">
        <x:f>IF(AND(L100=O100,M100=P100,N100=Q100),"PASA","NO_PASA")</x:f>
        <x:v>PASA</x:v>
      </x:c>
      <x:c r="S100" s="4" t="str">
        <x:v>Éxito con errores no acredita retirada íntegra ni ausencia de ésta.</x:v>
      </x:c>
      <x:c r="T100" s="12" t="str">
        <x:f>IFERROR(INDEX('55_Codificacion_ensayo'!$B$5:$B$13,MATCH(B100,'55_Codificacion_ensayo'!$A$5:$A$13,0)),"")</x:f>
        <x:v>HISTORIA-RETIRADA-ACTUALIZACION-0.1</x:v>
      </x:c>
      <x:c r="U100" s="12" t="str">
        <x:f>IFERROR(INDEX('55_Codificacion_ensayo'!$C$5:$C$13,MATCH(B100,'55_Codificacion_ensayo'!$A$5:$A$13,0)),"")</x:f>
        <x:v>HISTORIA_WUA</x:v>
      </x:c>
      <x:c r="V100" s="12" t="str">
        <x:f>IFERROR(INDEX('55_Codificacion_ensayo'!$D$5:$D$13,MATCH(B100,'55_Codificacion_ensayo'!$A$5:$A$13,0)),"")</x:f>
        <x:v>ORDEN_ACREDITADO</x:v>
      </x:c>
      <x:c r="W100" s="12" t="str">
        <x:f>IFERROR(INDEX('55_Codificacion_ensayo'!$E$5:$E$13,MATCH(B100,'55_Codificacion_ensayo'!$A$5:$A$13,0)),"")</x:f>
        <x:v>RETIRADA</x:v>
      </x:c>
      <x:c r="X100" s="12" t="str">
        <x:f>IFERROR(INDEX('55_Codificacion_ensayo'!$F$5:$F$13,MATCH(B100,'55_Codificacion_ensayo'!$A$5:$A$13,0)),"")</x:f>
        <x:v>uoUninstallation</x:v>
      </x:c>
      <x:c r="Y100" s="12" t="str">
        <x:f>IFERROR(INDEX('55_Codificacion_ensayo'!$G$5:$G$13,MATCH(B100,'55_Codificacion_ensayo'!$A$5:$A$13,0)),"")</x:f>
        <x:v>orcSucceeded</x:v>
      </x:c>
      <x:c r="Z100" s="12" t="str">
        <x:f>IFERROR(INDEX('55_Codificacion_ensayo'!$H$5:$H$13,MATCH(B100,'55_Codificacion_ensayo'!$A$5:$A$13,0)),"")</x:f>
        <x:v>NINGUNO</x:v>
      </x:c>
      <x:c r="AA100" s="12" t="str">
        <x:f>IFERROR(INDEX('55_Codificacion_ensayo'!$I$5:$I$13,MATCH(B100,'55_Codificacion_ensayo'!$A$5:$A$13,0)),"")</x:f>
        <x:v>RETIRADA_EXITOSA</x:v>
      </x:c>
      <x:c r="AB100" s="12" t="str">
        <x:f>IFERROR(INDEX('55_Codificacion_ensayo'!$J$5:$J$13,MATCH(B100,'55_Codificacion_ensayo'!$A$5:$A$13,0)),"")</x:f>
        <x:v>SIN_RETIRADA_EXITOSA</x:v>
      </x:c>
    </x:row>
    <x:row r="101" ht="47" customHeight="1">
      <x:c r="A101" s="4" t="str">
        <x:v>L10-08-15</x:v>
      </x:c>
      <x:c r="B101" s="4" t="str">
        <x:v>PAR-CYB-RETIRADA-EXITOSA-COMUNICADA-001</x:v>
      </x:c>
      <x:c r="C101" s="4" t="str">
        <x:v>HISTORIA-RETIRADA-ACTUALIZACION-0.1</x:v>
      </x:c>
      <x:c r="D101" s="4" t="str">
        <x:v>COINCIDE</x:v>
      </x:c>
      <x:c r="E101" s="4" t="str">
        <x:v>LEGIBLE</x:v>
      </x:c>
      <x:c r="F101" s="4" t="str">
        <x:v>HISTORIA_WUA</x:v>
      </x:c>
      <x:c r="G101" s="4" t="str">
        <x:v>UNICA</x:v>
      </x:c>
      <x:c r="H101" s="4" t="str">
        <x:v>uoInstallation</x:v>
      </x:c>
      <x:c r="I101" s="4" t="str">
        <x:v>orcSucceeded</x:v>
      </x:c>
      <x:c r="J101" s="4" t="str">
        <x:v>COMPLETA</x:v>
      </x:c>
      <x:c r="K101" s="4" t="str">
        <x:v>ORDEN_ACREDITADO</x:v>
      </x:c>
      <x:c r="L101" s="4" t="str">
        <x:v>VALIDA</x:v>
      </x:c>
      <x:c r="M101" s="4" t="str">
        <x:v>0</x:v>
      </x:c>
      <x:c r="N101" s="4" t="str">
        <x:v>SIN_RETIRADA_EXITOSA</x:v>
      </x:c>
      <x:c r="O101" s="12" t="str">
        <x:f>IF(Q101="SIN_EJECUCION_DOMINIO","FALLO_CAPTURA",IF(OR(Q101="CAPTURA_MAL_FORMADA",Q101="IDENTIDAD",Q101="OBSERVACION_MAL_FORMADA",Q101="LEXEMA_O_FORMA"),"NO_ADMISION",IF(OR(Q101="PERFIL_NO_CONSTITUIDO",Q101="RESULTADO_NO_TERMINAL"),"FUERA_PERFIL",IF(Q101="CONTEXTO_NO_CONSTITUIDO","CONFIGURACION_PENDIENTE","VALIDA"))))</x:f>
        <x:v>VALIDA</x:v>
      </x:c>
      <x:c r="P101" s="12" t="str">
        <x:f>IF(O101&lt;&gt;"VALIDA","",IF(Q101=AA101,"1",IF(Q101=AB101,"0","U")))</x:f>
        <x:v>0</x:v>
      </x:c>
      <x:c r="Q101" s="12" t="str">
        <x:f>IF(E101="FALLO","SIN_EJECUCION_DOMINIO",IF(E101&lt;&gt;"LEGIBLE","CAPTURA_MAL_FORMADA",IF(D101&lt;&gt;"COINCIDE","IDENTIDAD",IF(OR(T101="",C101&lt;&gt;T101),"PERFIL_NO_CONSTITUIDO",IF(K101&lt;&gt;V101,IF(V101="ORDEN_ACREDITADO","ORDEN_NO_ACREDITADO","CONTEXTO_NO_CONSTITUIDO"),IF(AND(G101="AUSENTE",H101="",I101=""),"DATO_AUSENTE",IF(AND(G101="CONFLICTO",H101="",I101=""),"CONFLICTO_OBSERVACIONAL",IF(G101&lt;&gt;"UNICA","OBSERVACION_MAL_FORMADA",IF(F101&lt;&gt;U101,"OBSERVACION_INSUFICIENTE",IF(W101="RESULTADO",IF(H101=X101,AA101,IF(OR(H101="orcSucceededWithErrors",H101="orcFailed",H101="orcAborted"),AB101,IF(OR(H101="orcNotStarted",H101="orcInProgress"),"RESULTADO_NO_TERMINAL","LEXEMA_O_FORMA"))),IF(W101="EVENTO_BOOT",IF(H101=X101,AA101,IF(OR(H101="NINGUNO",H101="SOLO_HIBRIDO"),IF(J101="COMPLETA",AB101,"COBERTURA_INSUFICIENTE"),"LEXEMA_O_FORMA")),IF(W101="REQUISITO_SOFT",IF(H101=X101,AA101,IF(H101=Z101,AB101,"LEXEMA_O_FORMA")),IF(W101="EVENTO_PROC",IF(H101=X101,AA101,IF(H101=Z101,IF(J101="COMPLETA",AB101,"COBERTURA_INSUFICIENTE"),"LEXEMA_O_FORMA")),IF(W101="IMAGEN",IF(AND(AND(ISTEXT(H101),LEN(("x"&amp;H101))=65,EXACT(("x"&amp;H101),LOWER(("x"&amp;H101))),ISERROR(SEARCH(" ",("x"&amp;H101))),ISERROR(SEARCH(CHAR(9),("x"&amp;H101))),ISERROR(SEARCH(CHAR(10),("x"&amp;H101))),ISERROR(SEARCH(CHAR(13),("x"&amp;H101))),IFERROR(HEX2DEC(MID(("x"&amp;H101),2,8))&gt;=0,FALSE),IFERROR(HEX2DEC(MID(("x"&amp;H101),10,8))&gt;=0,FALSE),IFERROR(HEX2DEC(MID(("x"&amp;H101),18,8))&gt;=0,FALSE),IFERROR(HEX2DEC(MID(("x"&amp;H101),26,8))&gt;=0,FALSE),IFERROR(HEX2DEC(MID(("x"&amp;H101),34,8))&gt;=0,FALSE),IFERROR(HEX2DEC(MID(("x"&amp;H101),42,8))&gt;=0,FALSE),IFERROR(HEX2DEC(MID(("x"&amp;H101),50,8))&gt;=0,FALSE),IFERROR(HEX2DEC(MID(("x"&amp;H101),58,8))&gt;=0,FALSE)),AND(ISTEXT(I101),LEN(("x"&amp;I101))=65,EXACT(("x"&amp;I101),LOWER(("x"&amp;I101))),ISERROR(SEARCH(" ",("x"&amp;I101))),ISERROR(SEARCH(CHAR(9),("x"&amp;I101))),ISERROR(SEARCH(CHAR(10),("x"&amp;I101))),ISERROR(SEARCH(CHAR(13),("x"&amp;I101))),IFERROR(HEX2DEC(MID(("x"&amp;I101),2,8))&gt;=0,FALSE),IFERROR(HEX2DEC(MID(("x"&amp;I101),10,8))&gt;=0,FALSE),IFERROR(HEX2DEC(MID(("x"&amp;I101),18,8))&gt;=0,FALSE),IFERROR(HEX2DEC(MID(("x"&amp;I101),26,8))&gt;=0,FALSE),IFERROR(HEX2DEC(MID(("x"&amp;I101),34,8))&gt;=0,FALSE),IFERROR(HEX2DEC(MID(("x"&amp;I101),42,8))&gt;=0,FALSE),IFERROR(HEX2DEC(MID(("x"&amp;I101),50,8))&gt;=0,FALSE),IFERROR(HEX2DEC(MID(("x"&amp;I101),58,8))&gt;=0,FALSE))),IF(EXACT("x"&amp;H101,"x"&amp;I101),AA101,AB101),"LEXEMA_O_FORMA"),IF(W101="PRUEBA",IF(H101=X101,AA101,IF(H101=Z101,AB101,"LEXEMA_O_FORMA")),IF(W101="RETIRADA",IF(AND(H101="NINGUNO",I101=""),IF(J101="COMPLETA",AB101,"COBERTURA_INSUFICIENTE"),IF(AND(OR(H101="uoInstallation",H101="uoUninstallation"),OR(I101="orcSucceeded",I101="orcSucceededWithErrors",I101="orcFailed",I101="orcAborted",I101="orcInProgress",I101="orcNotStarted")),IF(AND(H101=X101,I101=Y101),AA101,IF(AND(H101=X101,OR(I101="orcSucceededWithErrors",I101="orcInProgress",I101="orcNotStarted")),"RESULTADO_RETIRADA_INCIERTO",IF(J101="COMPLETA",AB101,"COBERTURA_INSUFICIENTE"))),"LEXEMA_O_FORMA")),IF(W101="CAMBIO",IF(OR(H101="CAMBIO",H101="CAMBIO_Y_RETORNO"),AA101,IF(OR(H101="NINGUNO",H101="SOLO_RENOMBRE"),IF(J101="COMPLETA",AB101,"COBERTURA_INSUFICIENTE"),"LEXEMA_O_FORMA")),IF(W101="RESTAURACION",IF(H101=X101,AA101,IF(OR(H101="NINGUNO",H101="RESTAURACION_POSTERIOR",H101="RESTAURACION_FALLIDA"),IF(J101="COMPLETA",AB101,"COBERTURA_INSUFICIENTE"),"LEXEMA_O_FORMA")),"PERFIL_NO_CONSTITUIDO"))))))))))))))))))</x:f>
        <x:v>SIN_RETIRADA_EXITOSA</x:v>
      </x:c>
      <x:c r="R101" s="12" t="str">
        <x:f>IF(AND(L101=O101,M101=P101,N101=Q101),"PASA","NO_PASA")</x:f>
        <x:v>PASA</x:v>
      </x:c>
      <x:c r="S101" s="4" t="str">
        <x:v>Un resultado de instalación no es una retirada.</x:v>
      </x:c>
      <x:c r="T101" s="12" t="str">
        <x:f>IFERROR(INDEX('55_Codificacion_ensayo'!$B$5:$B$13,MATCH(B101,'55_Codificacion_ensayo'!$A$5:$A$13,0)),"")</x:f>
        <x:v>HISTORIA-RETIRADA-ACTUALIZACION-0.1</x:v>
      </x:c>
      <x:c r="U101" s="12" t="str">
        <x:f>IFERROR(INDEX('55_Codificacion_ensayo'!$C$5:$C$13,MATCH(B101,'55_Codificacion_ensayo'!$A$5:$A$13,0)),"")</x:f>
        <x:v>HISTORIA_WUA</x:v>
      </x:c>
      <x:c r="V101" s="12" t="str">
        <x:f>IFERROR(INDEX('55_Codificacion_ensayo'!$D$5:$D$13,MATCH(B101,'55_Codificacion_ensayo'!$A$5:$A$13,0)),"")</x:f>
        <x:v>ORDEN_ACREDITADO</x:v>
      </x:c>
      <x:c r="W101" s="12" t="str">
        <x:f>IFERROR(INDEX('55_Codificacion_ensayo'!$E$5:$E$13,MATCH(B101,'55_Codificacion_ensayo'!$A$5:$A$13,0)),"")</x:f>
        <x:v>RETIRADA</x:v>
      </x:c>
      <x:c r="X101" s="12" t="str">
        <x:f>IFERROR(INDEX('55_Codificacion_ensayo'!$F$5:$F$13,MATCH(B101,'55_Codificacion_ensayo'!$A$5:$A$13,0)),"")</x:f>
        <x:v>uoUninstallation</x:v>
      </x:c>
      <x:c r="Y101" s="12" t="str">
        <x:f>IFERROR(INDEX('55_Codificacion_ensayo'!$G$5:$G$13,MATCH(B101,'55_Codificacion_ensayo'!$A$5:$A$13,0)),"")</x:f>
        <x:v>orcSucceeded</x:v>
      </x:c>
      <x:c r="Z101" s="12" t="str">
        <x:f>IFERROR(INDEX('55_Codificacion_ensayo'!$H$5:$H$13,MATCH(B101,'55_Codificacion_ensayo'!$A$5:$A$13,0)),"")</x:f>
        <x:v>NINGUNO</x:v>
      </x:c>
      <x:c r="AA101" s="12" t="str">
        <x:f>IFERROR(INDEX('55_Codificacion_ensayo'!$I$5:$I$13,MATCH(B101,'55_Codificacion_ensayo'!$A$5:$A$13,0)),"")</x:f>
        <x:v>RETIRADA_EXITOSA</x:v>
      </x:c>
      <x:c r="AB101" s="12" t="str">
        <x:f>IFERROR(INDEX('55_Codificacion_ensayo'!$J$5:$J$13,MATCH(B101,'55_Codificacion_ensayo'!$A$5:$A$13,0)),"")</x:f>
        <x:v>SIN_RETIRADA_EXITOSA</x:v>
      </x:c>
    </x:row>
    <x:row r="102" ht="47" customHeight="1">
      <x:c r="A102" s="4" t="str">
        <x:v>L10-09-01</x:v>
      </x:c>
      <x:c r="B102" s="4" t="str">
        <x:v>PAR-CYB-CAMBIO-COMPONENTE-POSTERIOR-001</x:v>
      </x:c>
      <x:c r="C102" s="4" t="str">
        <x:v>HISTORIA-CAMBIO-COMPONENTE-0.1</x:v>
      </x:c>
      <x:c r="D102" s="4" t="str">
        <x:v>COINCIDE</x:v>
      </x:c>
      <x:c r="E102" s="4" t="str">
        <x:v>LEGIBLE</x:v>
      </x:c>
      <x:c r="F102" s="4" t="str">
        <x:v>HISTORIA_BINARIA</x:v>
      </x:c>
      <x:c r="G102" s="4" t="str">
        <x:v>UNICA</x:v>
      </x:c>
      <x:c r="H102" s="4" t="str">
        <x:v>CAMBIO</x:v>
      </x:c>
      <x:c r="I102" s="4" t="str"/>
      <x:c r="J102" s="4" t="str">
        <x:v>COMPLETA</x:v>
      </x:c>
      <x:c r="K102" s="4" t="str">
        <x:v>ORDEN_ACREDITADO</x:v>
      </x:c>
      <x:c r="L102" s="4" t="str">
        <x:v>VALIDA</x:v>
      </x:c>
      <x:c r="M102" s="4" t="str">
        <x:v>1</x:v>
      </x:c>
      <x:c r="N102" s="4" t="str">
        <x:v>CAMBIO_POSTERIOR</x:v>
      </x:c>
      <x:c r="O102" s="12" t="str">
        <x:f>IF(Q102="SIN_EJECUCION_DOMINIO","FALLO_CAPTURA",IF(OR(Q102="CAPTURA_MAL_FORMADA",Q102="IDENTIDAD",Q102="OBSERVACION_MAL_FORMADA",Q102="LEXEMA_O_FORMA"),"NO_ADMISION",IF(OR(Q102="PERFIL_NO_CONSTITUIDO",Q102="RESULTADO_NO_TERMINAL"),"FUERA_PERFIL",IF(Q102="CONTEXTO_NO_CONSTITUIDO","CONFIGURACION_PENDIENTE","VALIDA"))))</x:f>
        <x:v>VALIDA</x:v>
      </x:c>
      <x:c r="P102" s="12" t="str">
        <x:f>IF(O102&lt;&gt;"VALIDA","",IF(Q102=AA102,"1",IF(Q102=AB102,"0","U")))</x:f>
        <x:v>1</x:v>
      </x:c>
      <x:c r="Q102" s="12" t="str">
        <x:f>IF(E102="FALLO","SIN_EJECUCION_DOMINIO",IF(E102&lt;&gt;"LEGIBLE","CAPTURA_MAL_FORMADA",IF(D102&lt;&gt;"COINCIDE","IDENTIDAD",IF(OR(T102="",C102&lt;&gt;T102),"PERFIL_NO_CONSTITUIDO",IF(K102&lt;&gt;V102,IF(V102="ORDEN_ACREDITADO","ORDEN_NO_ACREDITADO","CONTEXTO_NO_CONSTITUIDO"),IF(AND(G102="AUSENTE",H102="",I102=""),"DATO_AUSENTE",IF(AND(G102="CONFLICTO",H102="",I102=""),"CONFLICTO_OBSERVACIONAL",IF(G102&lt;&gt;"UNICA","OBSERVACION_MAL_FORMADA",IF(F102&lt;&gt;U102,"OBSERVACION_INSUFICIENTE",IF(W102="RESULTADO",IF(H102=X102,AA102,IF(OR(H102="orcSucceededWithErrors",H102="orcFailed",H102="orcAborted"),AB102,IF(OR(H102="orcNotStarted",H102="orcInProgress"),"RESULTADO_NO_TERMINAL","LEXEMA_O_FORMA"))),IF(W102="EVENTO_BOOT",IF(H102=X102,AA102,IF(OR(H102="NINGUNO",H102="SOLO_HIBRIDO"),IF(J102="COMPLETA",AB102,"COBERTURA_INSUFICIENTE"),"LEXEMA_O_FORMA")),IF(W102="REQUISITO_SOFT",IF(H102=X102,AA102,IF(H102=Z102,AB102,"LEXEMA_O_FORMA")),IF(W102="EVENTO_PROC",IF(H102=X102,AA102,IF(H102=Z102,IF(J102="COMPLETA",AB102,"COBERTURA_INSUFICIENTE"),"LEXEMA_O_FORMA")),IF(W102="IMAGEN",IF(AND(AND(ISTEXT(H102),LEN(("x"&amp;H102))=65,EXACT(("x"&amp;H102),LOWER(("x"&amp;H102))),ISERROR(SEARCH(" ",("x"&amp;H102))),ISERROR(SEARCH(CHAR(9),("x"&amp;H102))),ISERROR(SEARCH(CHAR(10),("x"&amp;H102))),ISERROR(SEARCH(CHAR(13),("x"&amp;H102))),IFERROR(HEX2DEC(MID(("x"&amp;H102),2,8))&gt;=0,FALSE),IFERROR(HEX2DEC(MID(("x"&amp;H102),10,8))&gt;=0,FALSE),IFERROR(HEX2DEC(MID(("x"&amp;H102),18,8))&gt;=0,FALSE),IFERROR(HEX2DEC(MID(("x"&amp;H102),26,8))&gt;=0,FALSE),IFERROR(HEX2DEC(MID(("x"&amp;H102),34,8))&gt;=0,FALSE),IFERROR(HEX2DEC(MID(("x"&amp;H102),42,8))&gt;=0,FALSE),IFERROR(HEX2DEC(MID(("x"&amp;H102),50,8))&gt;=0,FALSE),IFERROR(HEX2DEC(MID(("x"&amp;H102),58,8))&gt;=0,FALSE)),AND(ISTEXT(I102),LEN(("x"&amp;I102))=65,EXACT(("x"&amp;I102),LOWER(("x"&amp;I102))),ISERROR(SEARCH(" ",("x"&amp;I102))),ISERROR(SEARCH(CHAR(9),("x"&amp;I102))),ISERROR(SEARCH(CHAR(10),("x"&amp;I102))),ISERROR(SEARCH(CHAR(13),("x"&amp;I102))),IFERROR(HEX2DEC(MID(("x"&amp;I102),2,8))&gt;=0,FALSE),IFERROR(HEX2DEC(MID(("x"&amp;I102),10,8))&gt;=0,FALSE),IFERROR(HEX2DEC(MID(("x"&amp;I102),18,8))&gt;=0,FALSE),IFERROR(HEX2DEC(MID(("x"&amp;I102),26,8))&gt;=0,FALSE),IFERROR(HEX2DEC(MID(("x"&amp;I102),34,8))&gt;=0,FALSE),IFERROR(HEX2DEC(MID(("x"&amp;I102),42,8))&gt;=0,FALSE),IFERROR(HEX2DEC(MID(("x"&amp;I102),50,8))&gt;=0,FALSE),IFERROR(HEX2DEC(MID(("x"&amp;I102),58,8))&gt;=0,FALSE))),IF(EXACT("x"&amp;H102,"x"&amp;I102),AA102,AB102),"LEXEMA_O_FORMA"),IF(W102="PRUEBA",IF(H102=X102,AA102,IF(H102=Z102,AB102,"LEXEMA_O_FORMA")),IF(W102="RETIRADA",IF(AND(H102="NINGUNO",I102=""),IF(J102="COMPLETA",AB102,"COBERTURA_INSUFICIENTE"),IF(AND(OR(H102="uoInstallation",H102="uoUninstallation"),OR(I102="orcSucceeded",I102="orcSucceededWithErrors",I102="orcFailed",I102="orcAborted",I102="orcInProgress",I102="orcNotStarted")),IF(AND(H102=X102,I102=Y102),AA102,IF(AND(H102=X102,OR(I102="orcSucceededWithErrors",I102="orcInProgress",I102="orcNotStarted")),"RESULTADO_RETIRADA_INCIERTO",IF(J102="COMPLETA",AB102,"COBERTURA_INSUFICIENTE"))),"LEXEMA_O_FORMA")),IF(W102="CAMBIO",IF(OR(H102="CAMBIO",H102="CAMBIO_Y_RETORNO"),AA102,IF(OR(H102="NINGUNO",H102="SOLO_RENOMBRE"),IF(J102="COMPLETA",AB102,"COBERTURA_INSUFICIENTE"),"LEXEMA_O_FORMA")),IF(W102="RESTAURACION",IF(H102=X102,AA102,IF(OR(H102="NINGUNO",H102="RESTAURACION_POSTERIOR",H102="RESTAURACION_FALLIDA"),IF(J102="COMPLETA",AB102,"COBERTURA_INSUFICIENTE"),"LEXEMA_O_FORMA")),"PERFIL_NO_CONSTITUIDO"))))))))))))))))))</x:f>
        <x:v>CAMBIO_POSTERIOR</x:v>
      </x:c>
      <x:c r="R102" s="12" t="str">
        <x:f>IF(AND(L102=O102,M102=P102,N102=Q102),"PASA","NO_PASA")</x:f>
        <x:v>PASA</x:v>
      </x:c>
      <x:c r="S102" s="4" t="str">
        <x:v>Testigo positivo de la proposición; no licencia ninguna conclusión más amplia.</x:v>
      </x:c>
      <x:c r="T102" s="12" t="str">
        <x:f>IFERROR(INDEX('55_Codificacion_ensayo'!$B$5:$B$13,MATCH(B102,'55_Codificacion_ensayo'!$A$5:$A$13,0)),"")</x:f>
        <x:v>HISTORIA-CAMBIO-COMPONENTE-0.1</x:v>
      </x:c>
      <x:c r="U102" s="12" t="str">
        <x:f>IFERROR(INDEX('55_Codificacion_ensayo'!$C$5:$C$13,MATCH(B102,'55_Codificacion_ensayo'!$A$5:$A$13,0)),"")</x:f>
        <x:v>HISTORIA_BINARIA</x:v>
      </x:c>
      <x:c r="V102" s="12" t="str">
        <x:f>IFERROR(INDEX('55_Codificacion_ensayo'!$D$5:$D$13,MATCH(B102,'55_Codificacion_ensayo'!$A$5:$A$13,0)),"")</x:f>
        <x:v>ORDEN_ACREDITADO</x:v>
      </x:c>
      <x:c r="W102" s="12" t="str">
        <x:f>IFERROR(INDEX('55_Codificacion_ensayo'!$E$5:$E$13,MATCH(B102,'55_Codificacion_ensayo'!$A$5:$A$13,0)),"")</x:f>
        <x:v>CAMBIO</x:v>
      </x:c>
      <x:c r="X102" s="12" t="str">
        <x:f>IFERROR(INDEX('55_Codificacion_ensayo'!$F$5:$F$13,MATCH(B102,'55_Codificacion_ensayo'!$A$5:$A$13,0)),"")</x:f>
        <x:v>CAMBIO</x:v>
      </x:c>
      <x:c r="Y102" s="12" t="str">
        <x:f>IFERROR(INDEX('55_Codificacion_ensayo'!$G$5:$G$13,MATCH(B102,'55_Codificacion_ensayo'!$A$5:$A$13,0)),"")</x:f>
      </x:c>
      <x:c r="Z102" s="12" t="str">
        <x:f>IFERROR(INDEX('55_Codificacion_ensayo'!$H$5:$H$13,MATCH(B102,'55_Codificacion_ensayo'!$A$5:$A$13,0)),"")</x:f>
        <x:v>NINGUNO</x:v>
      </x:c>
      <x:c r="AA102" s="12" t="str">
        <x:f>IFERROR(INDEX('55_Codificacion_ensayo'!$I$5:$I$13,MATCH(B102,'55_Codificacion_ensayo'!$A$5:$A$13,0)),"")</x:f>
        <x:v>CAMBIO_POSTERIOR</x:v>
      </x:c>
      <x:c r="AB102" s="12" t="str">
        <x:f>IFERROR(INDEX('55_Codificacion_ensayo'!$J$5:$J$13,MATCH(B102,'55_Codificacion_ensayo'!$A$5:$A$13,0)),"")</x:f>
        <x:v>SIN_CAMBIO_ACREDITADO</x:v>
      </x:c>
    </x:row>
    <x:row r="103" ht="47" customHeight="1">
      <x:c r="A103" s="4" t="str">
        <x:v>L10-09-02</x:v>
      </x:c>
      <x:c r="B103" s="4" t="str">
        <x:v>PAR-CYB-CAMBIO-COMPONENTE-POSTERIOR-001</x:v>
      </x:c>
      <x:c r="C103" s="4" t="str">
        <x:v>HISTORIA-CAMBIO-COMPONENTE-0.1</x:v>
      </x:c>
      <x:c r="D103" s="4" t="str">
        <x:v>COINCIDE</x:v>
      </x:c>
      <x:c r="E103" s="4" t="str">
        <x:v>LEGIBLE</x:v>
      </x:c>
      <x:c r="F103" s="4" t="str">
        <x:v>HISTORIA_BINARIA</x:v>
      </x:c>
      <x:c r="G103" s="4" t="str">
        <x:v>UNICA</x:v>
      </x:c>
      <x:c r="H103" s="4" t="str">
        <x:v>NINGUNO</x:v>
      </x:c>
      <x:c r="I103" s="4" t="str"/>
      <x:c r="J103" s="4" t="str">
        <x:v>COMPLETA</x:v>
      </x:c>
      <x:c r="K103" s="4" t="str">
        <x:v>ORDEN_ACREDITADO</x:v>
      </x:c>
      <x:c r="L103" s="4" t="str">
        <x:v>VALIDA</x:v>
      </x:c>
      <x:c r="M103" s="4" t="str">
        <x:v>0</x:v>
      </x:c>
      <x:c r="N103" s="4" t="str">
        <x:v>SIN_CAMBIO_ACREDITADO</x:v>
      </x:c>
      <x:c r="O103" s="12" t="str">
        <x:f>IF(Q103="SIN_EJECUCION_DOMINIO","FALLO_CAPTURA",IF(OR(Q103="CAPTURA_MAL_FORMADA",Q103="IDENTIDAD",Q103="OBSERVACION_MAL_FORMADA",Q103="LEXEMA_O_FORMA"),"NO_ADMISION",IF(OR(Q103="PERFIL_NO_CONSTITUIDO",Q103="RESULTADO_NO_TERMINAL"),"FUERA_PERFIL",IF(Q103="CONTEXTO_NO_CONSTITUIDO","CONFIGURACION_PENDIENTE","VALIDA"))))</x:f>
        <x:v>VALIDA</x:v>
      </x:c>
      <x:c r="P103" s="12" t="str">
        <x:f>IF(O103&lt;&gt;"VALIDA","",IF(Q103=AA103,"1",IF(Q103=AB103,"0","U")))</x:f>
        <x:v>0</x:v>
      </x:c>
      <x:c r="Q103" s="12" t="str">
        <x:f>IF(E103="FALLO","SIN_EJECUCION_DOMINIO",IF(E103&lt;&gt;"LEGIBLE","CAPTURA_MAL_FORMADA",IF(D103&lt;&gt;"COINCIDE","IDENTIDAD",IF(OR(T103="",C103&lt;&gt;T103),"PERFIL_NO_CONSTITUIDO",IF(K103&lt;&gt;V103,IF(V103="ORDEN_ACREDITADO","ORDEN_NO_ACREDITADO","CONTEXTO_NO_CONSTITUIDO"),IF(AND(G103="AUSENTE",H103="",I103=""),"DATO_AUSENTE",IF(AND(G103="CONFLICTO",H103="",I103=""),"CONFLICTO_OBSERVACIONAL",IF(G103&lt;&gt;"UNICA","OBSERVACION_MAL_FORMADA",IF(F103&lt;&gt;U103,"OBSERVACION_INSUFICIENTE",IF(W103="RESULTADO",IF(H103=X103,AA103,IF(OR(H103="orcSucceededWithErrors",H103="orcFailed",H103="orcAborted"),AB103,IF(OR(H103="orcNotStarted",H103="orcInProgress"),"RESULTADO_NO_TERMINAL","LEXEMA_O_FORMA"))),IF(W103="EVENTO_BOOT",IF(H103=X103,AA103,IF(OR(H103="NINGUNO",H103="SOLO_HIBRIDO"),IF(J103="COMPLETA",AB103,"COBERTURA_INSUFICIENTE"),"LEXEMA_O_FORMA")),IF(W103="REQUISITO_SOFT",IF(H103=X103,AA103,IF(H103=Z103,AB103,"LEXEMA_O_FORMA")),IF(W103="EVENTO_PROC",IF(H103=X103,AA103,IF(H103=Z103,IF(J103="COMPLETA",AB103,"COBERTURA_INSUFICIENTE"),"LEXEMA_O_FORMA")),IF(W103="IMAGEN",IF(AND(AND(ISTEXT(H103),LEN(("x"&amp;H103))=65,EXACT(("x"&amp;H103),LOWER(("x"&amp;H103))),ISERROR(SEARCH(" ",("x"&amp;H103))),ISERROR(SEARCH(CHAR(9),("x"&amp;H103))),ISERROR(SEARCH(CHAR(10),("x"&amp;H103))),ISERROR(SEARCH(CHAR(13),("x"&amp;H103))),IFERROR(HEX2DEC(MID(("x"&amp;H103),2,8))&gt;=0,FALSE),IFERROR(HEX2DEC(MID(("x"&amp;H103),10,8))&gt;=0,FALSE),IFERROR(HEX2DEC(MID(("x"&amp;H103),18,8))&gt;=0,FALSE),IFERROR(HEX2DEC(MID(("x"&amp;H103),26,8))&gt;=0,FALSE),IFERROR(HEX2DEC(MID(("x"&amp;H103),34,8))&gt;=0,FALSE),IFERROR(HEX2DEC(MID(("x"&amp;H103),42,8))&gt;=0,FALSE),IFERROR(HEX2DEC(MID(("x"&amp;H103),50,8))&gt;=0,FALSE),IFERROR(HEX2DEC(MID(("x"&amp;H103),58,8))&gt;=0,FALSE)),AND(ISTEXT(I103),LEN(("x"&amp;I103))=65,EXACT(("x"&amp;I103),LOWER(("x"&amp;I103))),ISERROR(SEARCH(" ",("x"&amp;I103))),ISERROR(SEARCH(CHAR(9),("x"&amp;I103))),ISERROR(SEARCH(CHAR(10),("x"&amp;I103))),ISERROR(SEARCH(CHAR(13),("x"&amp;I103))),IFERROR(HEX2DEC(MID(("x"&amp;I103),2,8))&gt;=0,FALSE),IFERROR(HEX2DEC(MID(("x"&amp;I103),10,8))&gt;=0,FALSE),IFERROR(HEX2DEC(MID(("x"&amp;I103),18,8))&gt;=0,FALSE),IFERROR(HEX2DEC(MID(("x"&amp;I103),26,8))&gt;=0,FALSE),IFERROR(HEX2DEC(MID(("x"&amp;I103),34,8))&gt;=0,FALSE),IFERROR(HEX2DEC(MID(("x"&amp;I103),42,8))&gt;=0,FALSE),IFERROR(HEX2DEC(MID(("x"&amp;I103),50,8))&gt;=0,FALSE),IFERROR(HEX2DEC(MID(("x"&amp;I103),58,8))&gt;=0,FALSE))),IF(EXACT("x"&amp;H103,"x"&amp;I103),AA103,AB103),"LEXEMA_O_FORMA"),IF(W103="PRUEBA",IF(H103=X103,AA103,IF(H103=Z103,AB103,"LEXEMA_O_FORMA")),IF(W103="RETIRADA",IF(AND(H103="NINGUNO",I103=""),IF(J103="COMPLETA",AB103,"COBERTURA_INSUFICIENTE"),IF(AND(OR(H103="uoInstallation",H103="uoUninstallation"),OR(I103="orcSucceeded",I103="orcSucceededWithErrors",I103="orcFailed",I103="orcAborted",I103="orcInProgress",I103="orcNotStarted")),IF(AND(H103=X103,I103=Y103),AA103,IF(AND(H103=X103,OR(I103="orcSucceededWithErrors",I103="orcInProgress",I103="orcNotStarted")),"RESULTADO_RETIRADA_INCIERTO",IF(J103="COMPLETA",AB103,"COBERTURA_INSUFICIENTE"))),"LEXEMA_O_FORMA")),IF(W103="CAMBIO",IF(OR(H103="CAMBIO",H103="CAMBIO_Y_RETORNO"),AA103,IF(OR(H103="NINGUNO",H103="SOLO_RENOMBRE"),IF(J103="COMPLETA",AB103,"COBERTURA_INSUFICIENTE"),"LEXEMA_O_FORMA")),IF(W103="RESTAURACION",IF(H103=X103,AA103,IF(OR(H103="NINGUNO",H103="RESTAURACION_POSTERIOR",H103="RESTAURACION_FALLIDA"),IF(J103="COMPLETA",AB103,"COBERTURA_INSUFICIENTE"),"LEXEMA_O_FORMA")),"PERFIL_NO_CONSTITUIDO"))))))))))))))))))</x:f>
        <x:v>SIN_CAMBIO_ACREDITADO</x:v>
      </x:c>
      <x:c r="R103" s="12" t="str">
        <x:f>IF(AND(L103=O103,M103=P103,N103=Q103),"PASA","NO_PASA")</x:f>
        <x:v>PASA</x:v>
      </x:c>
      <x:c r="S103" s="4" t="str">
        <x:v>Negativo explícito; en eventos exige cobertura del intervalo.</x:v>
      </x:c>
      <x:c r="T103" s="12" t="str">
        <x:f>IFERROR(INDEX('55_Codificacion_ensayo'!$B$5:$B$13,MATCH(B103,'55_Codificacion_ensayo'!$A$5:$A$13,0)),"")</x:f>
        <x:v>HISTORIA-CAMBIO-COMPONENTE-0.1</x:v>
      </x:c>
      <x:c r="U103" s="12" t="str">
        <x:f>IFERROR(INDEX('55_Codificacion_ensayo'!$C$5:$C$13,MATCH(B103,'55_Codificacion_ensayo'!$A$5:$A$13,0)),"")</x:f>
        <x:v>HISTORIA_BINARIA</x:v>
      </x:c>
      <x:c r="V103" s="12" t="str">
        <x:f>IFERROR(INDEX('55_Codificacion_ensayo'!$D$5:$D$13,MATCH(B103,'55_Codificacion_ensayo'!$A$5:$A$13,0)),"")</x:f>
        <x:v>ORDEN_ACREDITADO</x:v>
      </x:c>
      <x:c r="W103" s="12" t="str">
        <x:f>IFERROR(INDEX('55_Codificacion_ensayo'!$E$5:$E$13,MATCH(B103,'55_Codificacion_ensayo'!$A$5:$A$13,0)),"")</x:f>
        <x:v>CAMBIO</x:v>
      </x:c>
      <x:c r="X103" s="12" t="str">
        <x:f>IFERROR(INDEX('55_Codificacion_ensayo'!$F$5:$F$13,MATCH(B103,'55_Codificacion_ensayo'!$A$5:$A$13,0)),"")</x:f>
        <x:v>CAMBIO</x:v>
      </x:c>
      <x:c r="Y103" s="12" t="str">
        <x:f>IFERROR(INDEX('55_Codificacion_ensayo'!$G$5:$G$13,MATCH(B103,'55_Codificacion_ensayo'!$A$5:$A$13,0)),"")</x:f>
      </x:c>
      <x:c r="Z103" s="12" t="str">
        <x:f>IFERROR(INDEX('55_Codificacion_ensayo'!$H$5:$H$13,MATCH(B103,'55_Codificacion_ensayo'!$A$5:$A$13,0)),"")</x:f>
        <x:v>NINGUNO</x:v>
      </x:c>
      <x:c r="AA103" s="12" t="str">
        <x:f>IFERROR(INDEX('55_Codificacion_ensayo'!$I$5:$I$13,MATCH(B103,'55_Codificacion_ensayo'!$A$5:$A$13,0)),"")</x:f>
        <x:v>CAMBIO_POSTERIOR</x:v>
      </x:c>
      <x:c r="AB103" s="12" t="str">
        <x:f>IFERROR(INDEX('55_Codificacion_ensayo'!$J$5:$J$13,MATCH(B103,'55_Codificacion_ensayo'!$A$5:$A$13,0)),"")</x:f>
        <x:v>SIN_CAMBIO_ACREDITADO</x:v>
      </x:c>
    </x:row>
    <x:row r="104" ht="47" customHeight="1">
      <x:c r="A104" s="4" t="str">
        <x:v>L10-09-03</x:v>
      </x:c>
      <x:c r="B104" s="4" t="str">
        <x:v>PAR-CYB-CAMBIO-COMPONENTE-POSTERIOR-001</x:v>
      </x:c>
      <x:c r="C104" s="4" t="str">
        <x:v>HISTORIA-CAMBIO-COMPONENTE-0.1</x:v>
      </x:c>
      <x:c r="D104" s="4" t="str">
        <x:v>COINCIDE</x:v>
      </x:c>
      <x:c r="E104" s="4" t="str">
        <x:v>LEGIBLE</x:v>
      </x:c>
      <x:c r="F104" s="4" t="str">
        <x:v>HISTORIA_BINARIA</x:v>
      </x:c>
      <x:c r="G104" s="4" t="str">
        <x:v>AUSENTE</x:v>
      </x:c>
      <x:c r="H104" s="4" t="str"/>
      <x:c r="I104" s="4" t="str"/>
      <x:c r="J104" s="4" t="str">
        <x:v>COMPLETA</x:v>
      </x:c>
      <x:c r="K104" s="4" t="str">
        <x:v>ORDEN_ACREDITADO</x:v>
      </x:c>
      <x:c r="L104" s="4" t="str">
        <x:v>VALIDA</x:v>
      </x:c>
      <x:c r="M104" s="4" t="str">
        <x:v>U</x:v>
      </x:c>
      <x:c r="N104" s="4" t="str">
        <x:v>DATO_AUSENTE</x:v>
      </x:c>
      <x:c r="O104" s="12" t="str">
        <x:f>IF(Q104="SIN_EJECUCION_DOMINIO","FALLO_CAPTURA",IF(OR(Q104="CAPTURA_MAL_FORMADA",Q104="IDENTIDAD",Q104="OBSERVACION_MAL_FORMADA",Q104="LEXEMA_O_FORMA"),"NO_ADMISION",IF(OR(Q104="PERFIL_NO_CONSTITUIDO",Q104="RESULTADO_NO_TERMINAL"),"FUERA_PERFIL",IF(Q104="CONTEXTO_NO_CONSTITUIDO","CONFIGURACION_PENDIENTE","VALIDA"))))</x:f>
        <x:v>VALIDA</x:v>
      </x:c>
      <x:c r="P104" s="12" t="str">
        <x:f>IF(O104&lt;&gt;"VALIDA","",IF(Q104=AA104,"1",IF(Q104=AB104,"0","U")))</x:f>
        <x:v>U</x:v>
      </x:c>
      <x:c r="Q104" s="12" t="str">
        <x:f>IF(E104="FALLO","SIN_EJECUCION_DOMINIO",IF(E104&lt;&gt;"LEGIBLE","CAPTURA_MAL_FORMADA",IF(D104&lt;&gt;"COINCIDE","IDENTIDAD",IF(OR(T104="",C104&lt;&gt;T104),"PERFIL_NO_CONSTITUIDO",IF(K104&lt;&gt;V104,IF(V104="ORDEN_ACREDITADO","ORDEN_NO_ACREDITADO","CONTEXTO_NO_CONSTITUIDO"),IF(AND(G104="AUSENTE",H104="",I104=""),"DATO_AUSENTE",IF(AND(G104="CONFLICTO",H104="",I104=""),"CONFLICTO_OBSERVACIONAL",IF(G104&lt;&gt;"UNICA","OBSERVACION_MAL_FORMADA",IF(F104&lt;&gt;U104,"OBSERVACION_INSUFICIENTE",IF(W104="RESULTADO",IF(H104=X104,AA104,IF(OR(H104="orcSucceededWithErrors",H104="orcFailed",H104="orcAborted"),AB104,IF(OR(H104="orcNotStarted",H104="orcInProgress"),"RESULTADO_NO_TERMINAL","LEXEMA_O_FORMA"))),IF(W104="EVENTO_BOOT",IF(H104=X104,AA104,IF(OR(H104="NINGUNO",H104="SOLO_HIBRIDO"),IF(J104="COMPLETA",AB104,"COBERTURA_INSUFICIENTE"),"LEXEMA_O_FORMA")),IF(W104="REQUISITO_SOFT",IF(H104=X104,AA104,IF(H104=Z104,AB104,"LEXEMA_O_FORMA")),IF(W104="EVENTO_PROC",IF(H104=X104,AA104,IF(H104=Z104,IF(J104="COMPLETA",AB104,"COBERTURA_INSUFICIENTE"),"LEXEMA_O_FORMA")),IF(W104="IMAGEN",IF(AND(AND(ISTEXT(H104),LEN(("x"&amp;H104))=65,EXACT(("x"&amp;H104),LOWER(("x"&amp;H104))),ISERROR(SEARCH(" ",("x"&amp;H104))),ISERROR(SEARCH(CHAR(9),("x"&amp;H104))),ISERROR(SEARCH(CHAR(10),("x"&amp;H104))),ISERROR(SEARCH(CHAR(13),("x"&amp;H104))),IFERROR(HEX2DEC(MID(("x"&amp;H104),2,8))&gt;=0,FALSE),IFERROR(HEX2DEC(MID(("x"&amp;H104),10,8))&gt;=0,FALSE),IFERROR(HEX2DEC(MID(("x"&amp;H104),18,8))&gt;=0,FALSE),IFERROR(HEX2DEC(MID(("x"&amp;H104),26,8))&gt;=0,FALSE),IFERROR(HEX2DEC(MID(("x"&amp;H104),34,8))&gt;=0,FALSE),IFERROR(HEX2DEC(MID(("x"&amp;H104),42,8))&gt;=0,FALSE),IFERROR(HEX2DEC(MID(("x"&amp;H104),50,8))&gt;=0,FALSE),IFERROR(HEX2DEC(MID(("x"&amp;H104),58,8))&gt;=0,FALSE)),AND(ISTEXT(I104),LEN(("x"&amp;I104))=65,EXACT(("x"&amp;I104),LOWER(("x"&amp;I104))),ISERROR(SEARCH(" ",("x"&amp;I104))),ISERROR(SEARCH(CHAR(9),("x"&amp;I104))),ISERROR(SEARCH(CHAR(10),("x"&amp;I104))),ISERROR(SEARCH(CHAR(13),("x"&amp;I104))),IFERROR(HEX2DEC(MID(("x"&amp;I104),2,8))&gt;=0,FALSE),IFERROR(HEX2DEC(MID(("x"&amp;I104),10,8))&gt;=0,FALSE),IFERROR(HEX2DEC(MID(("x"&amp;I104),18,8))&gt;=0,FALSE),IFERROR(HEX2DEC(MID(("x"&amp;I104),26,8))&gt;=0,FALSE),IFERROR(HEX2DEC(MID(("x"&amp;I104),34,8))&gt;=0,FALSE),IFERROR(HEX2DEC(MID(("x"&amp;I104),42,8))&gt;=0,FALSE),IFERROR(HEX2DEC(MID(("x"&amp;I104),50,8))&gt;=0,FALSE),IFERROR(HEX2DEC(MID(("x"&amp;I104),58,8))&gt;=0,FALSE))),IF(EXACT("x"&amp;H104,"x"&amp;I104),AA104,AB104),"LEXEMA_O_FORMA"),IF(W104="PRUEBA",IF(H104=X104,AA104,IF(H104=Z104,AB104,"LEXEMA_O_FORMA")),IF(W104="RETIRADA",IF(AND(H104="NINGUNO",I104=""),IF(J104="COMPLETA",AB104,"COBERTURA_INSUFICIENTE"),IF(AND(OR(H104="uoInstallation",H104="uoUninstallation"),OR(I104="orcSucceeded",I104="orcSucceededWithErrors",I104="orcFailed",I104="orcAborted",I104="orcInProgress",I104="orcNotStarted")),IF(AND(H104=X104,I104=Y104),AA104,IF(AND(H104=X104,OR(I104="orcSucceededWithErrors",I104="orcInProgress",I104="orcNotStarted")),"RESULTADO_RETIRADA_INCIERTO",IF(J104="COMPLETA",AB104,"COBERTURA_INSUFICIENTE"))),"LEXEMA_O_FORMA")),IF(W104="CAMBIO",IF(OR(H104="CAMBIO",H104="CAMBIO_Y_RETORNO"),AA104,IF(OR(H104="NINGUNO",H104="SOLO_RENOMBRE"),IF(J104="COMPLETA",AB104,"COBERTURA_INSUFICIENTE"),"LEXEMA_O_FORMA")),IF(W104="RESTAURACION",IF(H104=X104,AA104,IF(OR(H104="NINGUNO",H104="RESTAURACION_POSTERIOR",H104="RESTAURACION_FALLIDA"),IF(J104="COMPLETA",AB104,"COBERTURA_INSUFICIENTE"),"LEXEMA_O_FORMA")),"PERFIL_NO_CONSTITUIDO"))))))))))))))))))</x:f>
        <x:v>DATO_AUSENTE</x:v>
      </x:c>
      <x:c r="R104" s="12" t="str">
        <x:f>IF(AND(L104=O104,M104=P104,N104=Q104),"PASA","NO_PASA")</x:f>
        <x:v>PASA</x:v>
      </x:c>
      <x:c r="S104" s="4" t="str">
        <x:v>Documento declara que falta la observación, sin convertir ausencia en 0.</x:v>
      </x:c>
      <x:c r="T104" s="12" t="str">
        <x:f>IFERROR(INDEX('55_Codificacion_ensayo'!$B$5:$B$13,MATCH(B104,'55_Codificacion_ensayo'!$A$5:$A$13,0)),"")</x:f>
        <x:v>HISTORIA-CAMBIO-COMPONENTE-0.1</x:v>
      </x:c>
      <x:c r="U104" s="12" t="str">
        <x:f>IFERROR(INDEX('55_Codificacion_ensayo'!$C$5:$C$13,MATCH(B104,'55_Codificacion_ensayo'!$A$5:$A$13,0)),"")</x:f>
        <x:v>HISTORIA_BINARIA</x:v>
      </x:c>
      <x:c r="V104" s="12" t="str">
        <x:f>IFERROR(INDEX('55_Codificacion_ensayo'!$D$5:$D$13,MATCH(B104,'55_Codificacion_ensayo'!$A$5:$A$13,0)),"")</x:f>
        <x:v>ORDEN_ACREDITADO</x:v>
      </x:c>
      <x:c r="W104" s="12" t="str">
        <x:f>IFERROR(INDEX('55_Codificacion_ensayo'!$E$5:$E$13,MATCH(B104,'55_Codificacion_ensayo'!$A$5:$A$13,0)),"")</x:f>
        <x:v>CAMBIO</x:v>
      </x:c>
      <x:c r="X104" s="12" t="str">
        <x:f>IFERROR(INDEX('55_Codificacion_ensayo'!$F$5:$F$13,MATCH(B104,'55_Codificacion_ensayo'!$A$5:$A$13,0)),"")</x:f>
        <x:v>CAMBIO</x:v>
      </x:c>
      <x:c r="Y104" s="12" t="str">
        <x:f>IFERROR(INDEX('55_Codificacion_ensayo'!$G$5:$G$13,MATCH(B104,'55_Codificacion_ensayo'!$A$5:$A$13,0)),"")</x:f>
      </x:c>
      <x:c r="Z104" s="12" t="str">
        <x:f>IFERROR(INDEX('55_Codificacion_ensayo'!$H$5:$H$13,MATCH(B104,'55_Codificacion_ensayo'!$A$5:$A$13,0)),"")</x:f>
        <x:v>NINGUNO</x:v>
      </x:c>
      <x:c r="AA104" s="12" t="str">
        <x:f>IFERROR(INDEX('55_Codificacion_ensayo'!$I$5:$I$13,MATCH(B104,'55_Codificacion_ensayo'!$A$5:$A$13,0)),"")</x:f>
        <x:v>CAMBIO_POSTERIOR</x:v>
      </x:c>
      <x:c r="AB104" s="12" t="str">
        <x:f>IFERROR(INDEX('55_Codificacion_ensayo'!$J$5:$J$13,MATCH(B104,'55_Codificacion_ensayo'!$A$5:$A$13,0)),"")</x:f>
        <x:v>SIN_CAMBIO_ACREDITADO</x:v>
      </x:c>
    </x:row>
    <x:row r="105" ht="47" customHeight="1">
      <x:c r="A105" s="4" t="str">
        <x:v>L10-09-04</x:v>
      </x:c>
      <x:c r="B105" s="4" t="str">
        <x:v>PAR-CYB-CAMBIO-COMPONENTE-POSTERIOR-001</x:v>
      </x:c>
      <x:c r="C105" s="4" t="str">
        <x:v>HISTORIA-CAMBIO-COMPONENTE-0.1</x:v>
      </x:c>
      <x:c r="D105" s="4" t="str">
        <x:v>COINCIDE</x:v>
      </x:c>
      <x:c r="E105" s="4" t="str">
        <x:v>LEGIBLE</x:v>
      </x:c>
      <x:c r="F105" s="4" t="str">
        <x:v>HISTORIA_BINARIA</x:v>
      </x:c>
      <x:c r="G105" s="4" t="str">
        <x:v>CONFLICTO</x:v>
      </x:c>
      <x:c r="H105" s="4" t="str"/>
      <x:c r="I105" s="4" t="str"/>
      <x:c r="J105" s="4" t="str">
        <x:v>COMPLETA</x:v>
      </x:c>
      <x:c r="K105" s="4" t="str">
        <x:v>ORDEN_ACREDITADO</x:v>
      </x:c>
      <x:c r="L105" s="4" t="str">
        <x:v>VALIDA</x:v>
      </x:c>
      <x:c r="M105" s="4" t="str">
        <x:v>U</x:v>
      </x:c>
      <x:c r="N105" s="4" t="str">
        <x:v>CONFLICTO_OBSERVACIONAL</x:v>
      </x:c>
      <x:c r="O105" s="12" t="str">
        <x:f>IF(Q105="SIN_EJECUCION_DOMINIO","FALLO_CAPTURA",IF(OR(Q105="CAPTURA_MAL_FORMADA",Q105="IDENTIDAD",Q105="OBSERVACION_MAL_FORMADA",Q105="LEXEMA_O_FORMA"),"NO_ADMISION",IF(OR(Q105="PERFIL_NO_CONSTITUIDO",Q105="RESULTADO_NO_TERMINAL"),"FUERA_PERFIL",IF(Q105="CONTEXTO_NO_CONSTITUIDO","CONFIGURACION_PENDIENTE","VALIDA"))))</x:f>
        <x:v>VALIDA</x:v>
      </x:c>
      <x:c r="P105" s="12" t="str">
        <x:f>IF(O105&lt;&gt;"VALIDA","",IF(Q105=AA105,"1",IF(Q105=AB105,"0","U")))</x:f>
        <x:v>U</x:v>
      </x:c>
      <x:c r="Q105" s="12" t="str">
        <x:f>IF(E105="FALLO","SIN_EJECUCION_DOMINIO",IF(E105&lt;&gt;"LEGIBLE","CAPTURA_MAL_FORMADA",IF(D105&lt;&gt;"COINCIDE","IDENTIDAD",IF(OR(T105="",C105&lt;&gt;T105),"PERFIL_NO_CONSTITUIDO",IF(K105&lt;&gt;V105,IF(V105="ORDEN_ACREDITADO","ORDEN_NO_ACREDITADO","CONTEXTO_NO_CONSTITUIDO"),IF(AND(G105="AUSENTE",H105="",I105=""),"DATO_AUSENTE",IF(AND(G105="CONFLICTO",H105="",I105=""),"CONFLICTO_OBSERVACIONAL",IF(G105&lt;&gt;"UNICA","OBSERVACION_MAL_FORMADA",IF(F105&lt;&gt;U105,"OBSERVACION_INSUFICIENTE",IF(W105="RESULTADO",IF(H105=X105,AA105,IF(OR(H105="orcSucceededWithErrors",H105="orcFailed",H105="orcAborted"),AB105,IF(OR(H105="orcNotStarted",H105="orcInProgress"),"RESULTADO_NO_TERMINAL","LEXEMA_O_FORMA"))),IF(W105="EVENTO_BOOT",IF(H105=X105,AA105,IF(OR(H105="NINGUNO",H105="SOLO_HIBRIDO"),IF(J105="COMPLETA",AB105,"COBERTURA_INSUFICIENTE"),"LEXEMA_O_FORMA")),IF(W105="REQUISITO_SOFT",IF(H105=X105,AA105,IF(H105=Z105,AB105,"LEXEMA_O_FORMA")),IF(W105="EVENTO_PROC",IF(H105=X105,AA105,IF(H105=Z105,IF(J105="COMPLETA",AB105,"COBERTURA_INSUFICIENTE"),"LEXEMA_O_FORMA")),IF(W105="IMAGEN",IF(AND(AND(ISTEXT(H105),LEN(("x"&amp;H105))=65,EXACT(("x"&amp;H105),LOWER(("x"&amp;H105))),ISERROR(SEARCH(" ",("x"&amp;H105))),ISERROR(SEARCH(CHAR(9),("x"&amp;H105))),ISERROR(SEARCH(CHAR(10),("x"&amp;H105))),ISERROR(SEARCH(CHAR(13),("x"&amp;H105))),IFERROR(HEX2DEC(MID(("x"&amp;H105),2,8))&gt;=0,FALSE),IFERROR(HEX2DEC(MID(("x"&amp;H105),10,8))&gt;=0,FALSE),IFERROR(HEX2DEC(MID(("x"&amp;H105),18,8))&gt;=0,FALSE),IFERROR(HEX2DEC(MID(("x"&amp;H105),26,8))&gt;=0,FALSE),IFERROR(HEX2DEC(MID(("x"&amp;H105),34,8))&gt;=0,FALSE),IFERROR(HEX2DEC(MID(("x"&amp;H105),42,8))&gt;=0,FALSE),IFERROR(HEX2DEC(MID(("x"&amp;H105),50,8))&gt;=0,FALSE),IFERROR(HEX2DEC(MID(("x"&amp;H105),58,8))&gt;=0,FALSE)),AND(ISTEXT(I105),LEN(("x"&amp;I105))=65,EXACT(("x"&amp;I105),LOWER(("x"&amp;I105))),ISERROR(SEARCH(" ",("x"&amp;I105))),ISERROR(SEARCH(CHAR(9),("x"&amp;I105))),ISERROR(SEARCH(CHAR(10),("x"&amp;I105))),ISERROR(SEARCH(CHAR(13),("x"&amp;I105))),IFERROR(HEX2DEC(MID(("x"&amp;I105),2,8))&gt;=0,FALSE),IFERROR(HEX2DEC(MID(("x"&amp;I105),10,8))&gt;=0,FALSE),IFERROR(HEX2DEC(MID(("x"&amp;I105),18,8))&gt;=0,FALSE),IFERROR(HEX2DEC(MID(("x"&amp;I105),26,8))&gt;=0,FALSE),IFERROR(HEX2DEC(MID(("x"&amp;I105),34,8))&gt;=0,FALSE),IFERROR(HEX2DEC(MID(("x"&amp;I105),42,8))&gt;=0,FALSE),IFERROR(HEX2DEC(MID(("x"&amp;I105),50,8))&gt;=0,FALSE),IFERROR(HEX2DEC(MID(("x"&amp;I105),58,8))&gt;=0,FALSE))),IF(EXACT("x"&amp;H105,"x"&amp;I105),AA105,AB105),"LEXEMA_O_FORMA"),IF(W105="PRUEBA",IF(H105=X105,AA105,IF(H105=Z105,AB105,"LEXEMA_O_FORMA")),IF(W105="RETIRADA",IF(AND(H105="NINGUNO",I105=""),IF(J105="COMPLETA",AB105,"COBERTURA_INSUFICIENTE"),IF(AND(OR(H105="uoInstallation",H105="uoUninstallation"),OR(I105="orcSucceeded",I105="orcSucceededWithErrors",I105="orcFailed",I105="orcAborted",I105="orcInProgress",I105="orcNotStarted")),IF(AND(H105=X105,I105=Y105),AA105,IF(AND(H105=X105,OR(I105="orcSucceededWithErrors",I105="orcInProgress",I105="orcNotStarted")),"RESULTADO_RETIRADA_INCIERTO",IF(J105="COMPLETA",AB105,"COBERTURA_INSUFICIENTE"))),"LEXEMA_O_FORMA")),IF(W105="CAMBIO",IF(OR(H105="CAMBIO",H105="CAMBIO_Y_RETORNO"),AA105,IF(OR(H105="NINGUNO",H105="SOLO_RENOMBRE"),IF(J105="COMPLETA",AB105,"COBERTURA_INSUFICIENTE"),"LEXEMA_O_FORMA")),IF(W105="RESTAURACION",IF(H105=X105,AA105,IF(OR(H105="NINGUNO",H105="RESTAURACION_POSTERIOR",H105="RESTAURACION_FALLIDA"),IF(J105="COMPLETA",AB105,"COBERTURA_INSUFICIENTE"),"LEXEMA_O_FORMA")),"PERFIL_NO_CONSTITUIDO"))))))))))))))))))</x:f>
        <x:v>CONFLICTO_OBSERVACIONAL</x:v>
      </x:c>
      <x:c r="R105" s="12" t="str">
        <x:f>IF(AND(L105=O105,M105=P105,N105=Q105),"PASA","NO_PASA")</x:f>
        <x:v>PASA</x:v>
      </x:c>
      <x:c r="S105" s="4" t="str">
        <x:v>Conflicto entre observaciones admitidas del mismo sujeto y corte.</x:v>
      </x:c>
      <x:c r="T105" s="12" t="str">
        <x:f>IFERROR(INDEX('55_Codificacion_ensayo'!$B$5:$B$13,MATCH(B105,'55_Codificacion_ensayo'!$A$5:$A$13,0)),"")</x:f>
        <x:v>HISTORIA-CAMBIO-COMPONENTE-0.1</x:v>
      </x:c>
      <x:c r="U105" s="12" t="str">
        <x:f>IFERROR(INDEX('55_Codificacion_ensayo'!$C$5:$C$13,MATCH(B105,'55_Codificacion_ensayo'!$A$5:$A$13,0)),"")</x:f>
        <x:v>HISTORIA_BINARIA</x:v>
      </x:c>
      <x:c r="V105" s="12" t="str">
        <x:f>IFERROR(INDEX('55_Codificacion_ensayo'!$D$5:$D$13,MATCH(B105,'55_Codificacion_ensayo'!$A$5:$A$13,0)),"")</x:f>
        <x:v>ORDEN_ACREDITADO</x:v>
      </x:c>
      <x:c r="W105" s="12" t="str">
        <x:f>IFERROR(INDEX('55_Codificacion_ensayo'!$E$5:$E$13,MATCH(B105,'55_Codificacion_ensayo'!$A$5:$A$13,0)),"")</x:f>
        <x:v>CAMBIO</x:v>
      </x:c>
      <x:c r="X105" s="12" t="str">
        <x:f>IFERROR(INDEX('55_Codificacion_ensayo'!$F$5:$F$13,MATCH(B105,'55_Codificacion_ensayo'!$A$5:$A$13,0)),"")</x:f>
        <x:v>CAMBIO</x:v>
      </x:c>
      <x:c r="Y105" s="12" t="str">
        <x:f>IFERROR(INDEX('55_Codificacion_ensayo'!$G$5:$G$13,MATCH(B105,'55_Codificacion_ensayo'!$A$5:$A$13,0)),"")</x:f>
      </x:c>
      <x:c r="Z105" s="12" t="str">
        <x:f>IFERROR(INDEX('55_Codificacion_ensayo'!$H$5:$H$13,MATCH(B105,'55_Codificacion_ensayo'!$A$5:$A$13,0)),"")</x:f>
        <x:v>NINGUNO</x:v>
      </x:c>
      <x:c r="AA105" s="12" t="str">
        <x:f>IFERROR(INDEX('55_Codificacion_ensayo'!$I$5:$I$13,MATCH(B105,'55_Codificacion_ensayo'!$A$5:$A$13,0)),"")</x:f>
        <x:v>CAMBIO_POSTERIOR</x:v>
      </x:c>
      <x:c r="AB105" s="12" t="str">
        <x:f>IFERROR(INDEX('55_Codificacion_ensayo'!$J$5:$J$13,MATCH(B105,'55_Codificacion_ensayo'!$A$5:$A$13,0)),"")</x:f>
        <x:v>SIN_CAMBIO_ACREDITADO</x:v>
      </x:c>
    </x:row>
    <x:row r="106" ht="47" customHeight="1">
      <x:c r="A106" s="4" t="str">
        <x:v>L10-09-05</x:v>
      </x:c>
      <x:c r="B106" s="4" t="str">
        <x:v>PAR-CYB-CAMBIO-COMPONENTE-POSTERIOR-001</x:v>
      </x:c>
      <x:c r="C106" s="4" t="str">
        <x:v>HISTORIA-CAMBIO-COMPONENTE-0.1</x:v>
      </x:c>
      <x:c r="D106" s="4" t="str">
        <x:v>COINCIDE</x:v>
      </x:c>
      <x:c r="E106" s="4" t="str">
        <x:v>FALLO</x:v>
      </x:c>
      <x:c r="F106" s="4" t="str">
        <x:v>HISTORIA_BINARIA</x:v>
      </x:c>
      <x:c r="G106" s="4" t="str">
        <x:v>UNICA</x:v>
      </x:c>
      <x:c r="H106" s="4" t="str">
        <x:v>CAMBIO</x:v>
      </x:c>
      <x:c r="I106" s="4" t="str"/>
      <x:c r="J106" s="4" t="str">
        <x:v>COMPLETA</x:v>
      </x:c>
      <x:c r="K106" s="4" t="str">
        <x:v>ORDEN_ACREDITADO</x:v>
      </x:c>
      <x:c r="L106" s="4" t="str">
        <x:v>FALLO_CAPTURA</x:v>
      </x:c>
      <x:c r="M106" s="4" t="str"/>
      <x:c r="N106" s="4" t="str">
        <x:v>SIN_EJECUCION_DOMINIO</x:v>
      </x:c>
      <x:c r="O106" s="12" t="str">
        <x:f>IF(Q106="SIN_EJECUCION_DOMINIO","FALLO_CAPTURA",IF(OR(Q106="CAPTURA_MAL_FORMADA",Q106="IDENTIDAD",Q106="OBSERVACION_MAL_FORMADA",Q106="LEXEMA_O_FORMA"),"NO_ADMISION",IF(OR(Q106="PERFIL_NO_CONSTITUIDO",Q106="RESULTADO_NO_TERMINAL"),"FUERA_PERFIL",IF(Q106="CONTEXTO_NO_CONSTITUIDO","CONFIGURACION_PENDIENTE","VALIDA"))))</x:f>
        <x:v>FALLO_CAPTURA</x:v>
      </x:c>
      <x:c r="P106" s="12" t="str">
        <x:f>IF(O106&lt;&gt;"VALIDA","",IF(Q106=AA106,"1",IF(Q106=AB106,"0","U")))</x:f>
      </x:c>
      <x:c r="Q106" s="12" t="str">
        <x:f>IF(E106="FALLO","SIN_EJECUCION_DOMINIO",IF(E106&lt;&gt;"LEGIBLE","CAPTURA_MAL_FORMADA",IF(D106&lt;&gt;"COINCIDE","IDENTIDAD",IF(OR(T106="",C106&lt;&gt;T106),"PERFIL_NO_CONSTITUIDO",IF(K106&lt;&gt;V106,IF(V106="ORDEN_ACREDITADO","ORDEN_NO_ACREDITADO","CONTEXTO_NO_CONSTITUIDO"),IF(AND(G106="AUSENTE",H106="",I106=""),"DATO_AUSENTE",IF(AND(G106="CONFLICTO",H106="",I106=""),"CONFLICTO_OBSERVACIONAL",IF(G106&lt;&gt;"UNICA","OBSERVACION_MAL_FORMADA",IF(F106&lt;&gt;U106,"OBSERVACION_INSUFICIENTE",IF(W106="RESULTADO",IF(H106=X106,AA106,IF(OR(H106="orcSucceededWithErrors",H106="orcFailed",H106="orcAborted"),AB106,IF(OR(H106="orcNotStarted",H106="orcInProgress"),"RESULTADO_NO_TERMINAL","LEXEMA_O_FORMA"))),IF(W106="EVENTO_BOOT",IF(H106=X106,AA106,IF(OR(H106="NINGUNO",H106="SOLO_HIBRIDO"),IF(J106="COMPLETA",AB106,"COBERTURA_INSUFICIENTE"),"LEXEMA_O_FORMA")),IF(W106="REQUISITO_SOFT",IF(H106=X106,AA106,IF(H106=Z106,AB106,"LEXEMA_O_FORMA")),IF(W106="EVENTO_PROC",IF(H106=X106,AA106,IF(H106=Z106,IF(J106="COMPLETA",AB106,"COBERTURA_INSUFICIENTE"),"LEXEMA_O_FORMA")),IF(W106="IMAGEN",IF(AND(AND(ISTEXT(H106),LEN(("x"&amp;H106))=65,EXACT(("x"&amp;H106),LOWER(("x"&amp;H106))),ISERROR(SEARCH(" ",("x"&amp;H106))),ISERROR(SEARCH(CHAR(9),("x"&amp;H106))),ISERROR(SEARCH(CHAR(10),("x"&amp;H106))),ISERROR(SEARCH(CHAR(13),("x"&amp;H106))),IFERROR(HEX2DEC(MID(("x"&amp;H106),2,8))&gt;=0,FALSE),IFERROR(HEX2DEC(MID(("x"&amp;H106),10,8))&gt;=0,FALSE),IFERROR(HEX2DEC(MID(("x"&amp;H106),18,8))&gt;=0,FALSE),IFERROR(HEX2DEC(MID(("x"&amp;H106),26,8))&gt;=0,FALSE),IFERROR(HEX2DEC(MID(("x"&amp;H106),34,8))&gt;=0,FALSE),IFERROR(HEX2DEC(MID(("x"&amp;H106),42,8))&gt;=0,FALSE),IFERROR(HEX2DEC(MID(("x"&amp;H106),50,8))&gt;=0,FALSE),IFERROR(HEX2DEC(MID(("x"&amp;H106),58,8))&gt;=0,FALSE)),AND(ISTEXT(I106),LEN(("x"&amp;I106))=65,EXACT(("x"&amp;I106),LOWER(("x"&amp;I106))),ISERROR(SEARCH(" ",("x"&amp;I106))),ISERROR(SEARCH(CHAR(9),("x"&amp;I106))),ISERROR(SEARCH(CHAR(10),("x"&amp;I106))),ISERROR(SEARCH(CHAR(13),("x"&amp;I106))),IFERROR(HEX2DEC(MID(("x"&amp;I106),2,8))&gt;=0,FALSE),IFERROR(HEX2DEC(MID(("x"&amp;I106),10,8))&gt;=0,FALSE),IFERROR(HEX2DEC(MID(("x"&amp;I106),18,8))&gt;=0,FALSE),IFERROR(HEX2DEC(MID(("x"&amp;I106),26,8))&gt;=0,FALSE),IFERROR(HEX2DEC(MID(("x"&amp;I106),34,8))&gt;=0,FALSE),IFERROR(HEX2DEC(MID(("x"&amp;I106),42,8))&gt;=0,FALSE),IFERROR(HEX2DEC(MID(("x"&amp;I106),50,8))&gt;=0,FALSE),IFERROR(HEX2DEC(MID(("x"&amp;I106),58,8))&gt;=0,FALSE))),IF(EXACT("x"&amp;H106,"x"&amp;I106),AA106,AB106),"LEXEMA_O_FORMA"),IF(W106="PRUEBA",IF(H106=X106,AA106,IF(H106=Z106,AB106,"LEXEMA_O_FORMA")),IF(W106="RETIRADA",IF(AND(H106="NINGUNO",I106=""),IF(J106="COMPLETA",AB106,"COBERTURA_INSUFICIENTE"),IF(AND(OR(H106="uoInstallation",H106="uoUninstallation"),OR(I106="orcSucceeded",I106="orcSucceededWithErrors",I106="orcFailed",I106="orcAborted",I106="orcInProgress",I106="orcNotStarted")),IF(AND(H106=X106,I106=Y106),AA106,IF(AND(H106=X106,OR(I106="orcSucceededWithErrors",I106="orcInProgress",I106="orcNotStarted")),"RESULTADO_RETIRADA_INCIERTO",IF(J106="COMPLETA",AB106,"COBERTURA_INSUFICIENTE"))),"LEXEMA_O_FORMA")),IF(W106="CAMBIO",IF(OR(H106="CAMBIO",H106="CAMBIO_Y_RETORNO"),AA106,IF(OR(H106="NINGUNO",H106="SOLO_RENOMBRE"),IF(J106="COMPLETA",AB106,"COBERTURA_INSUFICIENTE"),"LEXEMA_O_FORMA")),IF(W106="RESTAURACION",IF(H106=X106,AA106,IF(OR(H106="NINGUNO",H106="RESTAURACION_POSTERIOR",H106="RESTAURACION_FALLIDA"),IF(J106="COMPLETA",AB106,"COBERTURA_INSUFICIENTE"),"LEXEMA_O_FORMA")),"PERFIL_NO_CONSTITUIDO"))))))))))))))))))</x:f>
        <x:v>SIN_EJECUCION_DOMINIO</x:v>
      </x:c>
      <x:c r="R106" s="12" t="str">
        <x:f>IF(AND(L106=O106,M106=P106,N106=Q106),"PASA","NO_PASA")</x:f>
        <x:v>PASA</x:v>
      </x:c>
      <x:c r="S106" s="4" t="str">
        <x:v>El observador falla; no existe ejecución de dominio ni Tri alternativo.</x:v>
      </x:c>
      <x:c r="T106" s="12" t="str">
        <x:f>IFERROR(INDEX('55_Codificacion_ensayo'!$B$5:$B$13,MATCH(B106,'55_Codificacion_ensayo'!$A$5:$A$13,0)),"")</x:f>
        <x:v>HISTORIA-CAMBIO-COMPONENTE-0.1</x:v>
      </x:c>
      <x:c r="U106" s="12" t="str">
        <x:f>IFERROR(INDEX('55_Codificacion_ensayo'!$C$5:$C$13,MATCH(B106,'55_Codificacion_ensayo'!$A$5:$A$13,0)),"")</x:f>
        <x:v>HISTORIA_BINARIA</x:v>
      </x:c>
      <x:c r="V106" s="12" t="str">
        <x:f>IFERROR(INDEX('55_Codificacion_ensayo'!$D$5:$D$13,MATCH(B106,'55_Codificacion_ensayo'!$A$5:$A$13,0)),"")</x:f>
        <x:v>ORDEN_ACREDITADO</x:v>
      </x:c>
      <x:c r="W106" s="12" t="str">
        <x:f>IFERROR(INDEX('55_Codificacion_ensayo'!$E$5:$E$13,MATCH(B106,'55_Codificacion_ensayo'!$A$5:$A$13,0)),"")</x:f>
        <x:v>CAMBIO</x:v>
      </x:c>
      <x:c r="X106" s="12" t="str">
        <x:f>IFERROR(INDEX('55_Codificacion_ensayo'!$F$5:$F$13,MATCH(B106,'55_Codificacion_ensayo'!$A$5:$A$13,0)),"")</x:f>
        <x:v>CAMBIO</x:v>
      </x:c>
      <x:c r="Y106" s="12" t="str">
        <x:f>IFERROR(INDEX('55_Codificacion_ensayo'!$G$5:$G$13,MATCH(B106,'55_Codificacion_ensayo'!$A$5:$A$13,0)),"")</x:f>
      </x:c>
      <x:c r="Z106" s="12" t="str">
        <x:f>IFERROR(INDEX('55_Codificacion_ensayo'!$H$5:$H$13,MATCH(B106,'55_Codificacion_ensayo'!$A$5:$A$13,0)),"")</x:f>
        <x:v>NINGUNO</x:v>
      </x:c>
      <x:c r="AA106" s="12" t="str">
        <x:f>IFERROR(INDEX('55_Codificacion_ensayo'!$I$5:$I$13,MATCH(B106,'55_Codificacion_ensayo'!$A$5:$A$13,0)),"")</x:f>
        <x:v>CAMBIO_POSTERIOR</x:v>
      </x:c>
      <x:c r="AB106" s="12" t="str">
        <x:f>IFERROR(INDEX('55_Codificacion_ensayo'!$J$5:$J$13,MATCH(B106,'55_Codificacion_ensayo'!$A$5:$A$13,0)),"")</x:f>
        <x:v>SIN_CAMBIO_ACREDITADO</x:v>
      </x:c>
    </x:row>
    <x:row r="107" ht="47" customHeight="1">
      <x:c r="A107" s="4" t="str">
        <x:v>L10-09-06</x:v>
      </x:c>
      <x:c r="B107" s="4" t="str">
        <x:v>PAR-CYB-CAMBIO-COMPONENTE-POSTERIOR-001</x:v>
      </x:c>
      <x:c r="C107" s="4" t="str">
        <x:v>HISTORIA-CAMBIO-COMPONENTE-0.1</x:v>
      </x:c>
      <x:c r="D107" s="4" t="str">
        <x:v>OTRO</x:v>
      </x:c>
      <x:c r="E107" s="4" t="str">
        <x:v>LEGIBLE</x:v>
      </x:c>
      <x:c r="F107" s="4" t="str">
        <x:v>HISTORIA_BINARIA</x:v>
      </x:c>
      <x:c r="G107" s="4" t="str">
        <x:v>UNICA</x:v>
      </x:c>
      <x:c r="H107" s="4" t="str">
        <x:v>CAMBIO</x:v>
      </x:c>
      <x:c r="I107" s="4" t="str"/>
      <x:c r="J107" s="4" t="str">
        <x:v>COMPLETA</x:v>
      </x:c>
      <x:c r="K107" s="4" t="str">
        <x:v>ORDEN_ACREDITADO</x:v>
      </x:c>
      <x:c r="L107" s="4" t="str">
        <x:v>NO_ADMISION</x:v>
      </x:c>
      <x:c r="M107" s="4" t="str"/>
      <x:c r="N107" s="4" t="str">
        <x:v>IDENTIDAD</x:v>
      </x:c>
      <x:c r="O107" s="12" t="str">
        <x:f>IF(Q107="SIN_EJECUCION_DOMINIO","FALLO_CAPTURA",IF(OR(Q107="CAPTURA_MAL_FORMADA",Q107="IDENTIDAD",Q107="OBSERVACION_MAL_FORMADA",Q107="LEXEMA_O_FORMA"),"NO_ADMISION",IF(OR(Q107="PERFIL_NO_CONSTITUIDO",Q107="RESULTADO_NO_TERMINAL"),"FUERA_PERFIL",IF(Q107="CONTEXTO_NO_CONSTITUIDO","CONFIGURACION_PENDIENTE","VALIDA"))))</x:f>
        <x:v>NO_ADMISION</x:v>
      </x:c>
      <x:c r="P107" s="12" t="str">
        <x:f>IF(O107&lt;&gt;"VALIDA","",IF(Q107=AA107,"1",IF(Q107=AB107,"0","U")))</x:f>
      </x:c>
      <x:c r="Q107" s="12" t="str">
        <x:f>IF(E107="FALLO","SIN_EJECUCION_DOMINIO",IF(E107&lt;&gt;"LEGIBLE","CAPTURA_MAL_FORMADA",IF(D107&lt;&gt;"COINCIDE","IDENTIDAD",IF(OR(T107="",C107&lt;&gt;T107),"PERFIL_NO_CONSTITUIDO",IF(K107&lt;&gt;V107,IF(V107="ORDEN_ACREDITADO","ORDEN_NO_ACREDITADO","CONTEXTO_NO_CONSTITUIDO"),IF(AND(G107="AUSENTE",H107="",I107=""),"DATO_AUSENTE",IF(AND(G107="CONFLICTO",H107="",I107=""),"CONFLICTO_OBSERVACIONAL",IF(G107&lt;&gt;"UNICA","OBSERVACION_MAL_FORMADA",IF(F107&lt;&gt;U107,"OBSERVACION_INSUFICIENTE",IF(W107="RESULTADO",IF(H107=X107,AA107,IF(OR(H107="orcSucceededWithErrors",H107="orcFailed",H107="orcAborted"),AB107,IF(OR(H107="orcNotStarted",H107="orcInProgress"),"RESULTADO_NO_TERMINAL","LEXEMA_O_FORMA"))),IF(W107="EVENTO_BOOT",IF(H107=X107,AA107,IF(OR(H107="NINGUNO",H107="SOLO_HIBRIDO"),IF(J107="COMPLETA",AB107,"COBERTURA_INSUFICIENTE"),"LEXEMA_O_FORMA")),IF(W107="REQUISITO_SOFT",IF(H107=X107,AA107,IF(H107=Z107,AB107,"LEXEMA_O_FORMA")),IF(W107="EVENTO_PROC",IF(H107=X107,AA107,IF(H107=Z107,IF(J107="COMPLETA",AB107,"COBERTURA_INSUFICIENTE"),"LEXEMA_O_FORMA")),IF(W107="IMAGEN",IF(AND(AND(ISTEXT(H107),LEN(("x"&amp;H107))=65,EXACT(("x"&amp;H107),LOWER(("x"&amp;H107))),ISERROR(SEARCH(" ",("x"&amp;H107))),ISERROR(SEARCH(CHAR(9),("x"&amp;H107))),ISERROR(SEARCH(CHAR(10),("x"&amp;H107))),ISERROR(SEARCH(CHAR(13),("x"&amp;H107))),IFERROR(HEX2DEC(MID(("x"&amp;H107),2,8))&gt;=0,FALSE),IFERROR(HEX2DEC(MID(("x"&amp;H107),10,8))&gt;=0,FALSE),IFERROR(HEX2DEC(MID(("x"&amp;H107),18,8))&gt;=0,FALSE),IFERROR(HEX2DEC(MID(("x"&amp;H107),26,8))&gt;=0,FALSE),IFERROR(HEX2DEC(MID(("x"&amp;H107),34,8))&gt;=0,FALSE),IFERROR(HEX2DEC(MID(("x"&amp;H107),42,8))&gt;=0,FALSE),IFERROR(HEX2DEC(MID(("x"&amp;H107),50,8))&gt;=0,FALSE),IFERROR(HEX2DEC(MID(("x"&amp;H107),58,8))&gt;=0,FALSE)),AND(ISTEXT(I107),LEN(("x"&amp;I107))=65,EXACT(("x"&amp;I107),LOWER(("x"&amp;I107))),ISERROR(SEARCH(" ",("x"&amp;I107))),ISERROR(SEARCH(CHAR(9),("x"&amp;I107))),ISERROR(SEARCH(CHAR(10),("x"&amp;I107))),ISERROR(SEARCH(CHAR(13),("x"&amp;I107))),IFERROR(HEX2DEC(MID(("x"&amp;I107),2,8))&gt;=0,FALSE),IFERROR(HEX2DEC(MID(("x"&amp;I107),10,8))&gt;=0,FALSE),IFERROR(HEX2DEC(MID(("x"&amp;I107),18,8))&gt;=0,FALSE),IFERROR(HEX2DEC(MID(("x"&amp;I107),26,8))&gt;=0,FALSE),IFERROR(HEX2DEC(MID(("x"&amp;I107),34,8))&gt;=0,FALSE),IFERROR(HEX2DEC(MID(("x"&amp;I107),42,8))&gt;=0,FALSE),IFERROR(HEX2DEC(MID(("x"&amp;I107),50,8))&gt;=0,FALSE),IFERROR(HEX2DEC(MID(("x"&amp;I107),58,8))&gt;=0,FALSE))),IF(EXACT("x"&amp;H107,"x"&amp;I107),AA107,AB107),"LEXEMA_O_FORMA"),IF(W107="PRUEBA",IF(H107=X107,AA107,IF(H107=Z107,AB107,"LEXEMA_O_FORMA")),IF(W107="RETIRADA",IF(AND(H107="NINGUNO",I107=""),IF(J107="COMPLETA",AB107,"COBERTURA_INSUFICIENTE"),IF(AND(OR(H107="uoInstallation",H107="uoUninstallation"),OR(I107="orcSucceeded",I107="orcSucceededWithErrors",I107="orcFailed",I107="orcAborted",I107="orcInProgress",I107="orcNotStarted")),IF(AND(H107=X107,I107=Y107),AA107,IF(AND(H107=X107,OR(I107="orcSucceededWithErrors",I107="orcInProgress",I107="orcNotStarted")),"RESULTADO_RETIRADA_INCIERTO",IF(J107="COMPLETA",AB107,"COBERTURA_INSUFICIENTE"))),"LEXEMA_O_FORMA")),IF(W107="CAMBIO",IF(OR(H107="CAMBIO",H107="CAMBIO_Y_RETORNO"),AA107,IF(OR(H107="NINGUNO",H107="SOLO_RENOMBRE"),IF(J107="COMPLETA",AB107,"COBERTURA_INSUFICIENTE"),"LEXEMA_O_FORMA")),IF(W107="RESTAURACION",IF(H107=X107,AA107,IF(OR(H107="NINGUNO",H107="RESTAURACION_POSTERIOR",H107="RESTAURACION_FALLIDA"),IF(J107="COMPLETA",AB107,"COBERTURA_INSUFICIENTE"),"LEXEMA_O_FORMA")),"PERFIL_NO_CONSTITUIDO"))))))))))))))))))</x:f>
        <x:v>IDENTIDAD</x:v>
      </x:c>
      <x:c r="R107" s="12" t="str">
        <x:f>IF(AND(L107=O107,M107=P107,N107=Q107),"PASA","NO_PASA")</x:f>
        <x:v>PASA</x:v>
      </x:c>
      <x:c r="S107" s="4" t="str">
        <x:v>El testigo pertenece a otro sujeto; no se recicla su dato.</x:v>
      </x:c>
      <x:c r="T107" s="12" t="str">
        <x:f>IFERROR(INDEX('55_Codificacion_ensayo'!$B$5:$B$13,MATCH(B107,'55_Codificacion_ensayo'!$A$5:$A$13,0)),"")</x:f>
        <x:v>HISTORIA-CAMBIO-COMPONENTE-0.1</x:v>
      </x:c>
      <x:c r="U107" s="12" t="str">
        <x:f>IFERROR(INDEX('55_Codificacion_ensayo'!$C$5:$C$13,MATCH(B107,'55_Codificacion_ensayo'!$A$5:$A$13,0)),"")</x:f>
        <x:v>HISTORIA_BINARIA</x:v>
      </x:c>
      <x:c r="V107" s="12" t="str">
        <x:f>IFERROR(INDEX('55_Codificacion_ensayo'!$D$5:$D$13,MATCH(B107,'55_Codificacion_ensayo'!$A$5:$A$13,0)),"")</x:f>
        <x:v>ORDEN_ACREDITADO</x:v>
      </x:c>
      <x:c r="W107" s="12" t="str">
        <x:f>IFERROR(INDEX('55_Codificacion_ensayo'!$E$5:$E$13,MATCH(B107,'55_Codificacion_ensayo'!$A$5:$A$13,0)),"")</x:f>
        <x:v>CAMBIO</x:v>
      </x:c>
      <x:c r="X107" s="12" t="str">
        <x:f>IFERROR(INDEX('55_Codificacion_ensayo'!$F$5:$F$13,MATCH(B107,'55_Codificacion_ensayo'!$A$5:$A$13,0)),"")</x:f>
        <x:v>CAMBIO</x:v>
      </x:c>
      <x:c r="Y107" s="12" t="str">
        <x:f>IFERROR(INDEX('55_Codificacion_ensayo'!$G$5:$G$13,MATCH(B107,'55_Codificacion_ensayo'!$A$5:$A$13,0)),"")</x:f>
      </x:c>
      <x:c r="Z107" s="12" t="str">
        <x:f>IFERROR(INDEX('55_Codificacion_ensayo'!$H$5:$H$13,MATCH(B107,'55_Codificacion_ensayo'!$A$5:$A$13,0)),"")</x:f>
        <x:v>NINGUNO</x:v>
      </x:c>
      <x:c r="AA107" s="12" t="str">
        <x:f>IFERROR(INDEX('55_Codificacion_ensayo'!$I$5:$I$13,MATCH(B107,'55_Codificacion_ensayo'!$A$5:$A$13,0)),"")</x:f>
        <x:v>CAMBIO_POSTERIOR</x:v>
      </x:c>
      <x:c r="AB107" s="12" t="str">
        <x:f>IFERROR(INDEX('55_Codificacion_ensayo'!$J$5:$J$13,MATCH(B107,'55_Codificacion_ensayo'!$A$5:$A$13,0)),"")</x:f>
        <x:v>SIN_CAMBIO_ACREDITADO</x:v>
      </x:c>
    </x:row>
    <x:row r="108" ht="47" customHeight="1">
      <x:c r="A108" s="4" t="str">
        <x:v>L10-09-07</x:v>
      </x:c>
      <x:c r="B108" s="4" t="str">
        <x:v>PAR-CYB-CAMBIO-COMPONENTE-POSTERIOR-001</x:v>
      </x:c>
      <x:c r="C108" s="4" t="str">
        <x:v>HISTORIA-CAMBIO-COMPONENTE-0.1</x:v>
      </x:c>
      <x:c r="D108" s="4" t="str">
        <x:v>COINCIDE</x:v>
      </x:c>
      <x:c r="E108" s="4" t="str">
        <x:v>LEGIBLE</x:v>
      </x:c>
      <x:c r="F108" s="4" t="str">
        <x:v>FUENTE_GENERAL</x:v>
      </x:c>
      <x:c r="G108" s="4" t="str">
        <x:v>UNICA</x:v>
      </x:c>
      <x:c r="H108" s="4" t="str">
        <x:v>CAMBIO</x:v>
      </x:c>
      <x:c r="I108" s="4" t="str"/>
      <x:c r="J108" s="4" t="str">
        <x:v>COMPLETA</x:v>
      </x:c>
      <x:c r="K108" s="4" t="str">
        <x:v>ORDEN_ACREDITADO</x:v>
      </x:c>
      <x:c r="L108" s="4" t="str">
        <x:v>VALIDA</x:v>
      </x:c>
      <x:c r="M108" s="4" t="str">
        <x:v>U</x:v>
      </x:c>
      <x:c r="N108" s="4" t="str">
        <x:v>OBSERVACION_INSUFICIENTE</x:v>
      </x:c>
      <x:c r="O108" s="12" t="str">
        <x:f>IF(Q108="SIN_EJECUCION_DOMINIO","FALLO_CAPTURA",IF(OR(Q108="CAPTURA_MAL_FORMADA",Q108="IDENTIDAD",Q108="OBSERVACION_MAL_FORMADA",Q108="LEXEMA_O_FORMA"),"NO_ADMISION",IF(OR(Q108="PERFIL_NO_CONSTITUIDO",Q108="RESULTADO_NO_TERMINAL"),"FUERA_PERFIL",IF(Q108="CONTEXTO_NO_CONSTITUIDO","CONFIGURACION_PENDIENTE","VALIDA"))))</x:f>
        <x:v>VALIDA</x:v>
      </x:c>
      <x:c r="P108" s="12" t="str">
        <x:f>IF(O108&lt;&gt;"VALIDA","",IF(Q108=AA108,"1",IF(Q108=AB108,"0","U")))</x:f>
        <x:v>U</x:v>
      </x:c>
      <x:c r="Q108" s="12" t="str">
        <x:f>IF(E108="FALLO","SIN_EJECUCION_DOMINIO",IF(E108&lt;&gt;"LEGIBLE","CAPTURA_MAL_FORMADA",IF(D108&lt;&gt;"COINCIDE","IDENTIDAD",IF(OR(T108="",C108&lt;&gt;T108),"PERFIL_NO_CONSTITUIDO",IF(K108&lt;&gt;V108,IF(V108="ORDEN_ACREDITADO","ORDEN_NO_ACREDITADO","CONTEXTO_NO_CONSTITUIDO"),IF(AND(G108="AUSENTE",H108="",I108=""),"DATO_AUSENTE",IF(AND(G108="CONFLICTO",H108="",I108=""),"CONFLICTO_OBSERVACIONAL",IF(G108&lt;&gt;"UNICA","OBSERVACION_MAL_FORMADA",IF(F108&lt;&gt;U108,"OBSERVACION_INSUFICIENTE",IF(W108="RESULTADO",IF(H108=X108,AA108,IF(OR(H108="orcSucceededWithErrors",H108="orcFailed",H108="orcAborted"),AB108,IF(OR(H108="orcNotStarted",H108="orcInProgress"),"RESULTADO_NO_TERMINAL","LEXEMA_O_FORMA"))),IF(W108="EVENTO_BOOT",IF(H108=X108,AA108,IF(OR(H108="NINGUNO",H108="SOLO_HIBRIDO"),IF(J108="COMPLETA",AB108,"COBERTURA_INSUFICIENTE"),"LEXEMA_O_FORMA")),IF(W108="REQUISITO_SOFT",IF(H108=X108,AA108,IF(H108=Z108,AB108,"LEXEMA_O_FORMA")),IF(W108="EVENTO_PROC",IF(H108=X108,AA108,IF(H108=Z108,IF(J108="COMPLETA",AB108,"COBERTURA_INSUFICIENTE"),"LEXEMA_O_FORMA")),IF(W108="IMAGEN",IF(AND(AND(ISTEXT(H108),LEN(("x"&amp;H108))=65,EXACT(("x"&amp;H108),LOWER(("x"&amp;H108))),ISERROR(SEARCH(" ",("x"&amp;H108))),ISERROR(SEARCH(CHAR(9),("x"&amp;H108))),ISERROR(SEARCH(CHAR(10),("x"&amp;H108))),ISERROR(SEARCH(CHAR(13),("x"&amp;H108))),IFERROR(HEX2DEC(MID(("x"&amp;H108),2,8))&gt;=0,FALSE),IFERROR(HEX2DEC(MID(("x"&amp;H108),10,8))&gt;=0,FALSE),IFERROR(HEX2DEC(MID(("x"&amp;H108),18,8))&gt;=0,FALSE),IFERROR(HEX2DEC(MID(("x"&amp;H108),26,8))&gt;=0,FALSE),IFERROR(HEX2DEC(MID(("x"&amp;H108),34,8))&gt;=0,FALSE),IFERROR(HEX2DEC(MID(("x"&amp;H108),42,8))&gt;=0,FALSE),IFERROR(HEX2DEC(MID(("x"&amp;H108),50,8))&gt;=0,FALSE),IFERROR(HEX2DEC(MID(("x"&amp;H108),58,8))&gt;=0,FALSE)),AND(ISTEXT(I108),LEN(("x"&amp;I108))=65,EXACT(("x"&amp;I108),LOWER(("x"&amp;I108))),ISERROR(SEARCH(" ",("x"&amp;I108))),ISERROR(SEARCH(CHAR(9),("x"&amp;I108))),ISERROR(SEARCH(CHAR(10),("x"&amp;I108))),ISERROR(SEARCH(CHAR(13),("x"&amp;I108))),IFERROR(HEX2DEC(MID(("x"&amp;I108),2,8))&gt;=0,FALSE),IFERROR(HEX2DEC(MID(("x"&amp;I108),10,8))&gt;=0,FALSE),IFERROR(HEX2DEC(MID(("x"&amp;I108),18,8))&gt;=0,FALSE),IFERROR(HEX2DEC(MID(("x"&amp;I108),26,8))&gt;=0,FALSE),IFERROR(HEX2DEC(MID(("x"&amp;I108),34,8))&gt;=0,FALSE),IFERROR(HEX2DEC(MID(("x"&amp;I108),42,8))&gt;=0,FALSE),IFERROR(HEX2DEC(MID(("x"&amp;I108),50,8))&gt;=0,FALSE),IFERROR(HEX2DEC(MID(("x"&amp;I108),58,8))&gt;=0,FALSE))),IF(EXACT("x"&amp;H108,"x"&amp;I108),AA108,AB108),"LEXEMA_O_FORMA"),IF(W108="PRUEBA",IF(H108=X108,AA108,IF(H108=Z108,AB108,"LEXEMA_O_FORMA")),IF(W108="RETIRADA",IF(AND(H108="NINGUNO",I108=""),IF(J108="COMPLETA",AB108,"COBERTURA_INSUFICIENTE"),IF(AND(OR(H108="uoInstallation",H108="uoUninstallation"),OR(I108="orcSucceeded",I108="orcSucceededWithErrors",I108="orcFailed",I108="orcAborted",I108="orcInProgress",I108="orcNotStarted")),IF(AND(H108=X108,I108=Y108),AA108,IF(AND(H108=X108,OR(I108="orcSucceededWithErrors",I108="orcInProgress",I108="orcNotStarted")),"RESULTADO_RETIRADA_INCIERTO",IF(J108="COMPLETA",AB108,"COBERTURA_INSUFICIENTE"))),"LEXEMA_O_FORMA")),IF(W108="CAMBIO",IF(OR(H108="CAMBIO",H108="CAMBIO_Y_RETORNO"),AA108,IF(OR(H108="NINGUNO",H108="SOLO_RENOMBRE"),IF(J108="COMPLETA",AB108,"COBERTURA_INSUFICIENTE"),"LEXEMA_O_FORMA")),IF(W108="RESTAURACION",IF(H108=X108,AA108,IF(OR(H108="NINGUNO",H108="RESTAURACION_POSTERIOR",H108="RESTAURACION_FALLIDA"),IF(J108="COMPLETA",AB108,"COBERTURA_INSUFICIENTE"),"LEXEMA_O_FORMA")),"PERFIL_NO_CONSTITUIDO"))))))))))))))))))</x:f>
        <x:v>OBSERVACION_INSUFICIENTE</x:v>
      </x:c>
      <x:c r="R108" s="12" t="str">
        <x:f>IF(AND(L108=O108,M108=P108,N108=Q108),"PASA","NO_PASA")</x:f>
        <x:v>PASA</x:v>
      </x:c>
      <x:c r="S108" s="4" t="str">
        <x:v>Una fuente del dominio no sustituye la observación específica del episodio.</x:v>
      </x:c>
      <x:c r="T108" s="12" t="str">
        <x:f>IFERROR(INDEX('55_Codificacion_ensayo'!$B$5:$B$13,MATCH(B108,'55_Codificacion_ensayo'!$A$5:$A$13,0)),"")</x:f>
        <x:v>HISTORIA-CAMBIO-COMPONENTE-0.1</x:v>
      </x:c>
      <x:c r="U108" s="12" t="str">
        <x:f>IFERROR(INDEX('55_Codificacion_ensayo'!$C$5:$C$13,MATCH(B108,'55_Codificacion_ensayo'!$A$5:$A$13,0)),"")</x:f>
        <x:v>HISTORIA_BINARIA</x:v>
      </x:c>
      <x:c r="V108" s="12" t="str">
        <x:f>IFERROR(INDEX('55_Codificacion_ensayo'!$D$5:$D$13,MATCH(B108,'55_Codificacion_ensayo'!$A$5:$A$13,0)),"")</x:f>
        <x:v>ORDEN_ACREDITADO</x:v>
      </x:c>
      <x:c r="W108" s="12" t="str">
        <x:f>IFERROR(INDEX('55_Codificacion_ensayo'!$E$5:$E$13,MATCH(B108,'55_Codificacion_ensayo'!$A$5:$A$13,0)),"")</x:f>
        <x:v>CAMBIO</x:v>
      </x:c>
      <x:c r="X108" s="12" t="str">
        <x:f>IFERROR(INDEX('55_Codificacion_ensayo'!$F$5:$F$13,MATCH(B108,'55_Codificacion_ensayo'!$A$5:$A$13,0)),"")</x:f>
        <x:v>CAMBIO</x:v>
      </x:c>
      <x:c r="Y108" s="12" t="str">
        <x:f>IFERROR(INDEX('55_Codificacion_ensayo'!$G$5:$G$13,MATCH(B108,'55_Codificacion_ensayo'!$A$5:$A$13,0)),"")</x:f>
      </x:c>
      <x:c r="Z108" s="12" t="str">
        <x:f>IFERROR(INDEX('55_Codificacion_ensayo'!$H$5:$H$13,MATCH(B108,'55_Codificacion_ensayo'!$A$5:$A$13,0)),"")</x:f>
        <x:v>NINGUNO</x:v>
      </x:c>
      <x:c r="AA108" s="12" t="str">
        <x:f>IFERROR(INDEX('55_Codificacion_ensayo'!$I$5:$I$13,MATCH(B108,'55_Codificacion_ensayo'!$A$5:$A$13,0)),"")</x:f>
        <x:v>CAMBIO_POSTERIOR</x:v>
      </x:c>
      <x:c r="AB108" s="12" t="str">
        <x:f>IFERROR(INDEX('55_Codificacion_ensayo'!$J$5:$J$13,MATCH(B108,'55_Codificacion_ensayo'!$A$5:$A$13,0)),"")</x:f>
        <x:v>SIN_CAMBIO_ACREDITADO</x:v>
      </x:c>
    </x:row>
    <x:row r="109" ht="47" customHeight="1">
      <x:c r="A109" s="4" t="str">
        <x:v>L10-09-08</x:v>
      </x:c>
      <x:c r="B109" s="4" t="str">
        <x:v>PAR-CYB-CAMBIO-COMPONENTE-POSTERIOR-001</x:v>
      </x:c>
      <x:c r="C109" s="4" t="str">
        <x:v>OTRO_PERFIL</x:v>
      </x:c>
      <x:c r="D109" s="4" t="str">
        <x:v>COINCIDE</x:v>
      </x:c>
      <x:c r="E109" s="4" t="str">
        <x:v>LEGIBLE</x:v>
      </x:c>
      <x:c r="F109" s="4" t="str">
        <x:v>HISTORIA_BINARIA</x:v>
      </x:c>
      <x:c r="G109" s="4" t="str">
        <x:v>UNICA</x:v>
      </x:c>
      <x:c r="H109" s="4" t="str">
        <x:v>CAMBIO</x:v>
      </x:c>
      <x:c r="I109" s="4" t="str"/>
      <x:c r="J109" s="4" t="str">
        <x:v>COMPLETA</x:v>
      </x:c>
      <x:c r="K109" s="4" t="str">
        <x:v>ORDEN_ACREDITADO</x:v>
      </x:c>
      <x:c r="L109" s="4" t="str">
        <x:v>FUERA_PERFIL</x:v>
      </x:c>
      <x:c r="M109" s="4" t="str"/>
      <x:c r="N109" s="4" t="str">
        <x:v>PERFIL_NO_CONSTITUIDO</x:v>
      </x:c>
      <x:c r="O109" s="12" t="str">
        <x:f>IF(Q109="SIN_EJECUCION_DOMINIO","FALLO_CAPTURA",IF(OR(Q109="CAPTURA_MAL_FORMADA",Q109="IDENTIDAD",Q109="OBSERVACION_MAL_FORMADA",Q109="LEXEMA_O_FORMA"),"NO_ADMISION",IF(OR(Q109="PERFIL_NO_CONSTITUIDO",Q109="RESULTADO_NO_TERMINAL"),"FUERA_PERFIL",IF(Q109="CONTEXTO_NO_CONSTITUIDO","CONFIGURACION_PENDIENTE","VALIDA"))))</x:f>
        <x:v>FUERA_PERFIL</x:v>
      </x:c>
      <x:c r="P109" s="12" t="str">
        <x:f>IF(O109&lt;&gt;"VALIDA","",IF(Q109=AA109,"1",IF(Q109=AB109,"0","U")))</x:f>
      </x:c>
      <x:c r="Q109" s="12" t="str">
        <x:f>IF(E109="FALLO","SIN_EJECUCION_DOMINIO",IF(E109&lt;&gt;"LEGIBLE","CAPTURA_MAL_FORMADA",IF(D109&lt;&gt;"COINCIDE","IDENTIDAD",IF(OR(T109="",C109&lt;&gt;T109),"PERFIL_NO_CONSTITUIDO",IF(K109&lt;&gt;V109,IF(V109="ORDEN_ACREDITADO","ORDEN_NO_ACREDITADO","CONTEXTO_NO_CONSTITUIDO"),IF(AND(G109="AUSENTE",H109="",I109=""),"DATO_AUSENTE",IF(AND(G109="CONFLICTO",H109="",I109=""),"CONFLICTO_OBSERVACIONAL",IF(G109&lt;&gt;"UNICA","OBSERVACION_MAL_FORMADA",IF(F109&lt;&gt;U109,"OBSERVACION_INSUFICIENTE",IF(W109="RESULTADO",IF(H109=X109,AA109,IF(OR(H109="orcSucceededWithErrors",H109="orcFailed",H109="orcAborted"),AB109,IF(OR(H109="orcNotStarted",H109="orcInProgress"),"RESULTADO_NO_TERMINAL","LEXEMA_O_FORMA"))),IF(W109="EVENTO_BOOT",IF(H109=X109,AA109,IF(OR(H109="NINGUNO",H109="SOLO_HIBRIDO"),IF(J109="COMPLETA",AB109,"COBERTURA_INSUFICIENTE"),"LEXEMA_O_FORMA")),IF(W109="REQUISITO_SOFT",IF(H109=X109,AA109,IF(H109=Z109,AB109,"LEXEMA_O_FORMA")),IF(W109="EVENTO_PROC",IF(H109=X109,AA109,IF(H109=Z109,IF(J109="COMPLETA",AB109,"COBERTURA_INSUFICIENTE"),"LEXEMA_O_FORMA")),IF(W109="IMAGEN",IF(AND(AND(ISTEXT(H109),LEN(("x"&amp;H109))=65,EXACT(("x"&amp;H109),LOWER(("x"&amp;H109))),ISERROR(SEARCH(" ",("x"&amp;H109))),ISERROR(SEARCH(CHAR(9),("x"&amp;H109))),ISERROR(SEARCH(CHAR(10),("x"&amp;H109))),ISERROR(SEARCH(CHAR(13),("x"&amp;H109))),IFERROR(HEX2DEC(MID(("x"&amp;H109),2,8))&gt;=0,FALSE),IFERROR(HEX2DEC(MID(("x"&amp;H109),10,8))&gt;=0,FALSE),IFERROR(HEX2DEC(MID(("x"&amp;H109),18,8))&gt;=0,FALSE),IFERROR(HEX2DEC(MID(("x"&amp;H109),26,8))&gt;=0,FALSE),IFERROR(HEX2DEC(MID(("x"&amp;H109),34,8))&gt;=0,FALSE),IFERROR(HEX2DEC(MID(("x"&amp;H109),42,8))&gt;=0,FALSE),IFERROR(HEX2DEC(MID(("x"&amp;H109),50,8))&gt;=0,FALSE),IFERROR(HEX2DEC(MID(("x"&amp;H109),58,8))&gt;=0,FALSE)),AND(ISTEXT(I109),LEN(("x"&amp;I109))=65,EXACT(("x"&amp;I109),LOWER(("x"&amp;I109))),ISERROR(SEARCH(" ",("x"&amp;I109))),ISERROR(SEARCH(CHAR(9),("x"&amp;I109))),ISERROR(SEARCH(CHAR(10),("x"&amp;I109))),ISERROR(SEARCH(CHAR(13),("x"&amp;I109))),IFERROR(HEX2DEC(MID(("x"&amp;I109),2,8))&gt;=0,FALSE),IFERROR(HEX2DEC(MID(("x"&amp;I109),10,8))&gt;=0,FALSE),IFERROR(HEX2DEC(MID(("x"&amp;I109),18,8))&gt;=0,FALSE),IFERROR(HEX2DEC(MID(("x"&amp;I109),26,8))&gt;=0,FALSE),IFERROR(HEX2DEC(MID(("x"&amp;I109),34,8))&gt;=0,FALSE),IFERROR(HEX2DEC(MID(("x"&amp;I109),42,8))&gt;=0,FALSE),IFERROR(HEX2DEC(MID(("x"&amp;I109),50,8))&gt;=0,FALSE),IFERROR(HEX2DEC(MID(("x"&amp;I109),58,8))&gt;=0,FALSE))),IF(EXACT("x"&amp;H109,"x"&amp;I109),AA109,AB109),"LEXEMA_O_FORMA"),IF(W109="PRUEBA",IF(H109=X109,AA109,IF(H109=Z109,AB109,"LEXEMA_O_FORMA")),IF(W109="RETIRADA",IF(AND(H109="NINGUNO",I109=""),IF(J109="COMPLETA",AB109,"COBERTURA_INSUFICIENTE"),IF(AND(OR(H109="uoInstallation",H109="uoUninstallation"),OR(I109="orcSucceeded",I109="orcSucceededWithErrors",I109="orcFailed",I109="orcAborted",I109="orcInProgress",I109="orcNotStarted")),IF(AND(H109=X109,I109=Y109),AA109,IF(AND(H109=X109,OR(I109="orcSucceededWithErrors",I109="orcInProgress",I109="orcNotStarted")),"RESULTADO_RETIRADA_INCIERTO",IF(J109="COMPLETA",AB109,"COBERTURA_INSUFICIENTE"))),"LEXEMA_O_FORMA")),IF(W109="CAMBIO",IF(OR(H109="CAMBIO",H109="CAMBIO_Y_RETORNO"),AA109,IF(OR(H109="NINGUNO",H109="SOLO_RENOMBRE"),IF(J109="COMPLETA",AB109,"COBERTURA_INSUFICIENTE"),"LEXEMA_O_FORMA")),IF(W109="RESTAURACION",IF(H109=X109,AA109,IF(OR(H109="NINGUNO",H109="RESTAURACION_POSTERIOR",H109="RESTAURACION_FALLIDA"),IF(J109="COMPLETA",AB109,"COBERTURA_INSUFICIENTE"),"LEXEMA_O_FORMA")),"PERFIL_NO_CONSTITUIDO"))))))))))))))))))</x:f>
        <x:v>PERFIL_NO_CONSTITUIDO</x:v>
      </x:c>
      <x:c r="R109" s="12" t="str">
        <x:f>IF(AND(L109=O109,M109=P109,N109=Q109),"PASA","NO_PASA")</x:f>
        <x:v>PASA</x:v>
      </x:c>
      <x:c r="S109" s="4" t="str">
        <x:v>Perfil de otro producto no se normaliza por analogía.</x:v>
      </x:c>
      <x:c r="T109" s="12" t="str">
        <x:f>IFERROR(INDEX('55_Codificacion_ensayo'!$B$5:$B$13,MATCH(B109,'55_Codificacion_ensayo'!$A$5:$A$13,0)),"")</x:f>
        <x:v>HISTORIA-CAMBIO-COMPONENTE-0.1</x:v>
      </x:c>
      <x:c r="U109" s="12" t="str">
        <x:f>IFERROR(INDEX('55_Codificacion_ensayo'!$C$5:$C$13,MATCH(B109,'55_Codificacion_ensayo'!$A$5:$A$13,0)),"")</x:f>
        <x:v>HISTORIA_BINARIA</x:v>
      </x:c>
      <x:c r="V109" s="12" t="str">
        <x:f>IFERROR(INDEX('55_Codificacion_ensayo'!$D$5:$D$13,MATCH(B109,'55_Codificacion_ensayo'!$A$5:$A$13,0)),"")</x:f>
        <x:v>ORDEN_ACREDITADO</x:v>
      </x:c>
      <x:c r="W109" s="12" t="str">
        <x:f>IFERROR(INDEX('55_Codificacion_ensayo'!$E$5:$E$13,MATCH(B109,'55_Codificacion_ensayo'!$A$5:$A$13,0)),"")</x:f>
        <x:v>CAMBIO</x:v>
      </x:c>
      <x:c r="X109" s="12" t="str">
        <x:f>IFERROR(INDEX('55_Codificacion_ensayo'!$F$5:$F$13,MATCH(B109,'55_Codificacion_ensayo'!$A$5:$A$13,0)),"")</x:f>
        <x:v>CAMBIO</x:v>
      </x:c>
      <x:c r="Y109" s="12" t="str">
        <x:f>IFERROR(INDEX('55_Codificacion_ensayo'!$G$5:$G$13,MATCH(B109,'55_Codificacion_ensayo'!$A$5:$A$13,0)),"")</x:f>
      </x:c>
      <x:c r="Z109" s="12" t="str">
        <x:f>IFERROR(INDEX('55_Codificacion_ensayo'!$H$5:$H$13,MATCH(B109,'55_Codificacion_ensayo'!$A$5:$A$13,0)),"")</x:f>
        <x:v>NINGUNO</x:v>
      </x:c>
      <x:c r="AA109" s="12" t="str">
        <x:f>IFERROR(INDEX('55_Codificacion_ensayo'!$I$5:$I$13,MATCH(B109,'55_Codificacion_ensayo'!$A$5:$A$13,0)),"")</x:f>
        <x:v>CAMBIO_POSTERIOR</x:v>
      </x:c>
      <x:c r="AB109" s="12" t="str">
        <x:f>IFERROR(INDEX('55_Codificacion_ensayo'!$J$5:$J$13,MATCH(B109,'55_Codificacion_ensayo'!$A$5:$A$13,0)),"")</x:f>
        <x:v>SIN_CAMBIO_ACREDITADO</x:v>
      </x:c>
    </x:row>
    <x:row r="110" ht="47" customHeight="1">
      <x:c r="A110" s="4" t="str">
        <x:v>L10-09-09</x:v>
      </x:c>
      <x:c r="B110" s="4" t="str">
        <x:v>PAR-CYB-CAMBIO-COMPONENTE-POSTERIOR-001</x:v>
      </x:c>
      <x:c r="C110" s="4" t="str">
        <x:v>HISTORIA-CAMBIO-COMPONENTE-0.1</x:v>
      </x:c>
      <x:c r="D110" s="4" t="str">
        <x:v>COINCIDE</x:v>
      </x:c>
      <x:c r="E110" s="4" t="str">
        <x:v>LEGIBLE</x:v>
      </x:c>
      <x:c r="F110" s="4" t="str">
        <x:v>HISTORIA_BINARIA</x:v>
      </x:c>
      <x:c r="G110" s="4" t="str">
        <x:v>UNICA</x:v>
      </x:c>
      <x:c r="H110" s="4" t="str">
        <x:v>true false desconocido</x:v>
      </x:c>
      <x:c r="I110" s="4" t="str"/>
      <x:c r="J110" s="4" t="str">
        <x:v>COMPLETA</x:v>
      </x:c>
      <x:c r="K110" s="4" t="str">
        <x:v>ORDEN_ACREDITADO</x:v>
      </x:c>
      <x:c r="L110" s="4" t="str">
        <x:v>NO_ADMISION</x:v>
      </x:c>
      <x:c r="M110" s="4" t="str"/>
      <x:c r="N110" s="4" t="str">
        <x:v>LEXEMA_O_FORMA</x:v>
      </x:c>
      <x:c r="O110" s="12" t="str">
        <x:f>IF(Q110="SIN_EJECUCION_DOMINIO","FALLO_CAPTURA",IF(OR(Q110="CAPTURA_MAL_FORMADA",Q110="IDENTIDAD",Q110="OBSERVACION_MAL_FORMADA",Q110="LEXEMA_O_FORMA"),"NO_ADMISION",IF(OR(Q110="PERFIL_NO_CONSTITUIDO",Q110="RESULTADO_NO_TERMINAL"),"FUERA_PERFIL",IF(Q110="CONTEXTO_NO_CONSTITUIDO","CONFIGURACION_PENDIENTE","VALIDA"))))</x:f>
        <x:v>NO_ADMISION</x:v>
      </x:c>
      <x:c r="P110" s="12" t="str">
        <x:f>IF(O110&lt;&gt;"VALIDA","",IF(Q110=AA110,"1",IF(Q110=AB110,"0","U")))</x:f>
      </x:c>
      <x:c r="Q110" s="12" t="str">
        <x:f>IF(E110="FALLO","SIN_EJECUCION_DOMINIO",IF(E110&lt;&gt;"LEGIBLE","CAPTURA_MAL_FORMADA",IF(D110&lt;&gt;"COINCIDE","IDENTIDAD",IF(OR(T110="",C110&lt;&gt;T110),"PERFIL_NO_CONSTITUIDO",IF(K110&lt;&gt;V110,IF(V110="ORDEN_ACREDITADO","ORDEN_NO_ACREDITADO","CONTEXTO_NO_CONSTITUIDO"),IF(AND(G110="AUSENTE",H110="",I110=""),"DATO_AUSENTE",IF(AND(G110="CONFLICTO",H110="",I110=""),"CONFLICTO_OBSERVACIONAL",IF(G110&lt;&gt;"UNICA","OBSERVACION_MAL_FORMADA",IF(F110&lt;&gt;U110,"OBSERVACION_INSUFICIENTE",IF(W110="RESULTADO",IF(H110=X110,AA110,IF(OR(H110="orcSucceededWithErrors",H110="orcFailed",H110="orcAborted"),AB110,IF(OR(H110="orcNotStarted",H110="orcInProgress"),"RESULTADO_NO_TERMINAL","LEXEMA_O_FORMA"))),IF(W110="EVENTO_BOOT",IF(H110=X110,AA110,IF(OR(H110="NINGUNO",H110="SOLO_HIBRIDO"),IF(J110="COMPLETA",AB110,"COBERTURA_INSUFICIENTE"),"LEXEMA_O_FORMA")),IF(W110="REQUISITO_SOFT",IF(H110=X110,AA110,IF(H110=Z110,AB110,"LEXEMA_O_FORMA")),IF(W110="EVENTO_PROC",IF(H110=X110,AA110,IF(H110=Z110,IF(J110="COMPLETA",AB110,"COBERTURA_INSUFICIENTE"),"LEXEMA_O_FORMA")),IF(W110="IMAGEN",IF(AND(AND(ISTEXT(H110),LEN(("x"&amp;H110))=65,EXACT(("x"&amp;H110),LOWER(("x"&amp;H110))),ISERROR(SEARCH(" ",("x"&amp;H110))),ISERROR(SEARCH(CHAR(9),("x"&amp;H110))),ISERROR(SEARCH(CHAR(10),("x"&amp;H110))),ISERROR(SEARCH(CHAR(13),("x"&amp;H110))),IFERROR(HEX2DEC(MID(("x"&amp;H110),2,8))&gt;=0,FALSE),IFERROR(HEX2DEC(MID(("x"&amp;H110),10,8))&gt;=0,FALSE),IFERROR(HEX2DEC(MID(("x"&amp;H110),18,8))&gt;=0,FALSE),IFERROR(HEX2DEC(MID(("x"&amp;H110),26,8))&gt;=0,FALSE),IFERROR(HEX2DEC(MID(("x"&amp;H110),34,8))&gt;=0,FALSE),IFERROR(HEX2DEC(MID(("x"&amp;H110),42,8))&gt;=0,FALSE),IFERROR(HEX2DEC(MID(("x"&amp;H110),50,8))&gt;=0,FALSE),IFERROR(HEX2DEC(MID(("x"&amp;H110),58,8))&gt;=0,FALSE)),AND(ISTEXT(I110),LEN(("x"&amp;I110))=65,EXACT(("x"&amp;I110),LOWER(("x"&amp;I110))),ISERROR(SEARCH(" ",("x"&amp;I110))),ISERROR(SEARCH(CHAR(9),("x"&amp;I110))),ISERROR(SEARCH(CHAR(10),("x"&amp;I110))),ISERROR(SEARCH(CHAR(13),("x"&amp;I110))),IFERROR(HEX2DEC(MID(("x"&amp;I110),2,8))&gt;=0,FALSE),IFERROR(HEX2DEC(MID(("x"&amp;I110),10,8))&gt;=0,FALSE),IFERROR(HEX2DEC(MID(("x"&amp;I110),18,8))&gt;=0,FALSE),IFERROR(HEX2DEC(MID(("x"&amp;I110),26,8))&gt;=0,FALSE),IFERROR(HEX2DEC(MID(("x"&amp;I110),34,8))&gt;=0,FALSE),IFERROR(HEX2DEC(MID(("x"&amp;I110),42,8))&gt;=0,FALSE),IFERROR(HEX2DEC(MID(("x"&amp;I110),50,8))&gt;=0,FALSE),IFERROR(HEX2DEC(MID(("x"&amp;I110),58,8))&gt;=0,FALSE))),IF(EXACT("x"&amp;H110,"x"&amp;I110),AA110,AB110),"LEXEMA_O_FORMA"),IF(W110="PRUEBA",IF(H110=X110,AA110,IF(H110=Z110,AB110,"LEXEMA_O_FORMA")),IF(W110="RETIRADA",IF(AND(H110="NINGUNO",I110=""),IF(J110="COMPLETA",AB110,"COBERTURA_INSUFICIENTE"),IF(AND(OR(H110="uoInstallation",H110="uoUninstallation"),OR(I110="orcSucceeded",I110="orcSucceededWithErrors",I110="orcFailed",I110="orcAborted",I110="orcInProgress",I110="orcNotStarted")),IF(AND(H110=X110,I110=Y110),AA110,IF(AND(H110=X110,OR(I110="orcSucceededWithErrors",I110="orcInProgress",I110="orcNotStarted")),"RESULTADO_RETIRADA_INCIERTO",IF(J110="COMPLETA",AB110,"COBERTURA_INSUFICIENTE"))),"LEXEMA_O_FORMA")),IF(W110="CAMBIO",IF(OR(H110="CAMBIO",H110="CAMBIO_Y_RETORNO"),AA110,IF(OR(H110="NINGUNO",H110="SOLO_RENOMBRE"),IF(J110="COMPLETA",AB110,"COBERTURA_INSUFICIENTE"),"LEXEMA_O_FORMA")),IF(W110="RESTAURACION",IF(H110=X110,AA110,IF(OR(H110="NINGUNO",H110="RESTAURACION_POSTERIOR",H110="RESTAURACION_FALLIDA"),IF(J110="COMPLETA",AB110,"COBERTURA_INSUFICIENTE"),"LEXEMA_O_FORMA")),"PERFIL_NO_CONSTITUIDO"))))))))))))))))))</x:f>
        <x:v>LEXEMA_O_FORMA</x:v>
      </x:c>
      <x:c r="R110" s="12" t="str">
        <x:f>IF(AND(L110=O110,M110=P110,N110=Q110),"PASA","NO_PASA")</x:f>
        <x:v>PASA</x:v>
      </x:c>
      <x:c r="S110" s="4" t="str">
        <x:v>La observación usa un lexema ajeno al contrato.</x:v>
      </x:c>
      <x:c r="T110" s="12" t="str">
        <x:f>IFERROR(INDEX('55_Codificacion_ensayo'!$B$5:$B$13,MATCH(B110,'55_Codificacion_ensayo'!$A$5:$A$13,0)),"")</x:f>
        <x:v>HISTORIA-CAMBIO-COMPONENTE-0.1</x:v>
      </x:c>
      <x:c r="U110" s="12" t="str">
        <x:f>IFERROR(INDEX('55_Codificacion_ensayo'!$C$5:$C$13,MATCH(B110,'55_Codificacion_ensayo'!$A$5:$A$13,0)),"")</x:f>
        <x:v>HISTORIA_BINARIA</x:v>
      </x:c>
      <x:c r="V110" s="12" t="str">
        <x:f>IFERROR(INDEX('55_Codificacion_ensayo'!$D$5:$D$13,MATCH(B110,'55_Codificacion_ensayo'!$A$5:$A$13,0)),"")</x:f>
        <x:v>ORDEN_ACREDITADO</x:v>
      </x:c>
      <x:c r="W110" s="12" t="str">
        <x:f>IFERROR(INDEX('55_Codificacion_ensayo'!$E$5:$E$13,MATCH(B110,'55_Codificacion_ensayo'!$A$5:$A$13,0)),"")</x:f>
        <x:v>CAMBIO</x:v>
      </x:c>
      <x:c r="X110" s="12" t="str">
        <x:f>IFERROR(INDEX('55_Codificacion_ensayo'!$F$5:$F$13,MATCH(B110,'55_Codificacion_ensayo'!$A$5:$A$13,0)),"")</x:f>
        <x:v>CAMBIO</x:v>
      </x:c>
      <x:c r="Y110" s="12" t="str">
        <x:f>IFERROR(INDEX('55_Codificacion_ensayo'!$G$5:$G$13,MATCH(B110,'55_Codificacion_ensayo'!$A$5:$A$13,0)),"")</x:f>
      </x:c>
      <x:c r="Z110" s="12" t="str">
        <x:f>IFERROR(INDEX('55_Codificacion_ensayo'!$H$5:$H$13,MATCH(B110,'55_Codificacion_ensayo'!$A$5:$A$13,0)),"")</x:f>
        <x:v>NINGUNO</x:v>
      </x:c>
      <x:c r="AA110" s="12" t="str">
        <x:f>IFERROR(INDEX('55_Codificacion_ensayo'!$I$5:$I$13,MATCH(B110,'55_Codificacion_ensayo'!$A$5:$A$13,0)),"")</x:f>
        <x:v>CAMBIO_POSTERIOR</x:v>
      </x:c>
      <x:c r="AB110" s="12" t="str">
        <x:f>IFERROR(INDEX('55_Codificacion_ensayo'!$J$5:$J$13,MATCH(B110,'55_Codificacion_ensayo'!$A$5:$A$13,0)),"")</x:f>
        <x:v>SIN_CAMBIO_ACREDITADO</x:v>
      </x:c>
    </x:row>
    <x:row r="111" ht="47" customHeight="1">
      <x:c r="A111" s="4" t="str">
        <x:v>L10-09-10</x:v>
      </x:c>
      <x:c r="B111" s="4" t="str">
        <x:v>PAR-CYB-CAMBIO-COMPONENTE-POSTERIOR-001</x:v>
      </x:c>
      <x:c r="C111" s="4" t="str">
        <x:v>HISTORIA-CAMBIO-COMPONENTE-0.1</x:v>
      </x:c>
      <x:c r="D111" s="4" t="str">
        <x:v>COINCIDE</x:v>
      </x:c>
      <x:c r="E111" s="4" t="str">
        <x:v>LEGIBLE</x:v>
      </x:c>
      <x:c r="F111" s="4" t="str">
        <x:v>HISTORIA_BINARIA</x:v>
      </x:c>
      <x:c r="G111" s="4" t="str">
        <x:v>UNICA</x:v>
      </x:c>
      <x:c r="H111" s="4" t="str">
        <x:v>NINGUNO</x:v>
      </x:c>
      <x:c r="I111" s="4" t="str"/>
      <x:c r="J111" s="4" t="str">
        <x:v>PARCIAL</x:v>
      </x:c>
      <x:c r="K111" s="4" t="str">
        <x:v>ORDEN_ACREDITADO</x:v>
      </x:c>
      <x:c r="L111" s="4" t="str">
        <x:v>VALIDA</x:v>
      </x:c>
      <x:c r="M111" s="4" t="str">
        <x:v>U</x:v>
      </x:c>
      <x:c r="N111" s="4" t="str">
        <x:v>COBERTURA_INSUFICIENTE</x:v>
      </x:c>
      <x:c r="O111" s="12" t="str">
        <x:f>IF(Q111="SIN_EJECUCION_DOMINIO","FALLO_CAPTURA",IF(OR(Q111="CAPTURA_MAL_FORMADA",Q111="IDENTIDAD",Q111="OBSERVACION_MAL_FORMADA",Q111="LEXEMA_O_FORMA"),"NO_ADMISION",IF(OR(Q111="PERFIL_NO_CONSTITUIDO",Q111="RESULTADO_NO_TERMINAL"),"FUERA_PERFIL",IF(Q111="CONTEXTO_NO_CONSTITUIDO","CONFIGURACION_PENDIENTE","VALIDA"))))</x:f>
        <x:v>VALIDA</x:v>
      </x:c>
      <x:c r="P111" s="12" t="str">
        <x:f>IF(O111&lt;&gt;"VALIDA","",IF(Q111=AA111,"1",IF(Q111=AB111,"0","U")))</x:f>
        <x:v>U</x:v>
      </x:c>
      <x:c r="Q111" s="12" t="str">
        <x:f>IF(E111="FALLO","SIN_EJECUCION_DOMINIO",IF(E111&lt;&gt;"LEGIBLE","CAPTURA_MAL_FORMADA",IF(D111&lt;&gt;"COINCIDE","IDENTIDAD",IF(OR(T111="",C111&lt;&gt;T111),"PERFIL_NO_CONSTITUIDO",IF(K111&lt;&gt;V111,IF(V111="ORDEN_ACREDITADO","ORDEN_NO_ACREDITADO","CONTEXTO_NO_CONSTITUIDO"),IF(AND(G111="AUSENTE",H111="",I111=""),"DATO_AUSENTE",IF(AND(G111="CONFLICTO",H111="",I111=""),"CONFLICTO_OBSERVACIONAL",IF(G111&lt;&gt;"UNICA","OBSERVACION_MAL_FORMADA",IF(F111&lt;&gt;U111,"OBSERVACION_INSUFICIENTE",IF(W111="RESULTADO",IF(H111=X111,AA111,IF(OR(H111="orcSucceededWithErrors",H111="orcFailed",H111="orcAborted"),AB111,IF(OR(H111="orcNotStarted",H111="orcInProgress"),"RESULTADO_NO_TERMINAL","LEXEMA_O_FORMA"))),IF(W111="EVENTO_BOOT",IF(H111=X111,AA111,IF(OR(H111="NINGUNO",H111="SOLO_HIBRIDO"),IF(J111="COMPLETA",AB111,"COBERTURA_INSUFICIENTE"),"LEXEMA_O_FORMA")),IF(W111="REQUISITO_SOFT",IF(H111=X111,AA111,IF(H111=Z111,AB111,"LEXEMA_O_FORMA")),IF(W111="EVENTO_PROC",IF(H111=X111,AA111,IF(H111=Z111,IF(J111="COMPLETA",AB111,"COBERTURA_INSUFICIENTE"),"LEXEMA_O_FORMA")),IF(W111="IMAGEN",IF(AND(AND(ISTEXT(H111),LEN(("x"&amp;H111))=65,EXACT(("x"&amp;H111),LOWER(("x"&amp;H111))),ISERROR(SEARCH(" ",("x"&amp;H111))),ISERROR(SEARCH(CHAR(9),("x"&amp;H111))),ISERROR(SEARCH(CHAR(10),("x"&amp;H111))),ISERROR(SEARCH(CHAR(13),("x"&amp;H111))),IFERROR(HEX2DEC(MID(("x"&amp;H111),2,8))&gt;=0,FALSE),IFERROR(HEX2DEC(MID(("x"&amp;H111),10,8))&gt;=0,FALSE),IFERROR(HEX2DEC(MID(("x"&amp;H111),18,8))&gt;=0,FALSE),IFERROR(HEX2DEC(MID(("x"&amp;H111),26,8))&gt;=0,FALSE),IFERROR(HEX2DEC(MID(("x"&amp;H111),34,8))&gt;=0,FALSE),IFERROR(HEX2DEC(MID(("x"&amp;H111),42,8))&gt;=0,FALSE),IFERROR(HEX2DEC(MID(("x"&amp;H111),50,8))&gt;=0,FALSE),IFERROR(HEX2DEC(MID(("x"&amp;H111),58,8))&gt;=0,FALSE)),AND(ISTEXT(I111),LEN(("x"&amp;I111))=65,EXACT(("x"&amp;I111),LOWER(("x"&amp;I111))),ISERROR(SEARCH(" ",("x"&amp;I111))),ISERROR(SEARCH(CHAR(9),("x"&amp;I111))),ISERROR(SEARCH(CHAR(10),("x"&amp;I111))),ISERROR(SEARCH(CHAR(13),("x"&amp;I111))),IFERROR(HEX2DEC(MID(("x"&amp;I111),2,8))&gt;=0,FALSE),IFERROR(HEX2DEC(MID(("x"&amp;I111),10,8))&gt;=0,FALSE),IFERROR(HEX2DEC(MID(("x"&amp;I111),18,8))&gt;=0,FALSE),IFERROR(HEX2DEC(MID(("x"&amp;I111),26,8))&gt;=0,FALSE),IFERROR(HEX2DEC(MID(("x"&amp;I111),34,8))&gt;=0,FALSE),IFERROR(HEX2DEC(MID(("x"&amp;I111),42,8))&gt;=0,FALSE),IFERROR(HEX2DEC(MID(("x"&amp;I111),50,8))&gt;=0,FALSE),IFERROR(HEX2DEC(MID(("x"&amp;I111),58,8))&gt;=0,FALSE))),IF(EXACT("x"&amp;H111,"x"&amp;I111),AA111,AB111),"LEXEMA_O_FORMA"),IF(W111="PRUEBA",IF(H111=X111,AA111,IF(H111=Z111,AB111,"LEXEMA_O_FORMA")),IF(W111="RETIRADA",IF(AND(H111="NINGUNO",I111=""),IF(J111="COMPLETA",AB111,"COBERTURA_INSUFICIENTE"),IF(AND(OR(H111="uoInstallation",H111="uoUninstallation"),OR(I111="orcSucceeded",I111="orcSucceededWithErrors",I111="orcFailed",I111="orcAborted",I111="orcInProgress",I111="orcNotStarted")),IF(AND(H111=X111,I111=Y111),AA111,IF(AND(H111=X111,OR(I111="orcSucceededWithErrors",I111="orcInProgress",I111="orcNotStarted")),"RESULTADO_RETIRADA_INCIERTO",IF(J111="COMPLETA",AB111,"COBERTURA_INSUFICIENTE"))),"LEXEMA_O_FORMA")),IF(W111="CAMBIO",IF(OR(H111="CAMBIO",H111="CAMBIO_Y_RETORNO"),AA111,IF(OR(H111="NINGUNO",H111="SOLO_RENOMBRE"),IF(J111="COMPLETA",AB111,"COBERTURA_INSUFICIENTE"),"LEXEMA_O_FORMA")),IF(W111="RESTAURACION",IF(H111=X111,AA111,IF(OR(H111="NINGUNO",H111="RESTAURACION_POSTERIOR",H111="RESTAURACION_FALLIDA"),IF(J111="COMPLETA",AB111,"COBERTURA_INSUFICIENTE"),"LEXEMA_O_FORMA")),"PERFIL_NO_CONSTITUIDO"))))))))))))))))))</x:f>
        <x:v>COBERTURA_INSUFICIENTE</x:v>
      </x:c>
      <x:c r="R111" s="12" t="str">
        <x:f>IF(AND(L111=O111,M111=P111,N111=Q111),"PASA","NO_PASA")</x:f>
        <x:v>PASA</x:v>
      </x:c>
      <x:c r="S111" s="4" t="str">
        <x:v>Ningún evento encontrado en cobertura parcial: U, no 0.</x:v>
      </x:c>
      <x:c r="T111" s="12" t="str">
        <x:f>IFERROR(INDEX('55_Codificacion_ensayo'!$B$5:$B$13,MATCH(B111,'55_Codificacion_ensayo'!$A$5:$A$13,0)),"")</x:f>
        <x:v>HISTORIA-CAMBIO-COMPONENTE-0.1</x:v>
      </x:c>
      <x:c r="U111" s="12" t="str">
        <x:f>IFERROR(INDEX('55_Codificacion_ensayo'!$C$5:$C$13,MATCH(B111,'55_Codificacion_ensayo'!$A$5:$A$13,0)),"")</x:f>
        <x:v>HISTORIA_BINARIA</x:v>
      </x:c>
      <x:c r="V111" s="12" t="str">
        <x:f>IFERROR(INDEX('55_Codificacion_ensayo'!$D$5:$D$13,MATCH(B111,'55_Codificacion_ensayo'!$A$5:$A$13,0)),"")</x:f>
        <x:v>ORDEN_ACREDITADO</x:v>
      </x:c>
      <x:c r="W111" s="12" t="str">
        <x:f>IFERROR(INDEX('55_Codificacion_ensayo'!$E$5:$E$13,MATCH(B111,'55_Codificacion_ensayo'!$A$5:$A$13,0)),"")</x:f>
        <x:v>CAMBIO</x:v>
      </x:c>
      <x:c r="X111" s="12" t="str">
        <x:f>IFERROR(INDEX('55_Codificacion_ensayo'!$F$5:$F$13,MATCH(B111,'55_Codificacion_ensayo'!$A$5:$A$13,0)),"")</x:f>
        <x:v>CAMBIO</x:v>
      </x:c>
      <x:c r="Y111" s="12" t="str">
        <x:f>IFERROR(INDEX('55_Codificacion_ensayo'!$G$5:$G$13,MATCH(B111,'55_Codificacion_ensayo'!$A$5:$A$13,0)),"")</x:f>
      </x:c>
      <x:c r="Z111" s="12" t="str">
        <x:f>IFERROR(INDEX('55_Codificacion_ensayo'!$H$5:$H$13,MATCH(B111,'55_Codificacion_ensayo'!$A$5:$A$13,0)),"")</x:f>
        <x:v>NINGUNO</x:v>
      </x:c>
      <x:c r="AA111" s="12" t="str">
        <x:f>IFERROR(INDEX('55_Codificacion_ensayo'!$I$5:$I$13,MATCH(B111,'55_Codificacion_ensayo'!$A$5:$A$13,0)),"")</x:f>
        <x:v>CAMBIO_POSTERIOR</x:v>
      </x:c>
      <x:c r="AB111" s="12" t="str">
        <x:f>IFERROR(INDEX('55_Codificacion_ensayo'!$J$5:$J$13,MATCH(B111,'55_Codificacion_ensayo'!$A$5:$A$13,0)),"")</x:f>
        <x:v>SIN_CAMBIO_ACREDITADO</x:v>
      </x:c>
    </x:row>
    <x:row r="112" ht="47" customHeight="1">
      <x:c r="A112" s="4" t="str">
        <x:v>L10-09-11</x:v>
      </x:c>
      <x:c r="B112" s="4" t="str">
        <x:v>PAR-CYB-CAMBIO-COMPONENTE-POSTERIOR-001</x:v>
      </x:c>
      <x:c r="C112" s="4" t="str">
        <x:v>HISTORIA-CAMBIO-COMPONENTE-0.1</x:v>
      </x:c>
      <x:c r="D112" s="4" t="str">
        <x:v>COINCIDE</x:v>
      </x:c>
      <x:c r="E112" s="4" t="str">
        <x:v>LEGIBLE</x:v>
      </x:c>
      <x:c r="F112" s="4" t="str">
        <x:v>HISTORIA_BINARIA</x:v>
      </x:c>
      <x:c r="G112" s="4" t="str">
        <x:v>UNICA</x:v>
      </x:c>
      <x:c r="H112" s="4" t="str">
        <x:v>CAMBIO</x:v>
      </x:c>
      <x:c r="I112" s="4" t="str"/>
      <x:c r="J112" s="4" t="str">
        <x:v>PARCIAL</x:v>
      </x:c>
      <x:c r="K112" s="4" t="str">
        <x:v>ORDEN_ACREDITADO</x:v>
      </x:c>
      <x:c r="L112" s="4" t="str">
        <x:v>VALIDA</x:v>
      </x:c>
      <x:c r="M112" s="4" t="str">
        <x:v>1</x:v>
      </x:c>
      <x:c r="N112" s="4" t="str">
        <x:v>CAMBIO_POSTERIOR</x:v>
      </x:c>
      <x:c r="O112" s="12" t="str">
        <x:f>IF(Q112="SIN_EJECUCION_DOMINIO","FALLO_CAPTURA",IF(OR(Q112="CAPTURA_MAL_FORMADA",Q112="IDENTIDAD",Q112="OBSERVACION_MAL_FORMADA",Q112="LEXEMA_O_FORMA"),"NO_ADMISION",IF(OR(Q112="PERFIL_NO_CONSTITUIDO",Q112="RESULTADO_NO_TERMINAL"),"FUERA_PERFIL",IF(Q112="CONTEXTO_NO_CONSTITUIDO","CONFIGURACION_PENDIENTE","VALIDA"))))</x:f>
        <x:v>VALIDA</x:v>
      </x:c>
      <x:c r="P112" s="12" t="str">
        <x:f>IF(O112&lt;&gt;"VALIDA","",IF(Q112=AA112,"1",IF(Q112=AB112,"0","U")))</x:f>
        <x:v>1</x:v>
      </x:c>
      <x:c r="Q112" s="12" t="str">
        <x:f>IF(E112="FALLO","SIN_EJECUCION_DOMINIO",IF(E112&lt;&gt;"LEGIBLE","CAPTURA_MAL_FORMADA",IF(D112&lt;&gt;"COINCIDE","IDENTIDAD",IF(OR(T112="",C112&lt;&gt;T112),"PERFIL_NO_CONSTITUIDO",IF(K112&lt;&gt;V112,IF(V112="ORDEN_ACREDITADO","ORDEN_NO_ACREDITADO","CONTEXTO_NO_CONSTITUIDO"),IF(AND(G112="AUSENTE",H112="",I112=""),"DATO_AUSENTE",IF(AND(G112="CONFLICTO",H112="",I112=""),"CONFLICTO_OBSERVACIONAL",IF(G112&lt;&gt;"UNICA","OBSERVACION_MAL_FORMADA",IF(F112&lt;&gt;U112,"OBSERVACION_INSUFICIENTE",IF(W112="RESULTADO",IF(H112=X112,AA112,IF(OR(H112="orcSucceededWithErrors",H112="orcFailed",H112="orcAborted"),AB112,IF(OR(H112="orcNotStarted",H112="orcInProgress"),"RESULTADO_NO_TERMINAL","LEXEMA_O_FORMA"))),IF(W112="EVENTO_BOOT",IF(H112=X112,AA112,IF(OR(H112="NINGUNO",H112="SOLO_HIBRIDO"),IF(J112="COMPLETA",AB112,"COBERTURA_INSUFICIENTE"),"LEXEMA_O_FORMA")),IF(W112="REQUISITO_SOFT",IF(H112=X112,AA112,IF(H112=Z112,AB112,"LEXEMA_O_FORMA")),IF(W112="EVENTO_PROC",IF(H112=X112,AA112,IF(H112=Z112,IF(J112="COMPLETA",AB112,"COBERTURA_INSUFICIENTE"),"LEXEMA_O_FORMA")),IF(W112="IMAGEN",IF(AND(AND(ISTEXT(H112),LEN(("x"&amp;H112))=65,EXACT(("x"&amp;H112),LOWER(("x"&amp;H112))),ISERROR(SEARCH(" ",("x"&amp;H112))),ISERROR(SEARCH(CHAR(9),("x"&amp;H112))),ISERROR(SEARCH(CHAR(10),("x"&amp;H112))),ISERROR(SEARCH(CHAR(13),("x"&amp;H112))),IFERROR(HEX2DEC(MID(("x"&amp;H112),2,8))&gt;=0,FALSE),IFERROR(HEX2DEC(MID(("x"&amp;H112),10,8))&gt;=0,FALSE),IFERROR(HEX2DEC(MID(("x"&amp;H112),18,8))&gt;=0,FALSE),IFERROR(HEX2DEC(MID(("x"&amp;H112),26,8))&gt;=0,FALSE),IFERROR(HEX2DEC(MID(("x"&amp;H112),34,8))&gt;=0,FALSE),IFERROR(HEX2DEC(MID(("x"&amp;H112),42,8))&gt;=0,FALSE),IFERROR(HEX2DEC(MID(("x"&amp;H112),50,8))&gt;=0,FALSE),IFERROR(HEX2DEC(MID(("x"&amp;H112),58,8))&gt;=0,FALSE)),AND(ISTEXT(I112),LEN(("x"&amp;I112))=65,EXACT(("x"&amp;I112),LOWER(("x"&amp;I112))),ISERROR(SEARCH(" ",("x"&amp;I112))),ISERROR(SEARCH(CHAR(9),("x"&amp;I112))),ISERROR(SEARCH(CHAR(10),("x"&amp;I112))),ISERROR(SEARCH(CHAR(13),("x"&amp;I112))),IFERROR(HEX2DEC(MID(("x"&amp;I112),2,8))&gt;=0,FALSE),IFERROR(HEX2DEC(MID(("x"&amp;I112),10,8))&gt;=0,FALSE),IFERROR(HEX2DEC(MID(("x"&amp;I112),18,8))&gt;=0,FALSE),IFERROR(HEX2DEC(MID(("x"&amp;I112),26,8))&gt;=0,FALSE),IFERROR(HEX2DEC(MID(("x"&amp;I112),34,8))&gt;=0,FALSE),IFERROR(HEX2DEC(MID(("x"&amp;I112),42,8))&gt;=0,FALSE),IFERROR(HEX2DEC(MID(("x"&amp;I112),50,8))&gt;=0,FALSE),IFERROR(HEX2DEC(MID(("x"&amp;I112),58,8))&gt;=0,FALSE))),IF(EXACT("x"&amp;H112,"x"&amp;I112),AA112,AB112),"LEXEMA_O_FORMA"),IF(W112="PRUEBA",IF(H112=X112,AA112,IF(H112=Z112,AB112,"LEXEMA_O_FORMA")),IF(W112="RETIRADA",IF(AND(H112="NINGUNO",I112=""),IF(J112="COMPLETA",AB112,"COBERTURA_INSUFICIENTE"),IF(AND(OR(H112="uoInstallation",H112="uoUninstallation"),OR(I112="orcSucceeded",I112="orcSucceededWithErrors",I112="orcFailed",I112="orcAborted",I112="orcInProgress",I112="orcNotStarted")),IF(AND(H112=X112,I112=Y112),AA112,IF(AND(H112=X112,OR(I112="orcSucceededWithErrors",I112="orcInProgress",I112="orcNotStarted")),"RESULTADO_RETIRADA_INCIERTO",IF(J112="COMPLETA",AB112,"COBERTURA_INSUFICIENTE"))),"LEXEMA_O_FORMA")),IF(W112="CAMBIO",IF(OR(H112="CAMBIO",H112="CAMBIO_Y_RETORNO"),AA112,IF(OR(H112="NINGUNO",H112="SOLO_RENOMBRE"),IF(J112="COMPLETA",AB112,"COBERTURA_INSUFICIENTE"),"LEXEMA_O_FORMA")),IF(W112="RESTAURACION",IF(H112=X112,AA112,IF(OR(H112="NINGUNO",H112="RESTAURACION_POSTERIOR",H112="RESTAURACION_FALLIDA"),IF(J112="COMPLETA",AB112,"COBERTURA_INSUFICIENTE"),"LEXEMA_O_FORMA")),"PERFIL_NO_CONSTITUIDO"))))))))))))))))))</x:f>
        <x:v>CAMBIO_POSTERIOR</x:v>
      </x:c>
      <x:c r="R112" s="12" t="str">
        <x:f>IF(AND(L112=O112,M112=P112,N112=Q112),"PASA","NO_PASA")</x:f>
        <x:v>PASA</x:v>
      </x:c>
      <x:c r="S112" s="4" t="str">
        <x:v>Un testigo positivo acredita existencia aunque la historia restante sea parcial.</x:v>
      </x:c>
      <x:c r="T112" s="12" t="str">
        <x:f>IFERROR(INDEX('55_Codificacion_ensayo'!$B$5:$B$13,MATCH(B112,'55_Codificacion_ensayo'!$A$5:$A$13,0)),"")</x:f>
        <x:v>HISTORIA-CAMBIO-COMPONENTE-0.1</x:v>
      </x:c>
      <x:c r="U112" s="12" t="str">
        <x:f>IFERROR(INDEX('55_Codificacion_ensayo'!$C$5:$C$13,MATCH(B112,'55_Codificacion_ensayo'!$A$5:$A$13,0)),"")</x:f>
        <x:v>HISTORIA_BINARIA</x:v>
      </x:c>
      <x:c r="V112" s="12" t="str">
        <x:f>IFERROR(INDEX('55_Codificacion_ensayo'!$D$5:$D$13,MATCH(B112,'55_Codificacion_ensayo'!$A$5:$A$13,0)),"")</x:f>
        <x:v>ORDEN_ACREDITADO</x:v>
      </x:c>
      <x:c r="W112" s="12" t="str">
        <x:f>IFERROR(INDEX('55_Codificacion_ensayo'!$E$5:$E$13,MATCH(B112,'55_Codificacion_ensayo'!$A$5:$A$13,0)),"")</x:f>
        <x:v>CAMBIO</x:v>
      </x:c>
      <x:c r="X112" s="12" t="str">
        <x:f>IFERROR(INDEX('55_Codificacion_ensayo'!$F$5:$F$13,MATCH(B112,'55_Codificacion_ensayo'!$A$5:$A$13,0)),"")</x:f>
        <x:v>CAMBIO</x:v>
      </x:c>
      <x:c r="Y112" s="12" t="str">
        <x:f>IFERROR(INDEX('55_Codificacion_ensayo'!$G$5:$G$13,MATCH(B112,'55_Codificacion_ensayo'!$A$5:$A$13,0)),"")</x:f>
      </x:c>
      <x:c r="Z112" s="12" t="str">
        <x:f>IFERROR(INDEX('55_Codificacion_ensayo'!$H$5:$H$13,MATCH(B112,'55_Codificacion_ensayo'!$A$5:$A$13,0)),"")</x:f>
        <x:v>NINGUNO</x:v>
      </x:c>
      <x:c r="AA112" s="12" t="str">
        <x:f>IFERROR(INDEX('55_Codificacion_ensayo'!$I$5:$I$13,MATCH(B112,'55_Codificacion_ensayo'!$A$5:$A$13,0)),"")</x:f>
        <x:v>CAMBIO_POSTERIOR</x:v>
      </x:c>
      <x:c r="AB112" s="12" t="str">
        <x:f>IFERROR(INDEX('55_Codificacion_ensayo'!$J$5:$J$13,MATCH(B112,'55_Codificacion_ensayo'!$A$5:$A$13,0)),"")</x:f>
        <x:v>SIN_CAMBIO_ACREDITADO</x:v>
      </x:c>
    </x:row>
    <x:row r="113" ht="47" customHeight="1">
      <x:c r="A113" s="4" t="str">
        <x:v>L10-09-12</x:v>
      </x:c>
      <x:c r="B113" s="4" t="str">
        <x:v>PAR-CYB-CAMBIO-COMPONENTE-POSTERIOR-001</x:v>
      </x:c>
      <x:c r="C113" s="4" t="str">
        <x:v>HISTORIA-CAMBIO-COMPONENTE-0.1</x:v>
      </x:c>
      <x:c r="D113" s="4" t="str">
        <x:v>COINCIDE</x:v>
      </x:c>
      <x:c r="E113" s="4" t="str">
        <x:v>LEGIBLE</x:v>
      </x:c>
      <x:c r="F113" s="4" t="str">
        <x:v>HISTORIA_BINARIA</x:v>
      </x:c>
      <x:c r="G113" s="4" t="str">
        <x:v>UNICA</x:v>
      </x:c>
      <x:c r="H113" s="4" t="str">
        <x:v>CAMBIO</x:v>
      </x:c>
      <x:c r="I113" s="4" t="str"/>
      <x:c r="J113" s="4" t="str">
        <x:v>COMPLETA</x:v>
      </x:c>
      <x:c r="K113" s="4" t="str">
        <x:v>ORDEN_INCIERTO</x:v>
      </x:c>
      <x:c r="L113" s="4" t="str">
        <x:v>VALIDA</x:v>
      </x:c>
      <x:c r="M113" s="4" t="str">
        <x:v>U</x:v>
      </x:c>
      <x:c r="N113" s="4" t="str">
        <x:v>ORDEN_NO_ACREDITADO</x:v>
      </x:c>
      <x:c r="O113" s="12" t="str">
        <x:f>IF(Q113="SIN_EJECUCION_DOMINIO","FALLO_CAPTURA",IF(OR(Q113="CAPTURA_MAL_FORMADA",Q113="IDENTIDAD",Q113="OBSERVACION_MAL_FORMADA",Q113="LEXEMA_O_FORMA"),"NO_ADMISION",IF(OR(Q113="PERFIL_NO_CONSTITUIDO",Q113="RESULTADO_NO_TERMINAL"),"FUERA_PERFIL",IF(Q113="CONTEXTO_NO_CONSTITUIDO","CONFIGURACION_PENDIENTE","VALIDA"))))</x:f>
        <x:v>VALIDA</x:v>
      </x:c>
      <x:c r="P113" s="12" t="str">
        <x:f>IF(O113&lt;&gt;"VALIDA","",IF(Q113=AA113,"1",IF(Q113=AB113,"0","U")))</x:f>
        <x:v>U</x:v>
      </x:c>
      <x:c r="Q113" s="12" t="str">
        <x:f>IF(E113="FALLO","SIN_EJECUCION_DOMINIO",IF(E113&lt;&gt;"LEGIBLE","CAPTURA_MAL_FORMADA",IF(D113&lt;&gt;"COINCIDE","IDENTIDAD",IF(OR(T113="",C113&lt;&gt;T113),"PERFIL_NO_CONSTITUIDO",IF(K113&lt;&gt;V113,IF(V113="ORDEN_ACREDITADO","ORDEN_NO_ACREDITADO","CONTEXTO_NO_CONSTITUIDO"),IF(AND(G113="AUSENTE",H113="",I113=""),"DATO_AUSENTE",IF(AND(G113="CONFLICTO",H113="",I113=""),"CONFLICTO_OBSERVACIONAL",IF(G113&lt;&gt;"UNICA","OBSERVACION_MAL_FORMADA",IF(F113&lt;&gt;U113,"OBSERVACION_INSUFICIENTE",IF(W113="RESULTADO",IF(H113=X113,AA113,IF(OR(H113="orcSucceededWithErrors",H113="orcFailed",H113="orcAborted"),AB113,IF(OR(H113="orcNotStarted",H113="orcInProgress"),"RESULTADO_NO_TERMINAL","LEXEMA_O_FORMA"))),IF(W113="EVENTO_BOOT",IF(H113=X113,AA113,IF(OR(H113="NINGUNO",H113="SOLO_HIBRIDO"),IF(J113="COMPLETA",AB113,"COBERTURA_INSUFICIENTE"),"LEXEMA_O_FORMA")),IF(W113="REQUISITO_SOFT",IF(H113=X113,AA113,IF(H113=Z113,AB113,"LEXEMA_O_FORMA")),IF(W113="EVENTO_PROC",IF(H113=X113,AA113,IF(H113=Z113,IF(J113="COMPLETA",AB113,"COBERTURA_INSUFICIENTE"),"LEXEMA_O_FORMA")),IF(W113="IMAGEN",IF(AND(AND(ISTEXT(H113),LEN(("x"&amp;H113))=65,EXACT(("x"&amp;H113),LOWER(("x"&amp;H113))),ISERROR(SEARCH(" ",("x"&amp;H113))),ISERROR(SEARCH(CHAR(9),("x"&amp;H113))),ISERROR(SEARCH(CHAR(10),("x"&amp;H113))),ISERROR(SEARCH(CHAR(13),("x"&amp;H113))),IFERROR(HEX2DEC(MID(("x"&amp;H113),2,8))&gt;=0,FALSE),IFERROR(HEX2DEC(MID(("x"&amp;H113),10,8))&gt;=0,FALSE),IFERROR(HEX2DEC(MID(("x"&amp;H113),18,8))&gt;=0,FALSE),IFERROR(HEX2DEC(MID(("x"&amp;H113),26,8))&gt;=0,FALSE),IFERROR(HEX2DEC(MID(("x"&amp;H113),34,8))&gt;=0,FALSE),IFERROR(HEX2DEC(MID(("x"&amp;H113),42,8))&gt;=0,FALSE),IFERROR(HEX2DEC(MID(("x"&amp;H113),50,8))&gt;=0,FALSE),IFERROR(HEX2DEC(MID(("x"&amp;H113),58,8))&gt;=0,FALSE)),AND(ISTEXT(I113),LEN(("x"&amp;I113))=65,EXACT(("x"&amp;I113),LOWER(("x"&amp;I113))),ISERROR(SEARCH(" ",("x"&amp;I113))),ISERROR(SEARCH(CHAR(9),("x"&amp;I113))),ISERROR(SEARCH(CHAR(10),("x"&amp;I113))),ISERROR(SEARCH(CHAR(13),("x"&amp;I113))),IFERROR(HEX2DEC(MID(("x"&amp;I113),2,8))&gt;=0,FALSE),IFERROR(HEX2DEC(MID(("x"&amp;I113),10,8))&gt;=0,FALSE),IFERROR(HEX2DEC(MID(("x"&amp;I113),18,8))&gt;=0,FALSE),IFERROR(HEX2DEC(MID(("x"&amp;I113),26,8))&gt;=0,FALSE),IFERROR(HEX2DEC(MID(("x"&amp;I113),34,8))&gt;=0,FALSE),IFERROR(HEX2DEC(MID(("x"&amp;I113),42,8))&gt;=0,FALSE),IFERROR(HEX2DEC(MID(("x"&amp;I113),50,8))&gt;=0,FALSE),IFERROR(HEX2DEC(MID(("x"&amp;I113),58,8))&gt;=0,FALSE))),IF(EXACT("x"&amp;H113,"x"&amp;I113),AA113,AB113),"LEXEMA_O_FORMA"),IF(W113="PRUEBA",IF(H113=X113,AA113,IF(H113=Z113,AB113,"LEXEMA_O_FORMA")),IF(W113="RETIRADA",IF(AND(H113="NINGUNO",I113=""),IF(J113="COMPLETA",AB113,"COBERTURA_INSUFICIENTE"),IF(AND(OR(H113="uoInstallation",H113="uoUninstallation"),OR(I113="orcSucceeded",I113="orcSucceededWithErrors",I113="orcFailed",I113="orcAborted",I113="orcInProgress",I113="orcNotStarted")),IF(AND(H113=X113,I113=Y113),AA113,IF(AND(H113=X113,OR(I113="orcSucceededWithErrors",I113="orcInProgress",I113="orcNotStarted")),"RESULTADO_RETIRADA_INCIERTO",IF(J113="COMPLETA",AB113,"COBERTURA_INSUFICIENTE"))),"LEXEMA_O_FORMA")),IF(W113="CAMBIO",IF(OR(H113="CAMBIO",H113="CAMBIO_Y_RETORNO"),AA113,IF(OR(H113="NINGUNO",H113="SOLO_RENOMBRE"),IF(J113="COMPLETA",AB113,"COBERTURA_INSUFICIENTE"),"LEXEMA_O_FORMA")),IF(W113="RESTAURACION",IF(H113=X113,AA113,IF(OR(H113="NINGUNO",H113="RESTAURACION_POSTERIOR",H113="RESTAURACION_FALLIDA"),IF(J113="COMPLETA",AB113,"COBERTURA_INSUFICIENTE"),"LEXEMA_O_FORMA")),"PERFIL_NO_CONSTITUIDO"))))))))))))))))))</x:f>
        <x:v>ORDEN_NO_ACREDITADO</x:v>
      </x:c>
      <x:c r="R113" s="12" t="str">
        <x:f>IF(AND(L113=O113,M113=P113,N113=Q113),"PASA","NO_PASA")</x:f>
        <x:v>PASA</x:v>
      </x:c>
      <x:c r="S113" s="4" t="str">
        <x:v>El orden no está acreditado; la mera fecha no prueba posterioridad.</x:v>
      </x:c>
      <x:c r="T113" s="12" t="str">
        <x:f>IFERROR(INDEX('55_Codificacion_ensayo'!$B$5:$B$13,MATCH(B113,'55_Codificacion_ensayo'!$A$5:$A$13,0)),"")</x:f>
        <x:v>HISTORIA-CAMBIO-COMPONENTE-0.1</x:v>
      </x:c>
      <x:c r="U113" s="12" t="str">
        <x:f>IFERROR(INDEX('55_Codificacion_ensayo'!$C$5:$C$13,MATCH(B113,'55_Codificacion_ensayo'!$A$5:$A$13,0)),"")</x:f>
        <x:v>HISTORIA_BINARIA</x:v>
      </x:c>
      <x:c r="V113" s="12" t="str">
        <x:f>IFERROR(INDEX('55_Codificacion_ensayo'!$D$5:$D$13,MATCH(B113,'55_Codificacion_ensayo'!$A$5:$A$13,0)),"")</x:f>
        <x:v>ORDEN_ACREDITADO</x:v>
      </x:c>
      <x:c r="W113" s="12" t="str">
        <x:f>IFERROR(INDEX('55_Codificacion_ensayo'!$E$5:$E$13,MATCH(B113,'55_Codificacion_ensayo'!$A$5:$A$13,0)),"")</x:f>
        <x:v>CAMBIO</x:v>
      </x:c>
      <x:c r="X113" s="12" t="str">
        <x:f>IFERROR(INDEX('55_Codificacion_ensayo'!$F$5:$F$13,MATCH(B113,'55_Codificacion_ensayo'!$A$5:$A$13,0)),"")</x:f>
        <x:v>CAMBIO</x:v>
      </x:c>
      <x:c r="Y113" s="12" t="str">
        <x:f>IFERROR(INDEX('55_Codificacion_ensayo'!$G$5:$G$13,MATCH(B113,'55_Codificacion_ensayo'!$A$5:$A$13,0)),"")</x:f>
      </x:c>
      <x:c r="Z113" s="12" t="str">
        <x:f>IFERROR(INDEX('55_Codificacion_ensayo'!$H$5:$H$13,MATCH(B113,'55_Codificacion_ensayo'!$A$5:$A$13,0)),"")</x:f>
        <x:v>NINGUNO</x:v>
      </x:c>
      <x:c r="AA113" s="12" t="str">
        <x:f>IFERROR(INDEX('55_Codificacion_ensayo'!$I$5:$I$13,MATCH(B113,'55_Codificacion_ensayo'!$A$5:$A$13,0)),"")</x:f>
        <x:v>CAMBIO_POSTERIOR</x:v>
      </x:c>
      <x:c r="AB113" s="12" t="str">
        <x:f>IFERROR(INDEX('55_Codificacion_ensayo'!$J$5:$J$13,MATCH(B113,'55_Codificacion_ensayo'!$A$5:$A$13,0)),"")</x:f>
        <x:v>SIN_CAMBIO_ACREDITADO</x:v>
      </x:c>
    </x:row>
    <x:row r="114" ht="47" customHeight="1">
      <x:c r="A114" s="4" t="str">
        <x:v>L10-09-13</x:v>
      </x:c>
      <x:c r="B114" s="4" t="str">
        <x:v>PAR-CYB-CAMBIO-COMPONENTE-POSTERIOR-001</x:v>
      </x:c>
      <x:c r="C114" s="4" t="str">
        <x:v>HISTORIA-CAMBIO-COMPONENTE-0.1</x:v>
      </x:c>
      <x:c r="D114" s="4" t="str">
        <x:v>COINCIDE</x:v>
      </x:c>
      <x:c r="E114" s="4" t="str">
        <x:v>LEGIBLE</x:v>
      </x:c>
      <x:c r="F114" s="4" t="str">
        <x:v>HISTORIA_BINARIA</x:v>
      </x:c>
      <x:c r="G114" s="4" t="str">
        <x:v>UNICA</x:v>
      </x:c>
      <x:c r="H114" s="4" t="str">
        <x:v>CAMBIO_Y_RETORNO</x:v>
      </x:c>
      <x:c r="I114" s="4" t="str"/>
      <x:c r="J114" s="4" t="str">
        <x:v>COMPLETA</x:v>
      </x:c>
      <x:c r="K114" s="4" t="str">
        <x:v>ORDEN_ACREDITADO</x:v>
      </x:c>
      <x:c r="L114" s="4" t="str">
        <x:v>VALIDA</x:v>
      </x:c>
      <x:c r="M114" s="4" t="str">
        <x:v>1</x:v>
      </x:c>
      <x:c r="N114" s="4" t="str">
        <x:v>CAMBIO_POSTERIOR</x:v>
      </x:c>
      <x:c r="O114" s="12" t="str">
        <x:f>IF(Q114="SIN_EJECUCION_DOMINIO","FALLO_CAPTURA",IF(OR(Q114="CAPTURA_MAL_FORMADA",Q114="IDENTIDAD",Q114="OBSERVACION_MAL_FORMADA",Q114="LEXEMA_O_FORMA"),"NO_ADMISION",IF(OR(Q114="PERFIL_NO_CONSTITUIDO",Q114="RESULTADO_NO_TERMINAL"),"FUERA_PERFIL",IF(Q114="CONTEXTO_NO_CONSTITUIDO","CONFIGURACION_PENDIENTE","VALIDA"))))</x:f>
        <x:v>VALIDA</x:v>
      </x:c>
      <x:c r="P114" s="12" t="str">
        <x:f>IF(O114&lt;&gt;"VALIDA","",IF(Q114=AA114,"1",IF(Q114=AB114,"0","U")))</x:f>
        <x:v>1</x:v>
      </x:c>
      <x:c r="Q114" s="12" t="str">
        <x:f>IF(E114="FALLO","SIN_EJECUCION_DOMINIO",IF(E114&lt;&gt;"LEGIBLE","CAPTURA_MAL_FORMADA",IF(D114&lt;&gt;"COINCIDE","IDENTIDAD",IF(OR(T114="",C114&lt;&gt;T114),"PERFIL_NO_CONSTITUIDO",IF(K114&lt;&gt;V114,IF(V114="ORDEN_ACREDITADO","ORDEN_NO_ACREDITADO","CONTEXTO_NO_CONSTITUIDO"),IF(AND(G114="AUSENTE",H114="",I114=""),"DATO_AUSENTE",IF(AND(G114="CONFLICTO",H114="",I114=""),"CONFLICTO_OBSERVACIONAL",IF(G114&lt;&gt;"UNICA","OBSERVACION_MAL_FORMADA",IF(F114&lt;&gt;U114,"OBSERVACION_INSUFICIENTE",IF(W114="RESULTADO",IF(H114=X114,AA114,IF(OR(H114="orcSucceededWithErrors",H114="orcFailed",H114="orcAborted"),AB114,IF(OR(H114="orcNotStarted",H114="orcInProgress"),"RESULTADO_NO_TERMINAL","LEXEMA_O_FORMA"))),IF(W114="EVENTO_BOOT",IF(H114=X114,AA114,IF(OR(H114="NINGUNO",H114="SOLO_HIBRIDO"),IF(J114="COMPLETA",AB114,"COBERTURA_INSUFICIENTE"),"LEXEMA_O_FORMA")),IF(W114="REQUISITO_SOFT",IF(H114=X114,AA114,IF(H114=Z114,AB114,"LEXEMA_O_FORMA")),IF(W114="EVENTO_PROC",IF(H114=X114,AA114,IF(H114=Z114,IF(J114="COMPLETA",AB114,"COBERTURA_INSUFICIENTE"),"LEXEMA_O_FORMA")),IF(W114="IMAGEN",IF(AND(AND(ISTEXT(H114),LEN(("x"&amp;H114))=65,EXACT(("x"&amp;H114),LOWER(("x"&amp;H114))),ISERROR(SEARCH(" ",("x"&amp;H114))),ISERROR(SEARCH(CHAR(9),("x"&amp;H114))),ISERROR(SEARCH(CHAR(10),("x"&amp;H114))),ISERROR(SEARCH(CHAR(13),("x"&amp;H114))),IFERROR(HEX2DEC(MID(("x"&amp;H114),2,8))&gt;=0,FALSE),IFERROR(HEX2DEC(MID(("x"&amp;H114),10,8))&gt;=0,FALSE),IFERROR(HEX2DEC(MID(("x"&amp;H114),18,8))&gt;=0,FALSE),IFERROR(HEX2DEC(MID(("x"&amp;H114),26,8))&gt;=0,FALSE),IFERROR(HEX2DEC(MID(("x"&amp;H114),34,8))&gt;=0,FALSE),IFERROR(HEX2DEC(MID(("x"&amp;H114),42,8))&gt;=0,FALSE),IFERROR(HEX2DEC(MID(("x"&amp;H114),50,8))&gt;=0,FALSE),IFERROR(HEX2DEC(MID(("x"&amp;H114),58,8))&gt;=0,FALSE)),AND(ISTEXT(I114),LEN(("x"&amp;I114))=65,EXACT(("x"&amp;I114),LOWER(("x"&amp;I114))),ISERROR(SEARCH(" ",("x"&amp;I114))),ISERROR(SEARCH(CHAR(9),("x"&amp;I114))),ISERROR(SEARCH(CHAR(10),("x"&amp;I114))),ISERROR(SEARCH(CHAR(13),("x"&amp;I114))),IFERROR(HEX2DEC(MID(("x"&amp;I114),2,8))&gt;=0,FALSE),IFERROR(HEX2DEC(MID(("x"&amp;I114),10,8))&gt;=0,FALSE),IFERROR(HEX2DEC(MID(("x"&amp;I114),18,8))&gt;=0,FALSE),IFERROR(HEX2DEC(MID(("x"&amp;I114),26,8))&gt;=0,FALSE),IFERROR(HEX2DEC(MID(("x"&amp;I114),34,8))&gt;=0,FALSE),IFERROR(HEX2DEC(MID(("x"&amp;I114),42,8))&gt;=0,FALSE),IFERROR(HEX2DEC(MID(("x"&amp;I114),50,8))&gt;=0,FALSE),IFERROR(HEX2DEC(MID(("x"&amp;I114),58,8))&gt;=0,FALSE))),IF(EXACT("x"&amp;H114,"x"&amp;I114),AA114,AB114),"LEXEMA_O_FORMA"),IF(W114="PRUEBA",IF(H114=X114,AA114,IF(H114=Z114,AB114,"LEXEMA_O_FORMA")),IF(W114="RETIRADA",IF(AND(H114="NINGUNO",I114=""),IF(J114="COMPLETA",AB114,"COBERTURA_INSUFICIENTE"),IF(AND(OR(H114="uoInstallation",H114="uoUninstallation"),OR(I114="orcSucceeded",I114="orcSucceededWithErrors",I114="orcFailed",I114="orcAborted",I114="orcInProgress",I114="orcNotStarted")),IF(AND(H114=X114,I114=Y114),AA114,IF(AND(H114=X114,OR(I114="orcSucceededWithErrors",I114="orcInProgress",I114="orcNotStarted")),"RESULTADO_RETIRADA_INCIERTO",IF(J114="COMPLETA",AB114,"COBERTURA_INSUFICIENTE"))),"LEXEMA_O_FORMA")),IF(W114="CAMBIO",IF(OR(H114="CAMBIO",H114="CAMBIO_Y_RETORNO"),AA114,IF(OR(H114="NINGUNO",H114="SOLO_RENOMBRE"),IF(J114="COMPLETA",AB114,"COBERTURA_INSUFICIENTE"),"LEXEMA_O_FORMA")),IF(W114="RESTAURACION",IF(H114=X114,AA114,IF(OR(H114="NINGUNO",H114="RESTAURACION_POSTERIOR",H114="RESTAURACION_FALLIDA"),IF(J114="COMPLETA",AB114,"COBERTURA_INSUFICIENTE"),"LEXEMA_O_FORMA")),"PERFIL_NO_CONSTITUIDO"))))))))))))))))))</x:f>
        <x:v>CAMBIO_POSTERIOR</x:v>
      </x:c>
      <x:c r="R114" s="12" t="str">
        <x:f>IF(AND(L114=O114,M114=P114,N114=Q114),"PASA","NO_PASA")</x:f>
        <x:v>PASA</x:v>
      </x:c>
      <x:c r="S114" s="4" t="str">
        <x:v>Cambio seguido de retorno conserva el evento aunque coincidan extremos.</x:v>
      </x:c>
      <x:c r="T114" s="12" t="str">
        <x:f>IFERROR(INDEX('55_Codificacion_ensayo'!$B$5:$B$13,MATCH(B114,'55_Codificacion_ensayo'!$A$5:$A$13,0)),"")</x:f>
        <x:v>HISTORIA-CAMBIO-COMPONENTE-0.1</x:v>
      </x:c>
      <x:c r="U114" s="12" t="str">
        <x:f>IFERROR(INDEX('55_Codificacion_ensayo'!$C$5:$C$13,MATCH(B114,'55_Codificacion_ensayo'!$A$5:$A$13,0)),"")</x:f>
        <x:v>HISTORIA_BINARIA</x:v>
      </x:c>
      <x:c r="V114" s="12" t="str">
        <x:f>IFERROR(INDEX('55_Codificacion_ensayo'!$D$5:$D$13,MATCH(B114,'55_Codificacion_ensayo'!$A$5:$A$13,0)),"")</x:f>
        <x:v>ORDEN_ACREDITADO</x:v>
      </x:c>
      <x:c r="W114" s="12" t="str">
        <x:f>IFERROR(INDEX('55_Codificacion_ensayo'!$E$5:$E$13,MATCH(B114,'55_Codificacion_ensayo'!$A$5:$A$13,0)),"")</x:f>
        <x:v>CAMBIO</x:v>
      </x:c>
      <x:c r="X114" s="12" t="str">
        <x:f>IFERROR(INDEX('55_Codificacion_ensayo'!$F$5:$F$13,MATCH(B114,'55_Codificacion_ensayo'!$A$5:$A$13,0)),"")</x:f>
        <x:v>CAMBIO</x:v>
      </x:c>
      <x:c r="Y114" s="12" t="str">
        <x:f>IFERROR(INDEX('55_Codificacion_ensayo'!$G$5:$G$13,MATCH(B114,'55_Codificacion_ensayo'!$A$5:$A$13,0)),"")</x:f>
      </x:c>
      <x:c r="Z114" s="12" t="str">
        <x:f>IFERROR(INDEX('55_Codificacion_ensayo'!$H$5:$H$13,MATCH(B114,'55_Codificacion_ensayo'!$A$5:$A$13,0)),"")</x:f>
        <x:v>NINGUNO</x:v>
      </x:c>
      <x:c r="AA114" s="12" t="str">
        <x:f>IFERROR(INDEX('55_Codificacion_ensayo'!$I$5:$I$13,MATCH(B114,'55_Codificacion_ensayo'!$A$5:$A$13,0)),"")</x:f>
        <x:v>CAMBIO_POSTERIOR</x:v>
      </x:c>
      <x:c r="AB114" s="12" t="str">
        <x:f>IFERROR(INDEX('55_Codificacion_ensayo'!$J$5:$J$13,MATCH(B114,'55_Codificacion_ensayo'!$A$5:$A$13,0)),"")</x:f>
        <x:v>SIN_CAMBIO_ACREDITADO</x:v>
      </x:c>
    </x:row>
    <x:row r="115" ht="47" customHeight="1">
      <x:c r="A115" s="4" t="str">
        <x:v>L10-09-14</x:v>
      </x:c>
      <x:c r="B115" s="4" t="str">
        <x:v>PAR-CYB-CAMBIO-COMPONENTE-POSTERIOR-001</x:v>
      </x:c>
      <x:c r="C115" s="4" t="str">
        <x:v>HISTORIA-CAMBIO-COMPONENTE-0.1</x:v>
      </x:c>
      <x:c r="D115" s="4" t="str">
        <x:v>COINCIDE</x:v>
      </x:c>
      <x:c r="E115" s="4" t="str">
        <x:v>LEGIBLE</x:v>
      </x:c>
      <x:c r="F115" s="4" t="str">
        <x:v>SOLO_EXTREMOS</x:v>
      </x:c>
      <x:c r="G115" s="4" t="str">
        <x:v>UNICA</x:v>
      </x:c>
      <x:c r="H115" s="4" t="str">
        <x:v>CAMBIO</x:v>
      </x:c>
      <x:c r="I115" s="4" t="str"/>
      <x:c r="J115" s="4" t="str">
        <x:v>COMPLETA</x:v>
      </x:c>
      <x:c r="K115" s="4" t="str">
        <x:v>ORDEN_ACREDITADO</x:v>
      </x:c>
      <x:c r="L115" s="4" t="str">
        <x:v>VALIDA</x:v>
      </x:c>
      <x:c r="M115" s="4" t="str">
        <x:v>U</x:v>
      </x:c>
      <x:c r="N115" s="4" t="str">
        <x:v>OBSERVACION_INSUFICIENTE</x:v>
      </x:c>
      <x:c r="O115" s="12" t="str">
        <x:f>IF(Q115="SIN_EJECUCION_DOMINIO","FALLO_CAPTURA",IF(OR(Q115="CAPTURA_MAL_FORMADA",Q115="IDENTIDAD",Q115="OBSERVACION_MAL_FORMADA",Q115="LEXEMA_O_FORMA"),"NO_ADMISION",IF(OR(Q115="PERFIL_NO_CONSTITUIDO",Q115="RESULTADO_NO_TERMINAL"),"FUERA_PERFIL",IF(Q115="CONTEXTO_NO_CONSTITUIDO","CONFIGURACION_PENDIENTE","VALIDA"))))</x:f>
        <x:v>VALIDA</x:v>
      </x:c>
      <x:c r="P115" s="12" t="str">
        <x:f>IF(O115&lt;&gt;"VALIDA","",IF(Q115=AA115,"1",IF(Q115=AB115,"0","U")))</x:f>
        <x:v>U</x:v>
      </x:c>
      <x:c r="Q115" s="12" t="str">
        <x:f>IF(E115="FALLO","SIN_EJECUCION_DOMINIO",IF(E115&lt;&gt;"LEGIBLE","CAPTURA_MAL_FORMADA",IF(D115&lt;&gt;"COINCIDE","IDENTIDAD",IF(OR(T115="",C115&lt;&gt;T115),"PERFIL_NO_CONSTITUIDO",IF(K115&lt;&gt;V115,IF(V115="ORDEN_ACREDITADO","ORDEN_NO_ACREDITADO","CONTEXTO_NO_CONSTITUIDO"),IF(AND(G115="AUSENTE",H115="",I115=""),"DATO_AUSENTE",IF(AND(G115="CONFLICTO",H115="",I115=""),"CONFLICTO_OBSERVACIONAL",IF(G115&lt;&gt;"UNICA","OBSERVACION_MAL_FORMADA",IF(F115&lt;&gt;U115,"OBSERVACION_INSUFICIENTE",IF(W115="RESULTADO",IF(H115=X115,AA115,IF(OR(H115="orcSucceededWithErrors",H115="orcFailed",H115="orcAborted"),AB115,IF(OR(H115="orcNotStarted",H115="orcInProgress"),"RESULTADO_NO_TERMINAL","LEXEMA_O_FORMA"))),IF(W115="EVENTO_BOOT",IF(H115=X115,AA115,IF(OR(H115="NINGUNO",H115="SOLO_HIBRIDO"),IF(J115="COMPLETA",AB115,"COBERTURA_INSUFICIENTE"),"LEXEMA_O_FORMA")),IF(W115="REQUISITO_SOFT",IF(H115=X115,AA115,IF(H115=Z115,AB115,"LEXEMA_O_FORMA")),IF(W115="EVENTO_PROC",IF(H115=X115,AA115,IF(H115=Z115,IF(J115="COMPLETA",AB115,"COBERTURA_INSUFICIENTE"),"LEXEMA_O_FORMA")),IF(W115="IMAGEN",IF(AND(AND(ISTEXT(H115),LEN(("x"&amp;H115))=65,EXACT(("x"&amp;H115),LOWER(("x"&amp;H115))),ISERROR(SEARCH(" ",("x"&amp;H115))),ISERROR(SEARCH(CHAR(9),("x"&amp;H115))),ISERROR(SEARCH(CHAR(10),("x"&amp;H115))),ISERROR(SEARCH(CHAR(13),("x"&amp;H115))),IFERROR(HEX2DEC(MID(("x"&amp;H115),2,8))&gt;=0,FALSE),IFERROR(HEX2DEC(MID(("x"&amp;H115),10,8))&gt;=0,FALSE),IFERROR(HEX2DEC(MID(("x"&amp;H115),18,8))&gt;=0,FALSE),IFERROR(HEX2DEC(MID(("x"&amp;H115),26,8))&gt;=0,FALSE),IFERROR(HEX2DEC(MID(("x"&amp;H115),34,8))&gt;=0,FALSE),IFERROR(HEX2DEC(MID(("x"&amp;H115),42,8))&gt;=0,FALSE),IFERROR(HEX2DEC(MID(("x"&amp;H115),50,8))&gt;=0,FALSE),IFERROR(HEX2DEC(MID(("x"&amp;H115),58,8))&gt;=0,FALSE)),AND(ISTEXT(I115),LEN(("x"&amp;I115))=65,EXACT(("x"&amp;I115),LOWER(("x"&amp;I115))),ISERROR(SEARCH(" ",("x"&amp;I115))),ISERROR(SEARCH(CHAR(9),("x"&amp;I115))),ISERROR(SEARCH(CHAR(10),("x"&amp;I115))),ISERROR(SEARCH(CHAR(13),("x"&amp;I115))),IFERROR(HEX2DEC(MID(("x"&amp;I115),2,8))&gt;=0,FALSE),IFERROR(HEX2DEC(MID(("x"&amp;I115),10,8))&gt;=0,FALSE),IFERROR(HEX2DEC(MID(("x"&amp;I115),18,8))&gt;=0,FALSE),IFERROR(HEX2DEC(MID(("x"&amp;I115),26,8))&gt;=0,FALSE),IFERROR(HEX2DEC(MID(("x"&amp;I115),34,8))&gt;=0,FALSE),IFERROR(HEX2DEC(MID(("x"&amp;I115),42,8))&gt;=0,FALSE),IFERROR(HEX2DEC(MID(("x"&amp;I115),50,8))&gt;=0,FALSE),IFERROR(HEX2DEC(MID(("x"&amp;I115),58,8))&gt;=0,FALSE))),IF(EXACT("x"&amp;H115,"x"&amp;I115),AA115,AB115),"LEXEMA_O_FORMA"),IF(W115="PRUEBA",IF(H115=X115,AA115,IF(H115=Z115,AB115,"LEXEMA_O_FORMA")),IF(W115="RETIRADA",IF(AND(H115="NINGUNO",I115=""),IF(J115="COMPLETA",AB115,"COBERTURA_INSUFICIENTE"),IF(AND(OR(H115="uoInstallation",H115="uoUninstallation"),OR(I115="orcSucceeded",I115="orcSucceededWithErrors",I115="orcFailed",I115="orcAborted",I115="orcInProgress",I115="orcNotStarted")),IF(AND(H115=X115,I115=Y115),AA115,IF(AND(H115=X115,OR(I115="orcSucceededWithErrors",I115="orcInProgress",I115="orcNotStarted")),"RESULTADO_RETIRADA_INCIERTO",IF(J115="COMPLETA",AB115,"COBERTURA_INSUFICIENTE"))),"LEXEMA_O_FORMA")),IF(W115="CAMBIO",IF(OR(H115="CAMBIO",H115="CAMBIO_Y_RETORNO"),AA115,IF(OR(H115="NINGUNO",H115="SOLO_RENOMBRE"),IF(J115="COMPLETA",AB115,"COBERTURA_INSUFICIENTE"),"LEXEMA_O_FORMA")),IF(W115="RESTAURACION",IF(H115=X115,AA115,IF(OR(H115="NINGUNO",H115="RESTAURACION_POSTERIOR",H115="RESTAURACION_FALLIDA"),IF(J115="COMPLETA",AB115,"COBERTURA_INSUFICIENTE"),"LEXEMA_O_FORMA")),"PERFIL_NO_CONSTITUIDO"))))))))))))))))))</x:f>
        <x:v>OBSERVACION_INSUFICIENTE</x:v>
      </x:c>
      <x:c r="R115" s="12" t="str">
        <x:f>IF(AND(L115=O115,M115=P115,N115=Q115),"PASA","NO_PASA")</x:f>
        <x:v>PASA</x:v>
      </x:c>
      <x:c r="S115" s="4" t="str">
        <x:v>Igualdad de estados extremos sin historia no prueba ausencia de cambios.</x:v>
      </x:c>
      <x:c r="T115" s="12" t="str">
        <x:f>IFERROR(INDEX('55_Codificacion_ensayo'!$B$5:$B$13,MATCH(B115,'55_Codificacion_ensayo'!$A$5:$A$13,0)),"")</x:f>
        <x:v>HISTORIA-CAMBIO-COMPONENTE-0.1</x:v>
      </x:c>
      <x:c r="U115" s="12" t="str">
        <x:f>IFERROR(INDEX('55_Codificacion_ensayo'!$C$5:$C$13,MATCH(B115,'55_Codificacion_ensayo'!$A$5:$A$13,0)),"")</x:f>
        <x:v>HISTORIA_BINARIA</x:v>
      </x:c>
      <x:c r="V115" s="12" t="str">
        <x:f>IFERROR(INDEX('55_Codificacion_ensayo'!$D$5:$D$13,MATCH(B115,'55_Codificacion_ensayo'!$A$5:$A$13,0)),"")</x:f>
        <x:v>ORDEN_ACREDITADO</x:v>
      </x:c>
      <x:c r="W115" s="12" t="str">
        <x:f>IFERROR(INDEX('55_Codificacion_ensayo'!$E$5:$E$13,MATCH(B115,'55_Codificacion_ensayo'!$A$5:$A$13,0)),"")</x:f>
        <x:v>CAMBIO</x:v>
      </x:c>
      <x:c r="X115" s="12" t="str">
        <x:f>IFERROR(INDEX('55_Codificacion_ensayo'!$F$5:$F$13,MATCH(B115,'55_Codificacion_ensayo'!$A$5:$A$13,0)),"")</x:f>
        <x:v>CAMBIO</x:v>
      </x:c>
      <x:c r="Y115" s="12" t="str">
        <x:f>IFERROR(INDEX('55_Codificacion_ensayo'!$G$5:$G$13,MATCH(B115,'55_Codificacion_ensayo'!$A$5:$A$13,0)),"")</x:f>
      </x:c>
      <x:c r="Z115" s="12" t="str">
        <x:f>IFERROR(INDEX('55_Codificacion_ensayo'!$H$5:$H$13,MATCH(B115,'55_Codificacion_ensayo'!$A$5:$A$13,0)),"")</x:f>
        <x:v>NINGUNO</x:v>
      </x:c>
      <x:c r="AA115" s="12" t="str">
        <x:f>IFERROR(INDEX('55_Codificacion_ensayo'!$I$5:$I$13,MATCH(B115,'55_Codificacion_ensayo'!$A$5:$A$13,0)),"")</x:f>
        <x:v>CAMBIO_POSTERIOR</x:v>
      </x:c>
      <x:c r="AB115" s="12" t="str">
        <x:f>IFERROR(INDEX('55_Codificacion_ensayo'!$J$5:$J$13,MATCH(B115,'55_Codificacion_ensayo'!$A$5:$A$13,0)),"")</x:f>
        <x:v>SIN_CAMBIO_ACREDITADO</x:v>
      </x:c>
    </x:row>
    <x:row r="116" ht="47" customHeight="1">
      <x:c r="A116" s="4" t="str">
        <x:v>L10-09-15</x:v>
      </x:c>
      <x:c r="B116" s="4" t="str">
        <x:v>PAR-CYB-CAMBIO-COMPONENTE-POSTERIOR-001</x:v>
      </x:c>
      <x:c r="C116" s="4" t="str">
        <x:v>HISTORIA-CAMBIO-COMPONENTE-0.1</x:v>
      </x:c>
      <x:c r="D116" s="4" t="str">
        <x:v>COINCIDE</x:v>
      </x:c>
      <x:c r="E116" s="4" t="str">
        <x:v>LEGIBLE</x:v>
      </x:c>
      <x:c r="F116" s="4" t="str">
        <x:v>HISTORIA_BINARIA</x:v>
      </x:c>
      <x:c r="G116" s="4" t="str">
        <x:v>UNICA</x:v>
      </x:c>
      <x:c r="H116" s="4" t="str">
        <x:v>SOLO_RENOMBRE</x:v>
      </x:c>
      <x:c r="I116" s="4" t="str"/>
      <x:c r="J116" s="4" t="str">
        <x:v>COMPLETA</x:v>
      </x:c>
      <x:c r="K116" s="4" t="str">
        <x:v>ORDEN_ACREDITADO</x:v>
      </x:c>
      <x:c r="L116" s="4" t="str">
        <x:v>VALIDA</x:v>
      </x:c>
      <x:c r="M116" s="4" t="str">
        <x:v>0</x:v>
      </x:c>
      <x:c r="N116" s="4" t="str">
        <x:v>SIN_CAMBIO_ACREDITADO</x:v>
      </x:c>
      <x:c r="O116" s="12" t="str">
        <x:f>IF(Q116="SIN_EJECUCION_DOMINIO","FALLO_CAPTURA",IF(OR(Q116="CAPTURA_MAL_FORMADA",Q116="IDENTIDAD",Q116="OBSERVACION_MAL_FORMADA",Q116="LEXEMA_O_FORMA"),"NO_ADMISION",IF(OR(Q116="PERFIL_NO_CONSTITUIDO",Q116="RESULTADO_NO_TERMINAL"),"FUERA_PERFIL",IF(Q116="CONTEXTO_NO_CONSTITUIDO","CONFIGURACION_PENDIENTE","VALIDA"))))</x:f>
        <x:v>VALIDA</x:v>
      </x:c>
      <x:c r="P116" s="12" t="str">
        <x:f>IF(O116&lt;&gt;"VALIDA","",IF(Q116=AA116,"1",IF(Q116=AB116,"0","U")))</x:f>
        <x:v>0</x:v>
      </x:c>
      <x:c r="Q116" s="12" t="str">
        <x:f>IF(E116="FALLO","SIN_EJECUCION_DOMINIO",IF(E116&lt;&gt;"LEGIBLE","CAPTURA_MAL_FORMADA",IF(D116&lt;&gt;"COINCIDE","IDENTIDAD",IF(OR(T116="",C116&lt;&gt;T116),"PERFIL_NO_CONSTITUIDO",IF(K116&lt;&gt;V116,IF(V116="ORDEN_ACREDITADO","ORDEN_NO_ACREDITADO","CONTEXTO_NO_CONSTITUIDO"),IF(AND(G116="AUSENTE",H116="",I116=""),"DATO_AUSENTE",IF(AND(G116="CONFLICTO",H116="",I116=""),"CONFLICTO_OBSERVACIONAL",IF(G116&lt;&gt;"UNICA","OBSERVACION_MAL_FORMADA",IF(F116&lt;&gt;U116,"OBSERVACION_INSUFICIENTE",IF(W116="RESULTADO",IF(H116=X116,AA116,IF(OR(H116="orcSucceededWithErrors",H116="orcFailed",H116="orcAborted"),AB116,IF(OR(H116="orcNotStarted",H116="orcInProgress"),"RESULTADO_NO_TERMINAL","LEXEMA_O_FORMA"))),IF(W116="EVENTO_BOOT",IF(H116=X116,AA116,IF(OR(H116="NINGUNO",H116="SOLO_HIBRIDO"),IF(J116="COMPLETA",AB116,"COBERTURA_INSUFICIENTE"),"LEXEMA_O_FORMA")),IF(W116="REQUISITO_SOFT",IF(H116=X116,AA116,IF(H116=Z116,AB116,"LEXEMA_O_FORMA")),IF(W116="EVENTO_PROC",IF(H116=X116,AA116,IF(H116=Z116,IF(J116="COMPLETA",AB116,"COBERTURA_INSUFICIENTE"),"LEXEMA_O_FORMA")),IF(W116="IMAGEN",IF(AND(AND(ISTEXT(H116),LEN(("x"&amp;H116))=65,EXACT(("x"&amp;H116),LOWER(("x"&amp;H116))),ISERROR(SEARCH(" ",("x"&amp;H116))),ISERROR(SEARCH(CHAR(9),("x"&amp;H116))),ISERROR(SEARCH(CHAR(10),("x"&amp;H116))),ISERROR(SEARCH(CHAR(13),("x"&amp;H116))),IFERROR(HEX2DEC(MID(("x"&amp;H116),2,8))&gt;=0,FALSE),IFERROR(HEX2DEC(MID(("x"&amp;H116),10,8))&gt;=0,FALSE),IFERROR(HEX2DEC(MID(("x"&amp;H116),18,8))&gt;=0,FALSE),IFERROR(HEX2DEC(MID(("x"&amp;H116),26,8))&gt;=0,FALSE),IFERROR(HEX2DEC(MID(("x"&amp;H116),34,8))&gt;=0,FALSE),IFERROR(HEX2DEC(MID(("x"&amp;H116),42,8))&gt;=0,FALSE),IFERROR(HEX2DEC(MID(("x"&amp;H116),50,8))&gt;=0,FALSE),IFERROR(HEX2DEC(MID(("x"&amp;H116),58,8))&gt;=0,FALSE)),AND(ISTEXT(I116),LEN(("x"&amp;I116))=65,EXACT(("x"&amp;I116),LOWER(("x"&amp;I116))),ISERROR(SEARCH(" ",("x"&amp;I116))),ISERROR(SEARCH(CHAR(9),("x"&amp;I116))),ISERROR(SEARCH(CHAR(10),("x"&amp;I116))),ISERROR(SEARCH(CHAR(13),("x"&amp;I116))),IFERROR(HEX2DEC(MID(("x"&amp;I116),2,8))&gt;=0,FALSE),IFERROR(HEX2DEC(MID(("x"&amp;I116),10,8))&gt;=0,FALSE),IFERROR(HEX2DEC(MID(("x"&amp;I116),18,8))&gt;=0,FALSE),IFERROR(HEX2DEC(MID(("x"&amp;I116),26,8))&gt;=0,FALSE),IFERROR(HEX2DEC(MID(("x"&amp;I116),34,8))&gt;=0,FALSE),IFERROR(HEX2DEC(MID(("x"&amp;I116),42,8))&gt;=0,FALSE),IFERROR(HEX2DEC(MID(("x"&amp;I116),50,8))&gt;=0,FALSE),IFERROR(HEX2DEC(MID(("x"&amp;I116),58,8))&gt;=0,FALSE))),IF(EXACT("x"&amp;H116,"x"&amp;I116),AA116,AB116),"LEXEMA_O_FORMA"),IF(W116="PRUEBA",IF(H116=X116,AA116,IF(H116=Z116,AB116,"LEXEMA_O_FORMA")),IF(W116="RETIRADA",IF(AND(H116="NINGUNO",I116=""),IF(J116="COMPLETA",AB116,"COBERTURA_INSUFICIENTE"),IF(AND(OR(H116="uoInstallation",H116="uoUninstallation"),OR(I116="orcSucceeded",I116="orcSucceededWithErrors",I116="orcFailed",I116="orcAborted",I116="orcInProgress",I116="orcNotStarted")),IF(AND(H116=X116,I116=Y116),AA116,IF(AND(H116=X116,OR(I116="orcSucceededWithErrors",I116="orcInProgress",I116="orcNotStarted")),"RESULTADO_RETIRADA_INCIERTO",IF(J116="COMPLETA",AB116,"COBERTURA_INSUFICIENTE"))),"LEXEMA_O_FORMA")),IF(W116="CAMBIO",IF(OR(H116="CAMBIO",H116="CAMBIO_Y_RETORNO"),AA116,IF(OR(H116="NINGUNO",H116="SOLO_RENOMBRE"),IF(J116="COMPLETA",AB116,"COBERTURA_INSUFICIENTE"),"LEXEMA_O_FORMA")),IF(W116="RESTAURACION",IF(H116=X116,AA116,IF(OR(H116="NINGUNO",H116="RESTAURACION_POSTERIOR",H116="RESTAURACION_FALLIDA"),IF(J116="COMPLETA",AB116,"COBERTURA_INSUFICIENTE"),"LEXEMA_O_FORMA")),"PERFIL_NO_CONSTITUIDO"))))))))))))))))))</x:f>
        <x:v>SIN_CAMBIO_ACREDITADO</x:v>
      </x:c>
      <x:c r="R116" s="12" t="str">
        <x:f>IF(AND(L116=O116,M116=P116,N116=Q116),"PASA","NO_PASA")</x:f>
        <x:v>PASA</x:v>
      </x:c>
      <x:c r="S116" s="4" t="str">
        <x:v>Renombrado de catálogo sin cambio binario no pertenece al predicado.</x:v>
      </x:c>
      <x:c r="T116" s="12" t="str">
        <x:f>IFERROR(INDEX('55_Codificacion_ensayo'!$B$5:$B$13,MATCH(B116,'55_Codificacion_ensayo'!$A$5:$A$13,0)),"")</x:f>
        <x:v>HISTORIA-CAMBIO-COMPONENTE-0.1</x:v>
      </x:c>
      <x:c r="U116" s="12" t="str">
        <x:f>IFERROR(INDEX('55_Codificacion_ensayo'!$C$5:$C$13,MATCH(B116,'55_Codificacion_ensayo'!$A$5:$A$13,0)),"")</x:f>
        <x:v>HISTORIA_BINARIA</x:v>
      </x:c>
      <x:c r="V116" s="12" t="str">
        <x:f>IFERROR(INDEX('55_Codificacion_ensayo'!$D$5:$D$13,MATCH(B116,'55_Codificacion_ensayo'!$A$5:$A$13,0)),"")</x:f>
        <x:v>ORDEN_ACREDITADO</x:v>
      </x:c>
      <x:c r="W116" s="12" t="str">
        <x:f>IFERROR(INDEX('55_Codificacion_ensayo'!$E$5:$E$13,MATCH(B116,'55_Codificacion_ensayo'!$A$5:$A$13,0)),"")</x:f>
        <x:v>CAMBIO</x:v>
      </x:c>
      <x:c r="X116" s="12" t="str">
        <x:f>IFERROR(INDEX('55_Codificacion_ensayo'!$F$5:$F$13,MATCH(B116,'55_Codificacion_ensayo'!$A$5:$A$13,0)),"")</x:f>
        <x:v>CAMBIO</x:v>
      </x:c>
      <x:c r="Y116" s="12" t="str">
        <x:f>IFERROR(INDEX('55_Codificacion_ensayo'!$G$5:$G$13,MATCH(B116,'55_Codificacion_ensayo'!$A$5:$A$13,0)),"")</x:f>
      </x:c>
      <x:c r="Z116" s="12" t="str">
        <x:f>IFERROR(INDEX('55_Codificacion_ensayo'!$H$5:$H$13,MATCH(B116,'55_Codificacion_ensayo'!$A$5:$A$13,0)),"")</x:f>
        <x:v>NINGUNO</x:v>
      </x:c>
      <x:c r="AA116" s="12" t="str">
        <x:f>IFERROR(INDEX('55_Codificacion_ensayo'!$I$5:$I$13,MATCH(B116,'55_Codificacion_ensayo'!$A$5:$A$13,0)),"")</x:f>
        <x:v>CAMBIO_POSTERIOR</x:v>
      </x:c>
      <x:c r="AB116" s="12" t="str">
        <x:f>IFERROR(INDEX('55_Codificacion_ensayo'!$J$5:$J$13,MATCH(B116,'55_Codificacion_ensayo'!$A$5:$A$13,0)),"")</x:f>
        <x:v>SIN_CAMBIO_ACREDITADO</x:v>
      </x:c>
    </x:row>
    <x:row r="117" ht="47" customHeight="1">
      <x:c r="A117" s="4" t="str">
        <x:v>L10-10-01</x:v>
      </x:c>
      <x:c r="B117" s="4" t="str">
        <x:v>PAR-CYB-RESTAURACION-PREVIA-COMUNICADA-001</x:v>
      </x:c>
      <x:c r="C117" s="4" t="str">
        <x:v>HISTORIA-RESTAURACION-PREVIA-0.1</x:v>
      </x:c>
      <x:c r="D117" s="4" t="str">
        <x:v>COINCIDE</x:v>
      </x:c>
      <x:c r="E117" s="4" t="str">
        <x:v>LEGIBLE</x:v>
      </x:c>
      <x:c r="F117" s="4" t="str">
        <x:v>TRABAJO_RESTAURACION</x:v>
      </x:c>
      <x:c r="G117" s="4" t="str">
        <x:v>UNICA</x:v>
      </x:c>
      <x:c r="H117" s="4" t="str">
        <x:v>RESTAURACION_PREVIA</x:v>
      </x:c>
      <x:c r="I117" s="4" t="str"/>
      <x:c r="J117" s="4" t="str">
        <x:v>COMPLETA</x:v>
      </x:c>
      <x:c r="K117" s="4" t="str">
        <x:v>ORDEN_ACREDITADO</x:v>
      </x:c>
      <x:c r="L117" s="4" t="str">
        <x:v>VALIDA</x:v>
      </x:c>
      <x:c r="M117" s="4" t="str">
        <x:v>1</x:v>
      </x:c>
      <x:c r="N117" s="4" t="str">
        <x:v>RESTAURACION_PREVIA</x:v>
      </x:c>
      <x:c r="O117" s="12" t="str">
        <x:f>IF(Q117="SIN_EJECUCION_DOMINIO","FALLO_CAPTURA",IF(OR(Q117="CAPTURA_MAL_FORMADA",Q117="IDENTIDAD",Q117="OBSERVACION_MAL_FORMADA",Q117="LEXEMA_O_FORMA"),"NO_ADMISION",IF(OR(Q117="PERFIL_NO_CONSTITUIDO",Q117="RESULTADO_NO_TERMINAL"),"FUERA_PERFIL",IF(Q117="CONTEXTO_NO_CONSTITUIDO","CONFIGURACION_PENDIENTE","VALIDA"))))</x:f>
        <x:v>VALIDA</x:v>
      </x:c>
      <x:c r="P117" s="12" t="str">
        <x:f>IF(O117&lt;&gt;"VALIDA","",IF(Q117=AA117,"1",IF(Q117=AB117,"0","U")))</x:f>
        <x:v>1</x:v>
      </x:c>
      <x:c r="Q117" s="12" t="str">
        <x:f>IF(E117="FALLO","SIN_EJECUCION_DOMINIO",IF(E117&lt;&gt;"LEGIBLE","CAPTURA_MAL_FORMADA",IF(D117&lt;&gt;"COINCIDE","IDENTIDAD",IF(OR(T117="",C117&lt;&gt;T117),"PERFIL_NO_CONSTITUIDO",IF(K117&lt;&gt;V117,IF(V117="ORDEN_ACREDITADO","ORDEN_NO_ACREDITADO","CONTEXTO_NO_CONSTITUIDO"),IF(AND(G117="AUSENTE",H117="",I117=""),"DATO_AUSENTE",IF(AND(G117="CONFLICTO",H117="",I117=""),"CONFLICTO_OBSERVACIONAL",IF(G117&lt;&gt;"UNICA","OBSERVACION_MAL_FORMADA",IF(F117&lt;&gt;U117,"OBSERVACION_INSUFICIENTE",IF(W117="RESULTADO",IF(H117=X117,AA117,IF(OR(H117="orcSucceededWithErrors",H117="orcFailed",H117="orcAborted"),AB117,IF(OR(H117="orcNotStarted",H117="orcInProgress"),"RESULTADO_NO_TERMINAL","LEXEMA_O_FORMA"))),IF(W117="EVENTO_BOOT",IF(H117=X117,AA117,IF(OR(H117="NINGUNO",H117="SOLO_HIBRIDO"),IF(J117="COMPLETA",AB117,"COBERTURA_INSUFICIENTE"),"LEXEMA_O_FORMA")),IF(W117="REQUISITO_SOFT",IF(H117=X117,AA117,IF(H117=Z117,AB117,"LEXEMA_O_FORMA")),IF(W117="EVENTO_PROC",IF(H117=X117,AA117,IF(H117=Z117,IF(J117="COMPLETA",AB117,"COBERTURA_INSUFICIENTE"),"LEXEMA_O_FORMA")),IF(W117="IMAGEN",IF(AND(AND(ISTEXT(H117),LEN(("x"&amp;H117))=65,EXACT(("x"&amp;H117),LOWER(("x"&amp;H117))),ISERROR(SEARCH(" ",("x"&amp;H117))),ISERROR(SEARCH(CHAR(9),("x"&amp;H117))),ISERROR(SEARCH(CHAR(10),("x"&amp;H117))),ISERROR(SEARCH(CHAR(13),("x"&amp;H117))),IFERROR(HEX2DEC(MID(("x"&amp;H117),2,8))&gt;=0,FALSE),IFERROR(HEX2DEC(MID(("x"&amp;H117),10,8))&gt;=0,FALSE),IFERROR(HEX2DEC(MID(("x"&amp;H117),18,8))&gt;=0,FALSE),IFERROR(HEX2DEC(MID(("x"&amp;H117),26,8))&gt;=0,FALSE),IFERROR(HEX2DEC(MID(("x"&amp;H117),34,8))&gt;=0,FALSE),IFERROR(HEX2DEC(MID(("x"&amp;H117),42,8))&gt;=0,FALSE),IFERROR(HEX2DEC(MID(("x"&amp;H117),50,8))&gt;=0,FALSE),IFERROR(HEX2DEC(MID(("x"&amp;H117),58,8))&gt;=0,FALSE)),AND(ISTEXT(I117),LEN(("x"&amp;I117))=65,EXACT(("x"&amp;I117),LOWER(("x"&amp;I117))),ISERROR(SEARCH(" ",("x"&amp;I117))),ISERROR(SEARCH(CHAR(9),("x"&amp;I117))),ISERROR(SEARCH(CHAR(10),("x"&amp;I117))),ISERROR(SEARCH(CHAR(13),("x"&amp;I117))),IFERROR(HEX2DEC(MID(("x"&amp;I117),2,8))&gt;=0,FALSE),IFERROR(HEX2DEC(MID(("x"&amp;I117),10,8))&gt;=0,FALSE),IFERROR(HEX2DEC(MID(("x"&amp;I117),18,8))&gt;=0,FALSE),IFERROR(HEX2DEC(MID(("x"&amp;I117),26,8))&gt;=0,FALSE),IFERROR(HEX2DEC(MID(("x"&amp;I117),34,8))&gt;=0,FALSE),IFERROR(HEX2DEC(MID(("x"&amp;I117),42,8))&gt;=0,FALSE),IFERROR(HEX2DEC(MID(("x"&amp;I117),50,8))&gt;=0,FALSE),IFERROR(HEX2DEC(MID(("x"&amp;I117),58,8))&gt;=0,FALSE))),IF(EXACT("x"&amp;H117,"x"&amp;I117),AA117,AB117),"LEXEMA_O_FORMA"),IF(W117="PRUEBA",IF(H117=X117,AA117,IF(H117=Z117,AB117,"LEXEMA_O_FORMA")),IF(W117="RETIRADA",IF(AND(H117="NINGUNO",I117=""),IF(J117="COMPLETA",AB117,"COBERTURA_INSUFICIENTE"),IF(AND(OR(H117="uoInstallation",H117="uoUninstallation"),OR(I117="orcSucceeded",I117="orcSucceededWithErrors",I117="orcFailed",I117="orcAborted",I117="orcInProgress",I117="orcNotStarted")),IF(AND(H117=X117,I117=Y117),AA117,IF(AND(H117=X117,OR(I117="orcSucceededWithErrors",I117="orcInProgress",I117="orcNotStarted")),"RESULTADO_RETIRADA_INCIERTO",IF(J117="COMPLETA",AB117,"COBERTURA_INSUFICIENTE"))),"LEXEMA_O_FORMA")),IF(W117="CAMBIO",IF(OR(H117="CAMBIO",H117="CAMBIO_Y_RETORNO"),AA117,IF(OR(H117="NINGUNO",H117="SOLO_RENOMBRE"),IF(J117="COMPLETA",AB117,"COBERTURA_INSUFICIENTE"),"LEXEMA_O_FORMA")),IF(W117="RESTAURACION",IF(H117=X117,AA117,IF(OR(H117="NINGUNO",H117="RESTAURACION_POSTERIOR",H117="RESTAURACION_FALLIDA"),IF(J117="COMPLETA",AB117,"COBERTURA_INSUFICIENTE"),"LEXEMA_O_FORMA")),"PERFIL_NO_CONSTITUIDO"))))))))))))))))))</x:f>
        <x:v>RESTAURACION_PREVIA</x:v>
      </x:c>
      <x:c r="R117" s="12" t="str">
        <x:f>IF(AND(L117=O117,M117=P117,N117=Q117),"PASA","NO_PASA")</x:f>
        <x:v>PASA</x:v>
      </x:c>
      <x:c r="S117" s="4" t="str">
        <x:v>Testigo positivo de la proposición; no licencia ninguna conclusión más amplia.</x:v>
      </x:c>
      <x:c r="T117" s="12" t="str">
        <x:f>IFERROR(INDEX('55_Codificacion_ensayo'!$B$5:$B$13,MATCH(B117,'55_Codificacion_ensayo'!$A$5:$A$13,0)),"")</x:f>
        <x:v>HISTORIA-RESTAURACION-PREVIA-0.1</x:v>
      </x:c>
      <x:c r="U117" s="12" t="str">
        <x:f>IFERROR(INDEX('55_Codificacion_ensayo'!$C$5:$C$13,MATCH(B117,'55_Codificacion_ensayo'!$A$5:$A$13,0)),"")</x:f>
        <x:v>TRABAJO_RESTAURACION</x:v>
      </x:c>
      <x:c r="V117" s="12" t="str">
        <x:f>IFERROR(INDEX('55_Codificacion_ensayo'!$D$5:$D$13,MATCH(B117,'55_Codificacion_ensayo'!$A$5:$A$13,0)),"")</x:f>
        <x:v>ORDEN_ACREDITADO</x:v>
      </x:c>
      <x:c r="W117" s="12" t="str">
        <x:f>IFERROR(INDEX('55_Codificacion_ensayo'!$E$5:$E$13,MATCH(B117,'55_Codificacion_ensayo'!$A$5:$A$13,0)),"")</x:f>
        <x:v>RESTAURACION</x:v>
      </x:c>
      <x:c r="X117" s="12" t="str">
        <x:f>IFERROR(INDEX('55_Codificacion_ensayo'!$F$5:$F$13,MATCH(B117,'55_Codificacion_ensayo'!$A$5:$A$13,0)),"")</x:f>
        <x:v>RESTAURACION_PREVIA</x:v>
      </x:c>
      <x:c r="Y117" s="12" t="str">
        <x:f>IFERROR(INDEX('55_Codificacion_ensayo'!$G$5:$G$13,MATCH(B117,'55_Codificacion_ensayo'!$A$5:$A$13,0)),"")</x:f>
      </x:c>
      <x:c r="Z117" s="12" t="str">
        <x:f>IFERROR(INDEX('55_Codificacion_ensayo'!$H$5:$H$13,MATCH(B117,'55_Codificacion_ensayo'!$A$5:$A$13,0)),"")</x:f>
        <x:v>NINGUNO</x:v>
      </x:c>
      <x:c r="AA117" s="12" t="str">
        <x:f>IFERROR(INDEX('55_Codificacion_ensayo'!$I$5:$I$13,MATCH(B117,'55_Codificacion_ensayo'!$A$5:$A$13,0)),"")</x:f>
        <x:v>RESTAURACION_PREVIA</x:v>
      </x:c>
      <x:c r="AB117" s="12" t="str">
        <x:f>IFERROR(INDEX('55_Codificacion_ensayo'!$J$5:$J$13,MATCH(B117,'55_Codificacion_ensayo'!$A$5:$A$13,0)),"")</x:f>
        <x:v>SIN_RESTAURACION_PREVIA</x:v>
      </x:c>
    </x:row>
    <x:row r="118" ht="47" customHeight="1">
      <x:c r="A118" s="4" t="str">
        <x:v>L10-10-02</x:v>
      </x:c>
      <x:c r="B118" s="4" t="str">
        <x:v>PAR-CYB-RESTAURACION-PREVIA-COMUNICADA-001</x:v>
      </x:c>
      <x:c r="C118" s="4" t="str">
        <x:v>HISTORIA-RESTAURACION-PREVIA-0.1</x:v>
      </x:c>
      <x:c r="D118" s="4" t="str">
        <x:v>COINCIDE</x:v>
      </x:c>
      <x:c r="E118" s="4" t="str">
        <x:v>LEGIBLE</x:v>
      </x:c>
      <x:c r="F118" s="4" t="str">
        <x:v>TRABAJO_RESTAURACION</x:v>
      </x:c>
      <x:c r="G118" s="4" t="str">
        <x:v>UNICA</x:v>
      </x:c>
      <x:c r="H118" s="4" t="str">
        <x:v>NINGUNO</x:v>
      </x:c>
      <x:c r="I118" s="4" t="str"/>
      <x:c r="J118" s="4" t="str">
        <x:v>COMPLETA</x:v>
      </x:c>
      <x:c r="K118" s="4" t="str">
        <x:v>ORDEN_ACREDITADO</x:v>
      </x:c>
      <x:c r="L118" s="4" t="str">
        <x:v>VALIDA</x:v>
      </x:c>
      <x:c r="M118" s="4" t="str">
        <x:v>0</x:v>
      </x:c>
      <x:c r="N118" s="4" t="str">
        <x:v>SIN_RESTAURACION_PREVIA</x:v>
      </x:c>
      <x:c r="O118" s="12" t="str">
        <x:f>IF(Q118="SIN_EJECUCION_DOMINIO","FALLO_CAPTURA",IF(OR(Q118="CAPTURA_MAL_FORMADA",Q118="IDENTIDAD",Q118="OBSERVACION_MAL_FORMADA",Q118="LEXEMA_O_FORMA"),"NO_ADMISION",IF(OR(Q118="PERFIL_NO_CONSTITUIDO",Q118="RESULTADO_NO_TERMINAL"),"FUERA_PERFIL",IF(Q118="CONTEXTO_NO_CONSTITUIDO","CONFIGURACION_PENDIENTE","VALIDA"))))</x:f>
        <x:v>VALIDA</x:v>
      </x:c>
      <x:c r="P118" s="12" t="str">
        <x:f>IF(O118&lt;&gt;"VALIDA","",IF(Q118=AA118,"1",IF(Q118=AB118,"0","U")))</x:f>
        <x:v>0</x:v>
      </x:c>
      <x:c r="Q118" s="12" t="str">
        <x:f>IF(E118="FALLO","SIN_EJECUCION_DOMINIO",IF(E118&lt;&gt;"LEGIBLE","CAPTURA_MAL_FORMADA",IF(D118&lt;&gt;"COINCIDE","IDENTIDAD",IF(OR(T118="",C118&lt;&gt;T118),"PERFIL_NO_CONSTITUIDO",IF(K118&lt;&gt;V118,IF(V118="ORDEN_ACREDITADO","ORDEN_NO_ACREDITADO","CONTEXTO_NO_CONSTITUIDO"),IF(AND(G118="AUSENTE",H118="",I118=""),"DATO_AUSENTE",IF(AND(G118="CONFLICTO",H118="",I118=""),"CONFLICTO_OBSERVACIONAL",IF(G118&lt;&gt;"UNICA","OBSERVACION_MAL_FORMADA",IF(F118&lt;&gt;U118,"OBSERVACION_INSUFICIENTE",IF(W118="RESULTADO",IF(H118=X118,AA118,IF(OR(H118="orcSucceededWithErrors",H118="orcFailed",H118="orcAborted"),AB118,IF(OR(H118="orcNotStarted",H118="orcInProgress"),"RESULTADO_NO_TERMINAL","LEXEMA_O_FORMA"))),IF(W118="EVENTO_BOOT",IF(H118=X118,AA118,IF(OR(H118="NINGUNO",H118="SOLO_HIBRIDO"),IF(J118="COMPLETA",AB118,"COBERTURA_INSUFICIENTE"),"LEXEMA_O_FORMA")),IF(W118="REQUISITO_SOFT",IF(H118=X118,AA118,IF(H118=Z118,AB118,"LEXEMA_O_FORMA")),IF(W118="EVENTO_PROC",IF(H118=X118,AA118,IF(H118=Z118,IF(J118="COMPLETA",AB118,"COBERTURA_INSUFICIENTE"),"LEXEMA_O_FORMA")),IF(W118="IMAGEN",IF(AND(AND(ISTEXT(H118),LEN(("x"&amp;H118))=65,EXACT(("x"&amp;H118),LOWER(("x"&amp;H118))),ISERROR(SEARCH(" ",("x"&amp;H118))),ISERROR(SEARCH(CHAR(9),("x"&amp;H118))),ISERROR(SEARCH(CHAR(10),("x"&amp;H118))),ISERROR(SEARCH(CHAR(13),("x"&amp;H118))),IFERROR(HEX2DEC(MID(("x"&amp;H118),2,8))&gt;=0,FALSE),IFERROR(HEX2DEC(MID(("x"&amp;H118),10,8))&gt;=0,FALSE),IFERROR(HEX2DEC(MID(("x"&amp;H118),18,8))&gt;=0,FALSE),IFERROR(HEX2DEC(MID(("x"&amp;H118),26,8))&gt;=0,FALSE),IFERROR(HEX2DEC(MID(("x"&amp;H118),34,8))&gt;=0,FALSE),IFERROR(HEX2DEC(MID(("x"&amp;H118),42,8))&gt;=0,FALSE),IFERROR(HEX2DEC(MID(("x"&amp;H118),50,8))&gt;=0,FALSE),IFERROR(HEX2DEC(MID(("x"&amp;H118),58,8))&gt;=0,FALSE)),AND(ISTEXT(I118),LEN(("x"&amp;I118))=65,EXACT(("x"&amp;I118),LOWER(("x"&amp;I118))),ISERROR(SEARCH(" ",("x"&amp;I118))),ISERROR(SEARCH(CHAR(9),("x"&amp;I118))),ISERROR(SEARCH(CHAR(10),("x"&amp;I118))),ISERROR(SEARCH(CHAR(13),("x"&amp;I118))),IFERROR(HEX2DEC(MID(("x"&amp;I118),2,8))&gt;=0,FALSE),IFERROR(HEX2DEC(MID(("x"&amp;I118),10,8))&gt;=0,FALSE),IFERROR(HEX2DEC(MID(("x"&amp;I118),18,8))&gt;=0,FALSE),IFERROR(HEX2DEC(MID(("x"&amp;I118),26,8))&gt;=0,FALSE),IFERROR(HEX2DEC(MID(("x"&amp;I118),34,8))&gt;=0,FALSE),IFERROR(HEX2DEC(MID(("x"&amp;I118),42,8))&gt;=0,FALSE),IFERROR(HEX2DEC(MID(("x"&amp;I118),50,8))&gt;=0,FALSE),IFERROR(HEX2DEC(MID(("x"&amp;I118),58,8))&gt;=0,FALSE))),IF(EXACT("x"&amp;H118,"x"&amp;I118),AA118,AB118),"LEXEMA_O_FORMA"),IF(W118="PRUEBA",IF(H118=X118,AA118,IF(H118=Z118,AB118,"LEXEMA_O_FORMA")),IF(W118="RETIRADA",IF(AND(H118="NINGUNO",I118=""),IF(J118="COMPLETA",AB118,"COBERTURA_INSUFICIENTE"),IF(AND(OR(H118="uoInstallation",H118="uoUninstallation"),OR(I118="orcSucceeded",I118="orcSucceededWithErrors",I118="orcFailed",I118="orcAborted",I118="orcInProgress",I118="orcNotStarted")),IF(AND(H118=X118,I118=Y118),AA118,IF(AND(H118=X118,OR(I118="orcSucceededWithErrors",I118="orcInProgress",I118="orcNotStarted")),"RESULTADO_RETIRADA_INCIERTO",IF(J118="COMPLETA",AB118,"COBERTURA_INSUFICIENTE"))),"LEXEMA_O_FORMA")),IF(W118="CAMBIO",IF(OR(H118="CAMBIO",H118="CAMBIO_Y_RETORNO"),AA118,IF(OR(H118="NINGUNO",H118="SOLO_RENOMBRE"),IF(J118="COMPLETA",AB118,"COBERTURA_INSUFICIENTE"),"LEXEMA_O_FORMA")),IF(W118="RESTAURACION",IF(H118=X118,AA118,IF(OR(H118="NINGUNO",H118="RESTAURACION_POSTERIOR",H118="RESTAURACION_FALLIDA"),IF(J118="COMPLETA",AB118,"COBERTURA_INSUFICIENTE"),"LEXEMA_O_FORMA")),"PERFIL_NO_CONSTITUIDO"))))))))))))))))))</x:f>
        <x:v>SIN_RESTAURACION_PREVIA</x:v>
      </x:c>
      <x:c r="R118" s="12" t="str">
        <x:f>IF(AND(L118=O118,M118=P118,N118=Q118),"PASA","NO_PASA")</x:f>
        <x:v>PASA</x:v>
      </x:c>
      <x:c r="S118" s="4" t="str">
        <x:v>Negativo explícito; en eventos exige cobertura del intervalo.</x:v>
      </x:c>
      <x:c r="T118" s="12" t="str">
        <x:f>IFERROR(INDEX('55_Codificacion_ensayo'!$B$5:$B$13,MATCH(B118,'55_Codificacion_ensayo'!$A$5:$A$13,0)),"")</x:f>
        <x:v>HISTORIA-RESTAURACION-PREVIA-0.1</x:v>
      </x:c>
      <x:c r="U118" s="12" t="str">
        <x:f>IFERROR(INDEX('55_Codificacion_ensayo'!$C$5:$C$13,MATCH(B118,'55_Codificacion_ensayo'!$A$5:$A$13,0)),"")</x:f>
        <x:v>TRABAJO_RESTAURACION</x:v>
      </x:c>
      <x:c r="V118" s="12" t="str">
        <x:f>IFERROR(INDEX('55_Codificacion_ensayo'!$D$5:$D$13,MATCH(B118,'55_Codificacion_ensayo'!$A$5:$A$13,0)),"")</x:f>
        <x:v>ORDEN_ACREDITADO</x:v>
      </x:c>
      <x:c r="W118" s="12" t="str">
        <x:f>IFERROR(INDEX('55_Codificacion_ensayo'!$E$5:$E$13,MATCH(B118,'55_Codificacion_ensayo'!$A$5:$A$13,0)),"")</x:f>
        <x:v>RESTAURACION</x:v>
      </x:c>
      <x:c r="X118" s="12" t="str">
        <x:f>IFERROR(INDEX('55_Codificacion_ensayo'!$F$5:$F$13,MATCH(B118,'55_Codificacion_ensayo'!$A$5:$A$13,0)),"")</x:f>
        <x:v>RESTAURACION_PREVIA</x:v>
      </x:c>
      <x:c r="Y118" s="12" t="str">
        <x:f>IFERROR(INDEX('55_Codificacion_ensayo'!$G$5:$G$13,MATCH(B118,'55_Codificacion_ensayo'!$A$5:$A$13,0)),"")</x:f>
      </x:c>
      <x:c r="Z118" s="12" t="str">
        <x:f>IFERROR(INDEX('55_Codificacion_ensayo'!$H$5:$H$13,MATCH(B118,'55_Codificacion_ensayo'!$A$5:$A$13,0)),"")</x:f>
        <x:v>NINGUNO</x:v>
      </x:c>
      <x:c r="AA118" s="12" t="str">
        <x:f>IFERROR(INDEX('55_Codificacion_ensayo'!$I$5:$I$13,MATCH(B118,'55_Codificacion_ensayo'!$A$5:$A$13,0)),"")</x:f>
        <x:v>RESTAURACION_PREVIA</x:v>
      </x:c>
      <x:c r="AB118" s="12" t="str">
        <x:f>IFERROR(INDEX('55_Codificacion_ensayo'!$J$5:$J$13,MATCH(B118,'55_Codificacion_ensayo'!$A$5:$A$13,0)),"")</x:f>
        <x:v>SIN_RESTAURACION_PREVIA</x:v>
      </x:c>
    </x:row>
    <x:row r="119" ht="47" customHeight="1">
      <x:c r="A119" s="4" t="str">
        <x:v>L10-10-03</x:v>
      </x:c>
      <x:c r="B119" s="4" t="str">
        <x:v>PAR-CYB-RESTAURACION-PREVIA-COMUNICADA-001</x:v>
      </x:c>
      <x:c r="C119" s="4" t="str">
        <x:v>HISTORIA-RESTAURACION-PREVIA-0.1</x:v>
      </x:c>
      <x:c r="D119" s="4" t="str">
        <x:v>COINCIDE</x:v>
      </x:c>
      <x:c r="E119" s="4" t="str">
        <x:v>LEGIBLE</x:v>
      </x:c>
      <x:c r="F119" s="4" t="str">
        <x:v>TRABAJO_RESTAURACION</x:v>
      </x:c>
      <x:c r="G119" s="4" t="str">
        <x:v>AUSENTE</x:v>
      </x:c>
      <x:c r="H119" s="4" t="str"/>
      <x:c r="I119" s="4" t="str"/>
      <x:c r="J119" s="4" t="str">
        <x:v>COMPLETA</x:v>
      </x:c>
      <x:c r="K119" s="4" t="str">
        <x:v>ORDEN_ACREDITADO</x:v>
      </x:c>
      <x:c r="L119" s="4" t="str">
        <x:v>VALIDA</x:v>
      </x:c>
      <x:c r="M119" s="4" t="str">
        <x:v>U</x:v>
      </x:c>
      <x:c r="N119" s="4" t="str">
        <x:v>DATO_AUSENTE</x:v>
      </x:c>
      <x:c r="O119" s="12" t="str">
        <x:f>IF(Q119="SIN_EJECUCION_DOMINIO","FALLO_CAPTURA",IF(OR(Q119="CAPTURA_MAL_FORMADA",Q119="IDENTIDAD",Q119="OBSERVACION_MAL_FORMADA",Q119="LEXEMA_O_FORMA"),"NO_ADMISION",IF(OR(Q119="PERFIL_NO_CONSTITUIDO",Q119="RESULTADO_NO_TERMINAL"),"FUERA_PERFIL",IF(Q119="CONTEXTO_NO_CONSTITUIDO","CONFIGURACION_PENDIENTE","VALIDA"))))</x:f>
        <x:v>VALIDA</x:v>
      </x:c>
      <x:c r="P119" s="12" t="str">
        <x:f>IF(O119&lt;&gt;"VALIDA","",IF(Q119=AA119,"1",IF(Q119=AB119,"0","U")))</x:f>
        <x:v>U</x:v>
      </x:c>
      <x:c r="Q119" s="12" t="str">
        <x:f>IF(E119="FALLO","SIN_EJECUCION_DOMINIO",IF(E119&lt;&gt;"LEGIBLE","CAPTURA_MAL_FORMADA",IF(D119&lt;&gt;"COINCIDE","IDENTIDAD",IF(OR(T119="",C119&lt;&gt;T119),"PERFIL_NO_CONSTITUIDO",IF(K119&lt;&gt;V119,IF(V119="ORDEN_ACREDITADO","ORDEN_NO_ACREDITADO","CONTEXTO_NO_CONSTITUIDO"),IF(AND(G119="AUSENTE",H119="",I119=""),"DATO_AUSENTE",IF(AND(G119="CONFLICTO",H119="",I119=""),"CONFLICTO_OBSERVACIONAL",IF(G119&lt;&gt;"UNICA","OBSERVACION_MAL_FORMADA",IF(F119&lt;&gt;U119,"OBSERVACION_INSUFICIENTE",IF(W119="RESULTADO",IF(H119=X119,AA119,IF(OR(H119="orcSucceededWithErrors",H119="orcFailed",H119="orcAborted"),AB119,IF(OR(H119="orcNotStarted",H119="orcInProgress"),"RESULTADO_NO_TERMINAL","LEXEMA_O_FORMA"))),IF(W119="EVENTO_BOOT",IF(H119=X119,AA119,IF(OR(H119="NINGUNO",H119="SOLO_HIBRIDO"),IF(J119="COMPLETA",AB119,"COBERTURA_INSUFICIENTE"),"LEXEMA_O_FORMA")),IF(W119="REQUISITO_SOFT",IF(H119=X119,AA119,IF(H119=Z119,AB119,"LEXEMA_O_FORMA")),IF(W119="EVENTO_PROC",IF(H119=X119,AA119,IF(H119=Z119,IF(J119="COMPLETA",AB119,"COBERTURA_INSUFICIENTE"),"LEXEMA_O_FORMA")),IF(W119="IMAGEN",IF(AND(AND(ISTEXT(H119),LEN(("x"&amp;H119))=65,EXACT(("x"&amp;H119),LOWER(("x"&amp;H119))),ISERROR(SEARCH(" ",("x"&amp;H119))),ISERROR(SEARCH(CHAR(9),("x"&amp;H119))),ISERROR(SEARCH(CHAR(10),("x"&amp;H119))),ISERROR(SEARCH(CHAR(13),("x"&amp;H119))),IFERROR(HEX2DEC(MID(("x"&amp;H119),2,8))&gt;=0,FALSE),IFERROR(HEX2DEC(MID(("x"&amp;H119),10,8))&gt;=0,FALSE),IFERROR(HEX2DEC(MID(("x"&amp;H119),18,8))&gt;=0,FALSE),IFERROR(HEX2DEC(MID(("x"&amp;H119),26,8))&gt;=0,FALSE),IFERROR(HEX2DEC(MID(("x"&amp;H119),34,8))&gt;=0,FALSE),IFERROR(HEX2DEC(MID(("x"&amp;H119),42,8))&gt;=0,FALSE),IFERROR(HEX2DEC(MID(("x"&amp;H119),50,8))&gt;=0,FALSE),IFERROR(HEX2DEC(MID(("x"&amp;H119),58,8))&gt;=0,FALSE)),AND(ISTEXT(I119),LEN(("x"&amp;I119))=65,EXACT(("x"&amp;I119),LOWER(("x"&amp;I119))),ISERROR(SEARCH(" ",("x"&amp;I119))),ISERROR(SEARCH(CHAR(9),("x"&amp;I119))),ISERROR(SEARCH(CHAR(10),("x"&amp;I119))),ISERROR(SEARCH(CHAR(13),("x"&amp;I119))),IFERROR(HEX2DEC(MID(("x"&amp;I119),2,8))&gt;=0,FALSE),IFERROR(HEX2DEC(MID(("x"&amp;I119),10,8))&gt;=0,FALSE),IFERROR(HEX2DEC(MID(("x"&amp;I119),18,8))&gt;=0,FALSE),IFERROR(HEX2DEC(MID(("x"&amp;I119),26,8))&gt;=0,FALSE),IFERROR(HEX2DEC(MID(("x"&amp;I119),34,8))&gt;=0,FALSE),IFERROR(HEX2DEC(MID(("x"&amp;I119),42,8))&gt;=0,FALSE),IFERROR(HEX2DEC(MID(("x"&amp;I119),50,8))&gt;=0,FALSE),IFERROR(HEX2DEC(MID(("x"&amp;I119),58,8))&gt;=0,FALSE))),IF(EXACT("x"&amp;H119,"x"&amp;I119),AA119,AB119),"LEXEMA_O_FORMA"),IF(W119="PRUEBA",IF(H119=X119,AA119,IF(H119=Z119,AB119,"LEXEMA_O_FORMA")),IF(W119="RETIRADA",IF(AND(H119="NINGUNO",I119=""),IF(J119="COMPLETA",AB119,"COBERTURA_INSUFICIENTE"),IF(AND(OR(H119="uoInstallation",H119="uoUninstallation"),OR(I119="orcSucceeded",I119="orcSucceededWithErrors",I119="orcFailed",I119="orcAborted",I119="orcInProgress",I119="orcNotStarted")),IF(AND(H119=X119,I119=Y119),AA119,IF(AND(H119=X119,OR(I119="orcSucceededWithErrors",I119="orcInProgress",I119="orcNotStarted")),"RESULTADO_RETIRADA_INCIERTO",IF(J119="COMPLETA",AB119,"COBERTURA_INSUFICIENTE"))),"LEXEMA_O_FORMA")),IF(W119="CAMBIO",IF(OR(H119="CAMBIO",H119="CAMBIO_Y_RETORNO"),AA119,IF(OR(H119="NINGUNO",H119="SOLO_RENOMBRE"),IF(J119="COMPLETA",AB119,"COBERTURA_INSUFICIENTE"),"LEXEMA_O_FORMA")),IF(W119="RESTAURACION",IF(H119=X119,AA119,IF(OR(H119="NINGUNO",H119="RESTAURACION_POSTERIOR",H119="RESTAURACION_FALLIDA"),IF(J119="COMPLETA",AB119,"COBERTURA_INSUFICIENTE"),"LEXEMA_O_FORMA")),"PERFIL_NO_CONSTITUIDO"))))))))))))))))))</x:f>
        <x:v>DATO_AUSENTE</x:v>
      </x:c>
      <x:c r="R119" s="12" t="str">
        <x:f>IF(AND(L119=O119,M119=P119,N119=Q119),"PASA","NO_PASA")</x:f>
        <x:v>PASA</x:v>
      </x:c>
      <x:c r="S119" s="4" t="str">
        <x:v>Documento declara que falta la observación, sin convertir ausencia en 0.</x:v>
      </x:c>
      <x:c r="T119" s="12" t="str">
        <x:f>IFERROR(INDEX('55_Codificacion_ensayo'!$B$5:$B$13,MATCH(B119,'55_Codificacion_ensayo'!$A$5:$A$13,0)),"")</x:f>
        <x:v>HISTORIA-RESTAURACION-PREVIA-0.1</x:v>
      </x:c>
      <x:c r="U119" s="12" t="str">
        <x:f>IFERROR(INDEX('55_Codificacion_ensayo'!$C$5:$C$13,MATCH(B119,'55_Codificacion_ensayo'!$A$5:$A$13,0)),"")</x:f>
        <x:v>TRABAJO_RESTAURACION</x:v>
      </x:c>
      <x:c r="V119" s="12" t="str">
        <x:f>IFERROR(INDEX('55_Codificacion_ensayo'!$D$5:$D$13,MATCH(B119,'55_Codificacion_ensayo'!$A$5:$A$13,0)),"")</x:f>
        <x:v>ORDEN_ACREDITADO</x:v>
      </x:c>
      <x:c r="W119" s="12" t="str">
        <x:f>IFERROR(INDEX('55_Codificacion_ensayo'!$E$5:$E$13,MATCH(B119,'55_Codificacion_ensayo'!$A$5:$A$13,0)),"")</x:f>
        <x:v>RESTAURACION</x:v>
      </x:c>
      <x:c r="X119" s="12" t="str">
        <x:f>IFERROR(INDEX('55_Codificacion_ensayo'!$F$5:$F$13,MATCH(B119,'55_Codificacion_ensayo'!$A$5:$A$13,0)),"")</x:f>
        <x:v>RESTAURACION_PREVIA</x:v>
      </x:c>
      <x:c r="Y119" s="12" t="str">
        <x:f>IFERROR(INDEX('55_Codificacion_ensayo'!$G$5:$G$13,MATCH(B119,'55_Codificacion_ensayo'!$A$5:$A$13,0)),"")</x:f>
      </x:c>
      <x:c r="Z119" s="12" t="str">
        <x:f>IFERROR(INDEX('55_Codificacion_ensayo'!$H$5:$H$13,MATCH(B119,'55_Codificacion_ensayo'!$A$5:$A$13,0)),"")</x:f>
        <x:v>NINGUNO</x:v>
      </x:c>
      <x:c r="AA119" s="12" t="str">
        <x:f>IFERROR(INDEX('55_Codificacion_ensayo'!$I$5:$I$13,MATCH(B119,'55_Codificacion_ensayo'!$A$5:$A$13,0)),"")</x:f>
        <x:v>RESTAURACION_PREVIA</x:v>
      </x:c>
      <x:c r="AB119" s="12" t="str">
        <x:f>IFERROR(INDEX('55_Codificacion_ensayo'!$J$5:$J$13,MATCH(B119,'55_Codificacion_ensayo'!$A$5:$A$13,0)),"")</x:f>
        <x:v>SIN_RESTAURACION_PREVIA</x:v>
      </x:c>
    </x:row>
    <x:row r="120" ht="47" customHeight="1">
      <x:c r="A120" s="4" t="str">
        <x:v>L10-10-04</x:v>
      </x:c>
      <x:c r="B120" s="4" t="str">
        <x:v>PAR-CYB-RESTAURACION-PREVIA-COMUNICADA-001</x:v>
      </x:c>
      <x:c r="C120" s="4" t="str">
        <x:v>HISTORIA-RESTAURACION-PREVIA-0.1</x:v>
      </x:c>
      <x:c r="D120" s="4" t="str">
        <x:v>COINCIDE</x:v>
      </x:c>
      <x:c r="E120" s="4" t="str">
        <x:v>LEGIBLE</x:v>
      </x:c>
      <x:c r="F120" s="4" t="str">
        <x:v>TRABAJO_RESTAURACION</x:v>
      </x:c>
      <x:c r="G120" s="4" t="str">
        <x:v>CONFLICTO</x:v>
      </x:c>
      <x:c r="H120" s="4" t="str"/>
      <x:c r="I120" s="4" t="str"/>
      <x:c r="J120" s="4" t="str">
        <x:v>COMPLETA</x:v>
      </x:c>
      <x:c r="K120" s="4" t="str">
        <x:v>ORDEN_ACREDITADO</x:v>
      </x:c>
      <x:c r="L120" s="4" t="str">
        <x:v>VALIDA</x:v>
      </x:c>
      <x:c r="M120" s="4" t="str">
        <x:v>U</x:v>
      </x:c>
      <x:c r="N120" s="4" t="str">
        <x:v>CONFLICTO_OBSERVACIONAL</x:v>
      </x:c>
      <x:c r="O120" s="12" t="str">
        <x:f>IF(Q120="SIN_EJECUCION_DOMINIO","FALLO_CAPTURA",IF(OR(Q120="CAPTURA_MAL_FORMADA",Q120="IDENTIDAD",Q120="OBSERVACION_MAL_FORMADA",Q120="LEXEMA_O_FORMA"),"NO_ADMISION",IF(OR(Q120="PERFIL_NO_CONSTITUIDO",Q120="RESULTADO_NO_TERMINAL"),"FUERA_PERFIL",IF(Q120="CONTEXTO_NO_CONSTITUIDO","CONFIGURACION_PENDIENTE","VALIDA"))))</x:f>
        <x:v>VALIDA</x:v>
      </x:c>
      <x:c r="P120" s="12" t="str">
        <x:f>IF(O120&lt;&gt;"VALIDA","",IF(Q120=AA120,"1",IF(Q120=AB120,"0","U")))</x:f>
        <x:v>U</x:v>
      </x:c>
      <x:c r="Q120" s="12" t="str">
        <x:f>IF(E120="FALLO","SIN_EJECUCION_DOMINIO",IF(E120&lt;&gt;"LEGIBLE","CAPTURA_MAL_FORMADA",IF(D120&lt;&gt;"COINCIDE","IDENTIDAD",IF(OR(T120="",C120&lt;&gt;T120),"PERFIL_NO_CONSTITUIDO",IF(K120&lt;&gt;V120,IF(V120="ORDEN_ACREDITADO","ORDEN_NO_ACREDITADO","CONTEXTO_NO_CONSTITUIDO"),IF(AND(G120="AUSENTE",H120="",I120=""),"DATO_AUSENTE",IF(AND(G120="CONFLICTO",H120="",I120=""),"CONFLICTO_OBSERVACIONAL",IF(G120&lt;&gt;"UNICA","OBSERVACION_MAL_FORMADA",IF(F120&lt;&gt;U120,"OBSERVACION_INSUFICIENTE",IF(W120="RESULTADO",IF(H120=X120,AA120,IF(OR(H120="orcSucceededWithErrors",H120="orcFailed",H120="orcAborted"),AB120,IF(OR(H120="orcNotStarted",H120="orcInProgress"),"RESULTADO_NO_TERMINAL","LEXEMA_O_FORMA"))),IF(W120="EVENTO_BOOT",IF(H120=X120,AA120,IF(OR(H120="NINGUNO",H120="SOLO_HIBRIDO"),IF(J120="COMPLETA",AB120,"COBERTURA_INSUFICIENTE"),"LEXEMA_O_FORMA")),IF(W120="REQUISITO_SOFT",IF(H120=X120,AA120,IF(H120=Z120,AB120,"LEXEMA_O_FORMA")),IF(W120="EVENTO_PROC",IF(H120=X120,AA120,IF(H120=Z120,IF(J120="COMPLETA",AB120,"COBERTURA_INSUFICIENTE"),"LEXEMA_O_FORMA")),IF(W120="IMAGEN",IF(AND(AND(ISTEXT(H120),LEN(("x"&amp;H120))=65,EXACT(("x"&amp;H120),LOWER(("x"&amp;H120))),ISERROR(SEARCH(" ",("x"&amp;H120))),ISERROR(SEARCH(CHAR(9),("x"&amp;H120))),ISERROR(SEARCH(CHAR(10),("x"&amp;H120))),ISERROR(SEARCH(CHAR(13),("x"&amp;H120))),IFERROR(HEX2DEC(MID(("x"&amp;H120),2,8))&gt;=0,FALSE),IFERROR(HEX2DEC(MID(("x"&amp;H120),10,8))&gt;=0,FALSE),IFERROR(HEX2DEC(MID(("x"&amp;H120),18,8))&gt;=0,FALSE),IFERROR(HEX2DEC(MID(("x"&amp;H120),26,8))&gt;=0,FALSE),IFERROR(HEX2DEC(MID(("x"&amp;H120),34,8))&gt;=0,FALSE),IFERROR(HEX2DEC(MID(("x"&amp;H120),42,8))&gt;=0,FALSE),IFERROR(HEX2DEC(MID(("x"&amp;H120),50,8))&gt;=0,FALSE),IFERROR(HEX2DEC(MID(("x"&amp;H120),58,8))&gt;=0,FALSE)),AND(ISTEXT(I120),LEN(("x"&amp;I120))=65,EXACT(("x"&amp;I120),LOWER(("x"&amp;I120))),ISERROR(SEARCH(" ",("x"&amp;I120))),ISERROR(SEARCH(CHAR(9),("x"&amp;I120))),ISERROR(SEARCH(CHAR(10),("x"&amp;I120))),ISERROR(SEARCH(CHAR(13),("x"&amp;I120))),IFERROR(HEX2DEC(MID(("x"&amp;I120),2,8))&gt;=0,FALSE),IFERROR(HEX2DEC(MID(("x"&amp;I120),10,8))&gt;=0,FALSE),IFERROR(HEX2DEC(MID(("x"&amp;I120),18,8))&gt;=0,FALSE),IFERROR(HEX2DEC(MID(("x"&amp;I120),26,8))&gt;=0,FALSE),IFERROR(HEX2DEC(MID(("x"&amp;I120),34,8))&gt;=0,FALSE),IFERROR(HEX2DEC(MID(("x"&amp;I120),42,8))&gt;=0,FALSE),IFERROR(HEX2DEC(MID(("x"&amp;I120),50,8))&gt;=0,FALSE),IFERROR(HEX2DEC(MID(("x"&amp;I120),58,8))&gt;=0,FALSE))),IF(EXACT("x"&amp;H120,"x"&amp;I120),AA120,AB120),"LEXEMA_O_FORMA"),IF(W120="PRUEBA",IF(H120=X120,AA120,IF(H120=Z120,AB120,"LEXEMA_O_FORMA")),IF(W120="RETIRADA",IF(AND(H120="NINGUNO",I120=""),IF(J120="COMPLETA",AB120,"COBERTURA_INSUFICIENTE"),IF(AND(OR(H120="uoInstallation",H120="uoUninstallation"),OR(I120="orcSucceeded",I120="orcSucceededWithErrors",I120="orcFailed",I120="orcAborted",I120="orcInProgress",I120="orcNotStarted")),IF(AND(H120=X120,I120=Y120),AA120,IF(AND(H120=X120,OR(I120="orcSucceededWithErrors",I120="orcInProgress",I120="orcNotStarted")),"RESULTADO_RETIRADA_INCIERTO",IF(J120="COMPLETA",AB120,"COBERTURA_INSUFICIENTE"))),"LEXEMA_O_FORMA")),IF(W120="CAMBIO",IF(OR(H120="CAMBIO",H120="CAMBIO_Y_RETORNO"),AA120,IF(OR(H120="NINGUNO",H120="SOLO_RENOMBRE"),IF(J120="COMPLETA",AB120,"COBERTURA_INSUFICIENTE"),"LEXEMA_O_FORMA")),IF(W120="RESTAURACION",IF(H120=X120,AA120,IF(OR(H120="NINGUNO",H120="RESTAURACION_POSTERIOR",H120="RESTAURACION_FALLIDA"),IF(J120="COMPLETA",AB120,"COBERTURA_INSUFICIENTE"),"LEXEMA_O_FORMA")),"PERFIL_NO_CONSTITUIDO"))))))))))))))))))</x:f>
        <x:v>CONFLICTO_OBSERVACIONAL</x:v>
      </x:c>
      <x:c r="R120" s="12" t="str">
        <x:f>IF(AND(L120=O120,M120=P120,N120=Q120),"PASA","NO_PASA")</x:f>
        <x:v>PASA</x:v>
      </x:c>
      <x:c r="S120" s="4" t="str">
        <x:v>Conflicto entre observaciones admitidas del mismo sujeto y corte.</x:v>
      </x:c>
      <x:c r="T120" s="12" t="str">
        <x:f>IFERROR(INDEX('55_Codificacion_ensayo'!$B$5:$B$13,MATCH(B120,'55_Codificacion_ensayo'!$A$5:$A$13,0)),"")</x:f>
        <x:v>HISTORIA-RESTAURACION-PREVIA-0.1</x:v>
      </x:c>
      <x:c r="U120" s="12" t="str">
        <x:f>IFERROR(INDEX('55_Codificacion_ensayo'!$C$5:$C$13,MATCH(B120,'55_Codificacion_ensayo'!$A$5:$A$13,0)),"")</x:f>
        <x:v>TRABAJO_RESTAURACION</x:v>
      </x:c>
      <x:c r="V120" s="12" t="str">
        <x:f>IFERROR(INDEX('55_Codificacion_ensayo'!$D$5:$D$13,MATCH(B120,'55_Codificacion_ensayo'!$A$5:$A$13,0)),"")</x:f>
        <x:v>ORDEN_ACREDITADO</x:v>
      </x:c>
      <x:c r="W120" s="12" t="str">
        <x:f>IFERROR(INDEX('55_Codificacion_ensayo'!$E$5:$E$13,MATCH(B120,'55_Codificacion_ensayo'!$A$5:$A$13,0)),"")</x:f>
        <x:v>RESTAURACION</x:v>
      </x:c>
      <x:c r="X120" s="12" t="str">
        <x:f>IFERROR(INDEX('55_Codificacion_ensayo'!$F$5:$F$13,MATCH(B120,'55_Codificacion_ensayo'!$A$5:$A$13,0)),"")</x:f>
        <x:v>RESTAURACION_PREVIA</x:v>
      </x:c>
      <x:c r="Y120" s="12" t="str">
        <x:f>IFERROR(INDEX('55_Codificacion_ensayo'!$G$5:$G$13,MATCH(B120,'55_Codificacion_ensayo'!$A$5:$A$13,0)),"")</x:f>
      </x:c>
      <x:c r="Z120" s="12" t="str">
        <x:f>IFERROR(INDEX('55_Codificacion_ensayo'!$H$5:$H$13,MATCH(B120,'55_Codificacion_ensayo'!$A$5:$A$13,0)),"")</x:f>
        <x:v>NINGUNO</x:v>
      </x:c>
      <x:c r="AA120" s="12" t="str">
        <x:f>IFERROR(INDEX('55_Codificacion_ensayo'!$I$5:$I$13,MATCH(B120,'55_Codificacion_ensayo'!$A$5:$A$13,0)),"")</x:f>
        <x:v>RESTAURACION_PREVIA</x:v>
      </x:c>
      <x:c r="AB120" s="12" t="str">
        <x:f>IFERROR(INDEX('55_Codificacion_ensayo'!$J$5:$J$13,MATCH(B120,'55_Codificacion_ensayo'!$A$5:$A$13,0)),"")</x:f>
        <x:v>SIN_RESTAURACION_PREVIA</x:v>
      </x:c>
    </x:row>
    <x:row r="121" ht="47" customHeight="1">
      <x:c r="A121" s="4" t="str">
        <x:v>L10-10-05</x:v>
      </x:c>
      <x:c r="B121" s="4" t="str">
        <x:v>PAR-CYB-RESTAURACION-PREVIA-COMUNICADA-001</x:v>
      </x:c>
      <x:c r="C121" s="4" t="str">
        <x:v>HISTORIA-RESTAURACION-PREVIA-0.1</x:v>
      </x:c>
      <x:c r="D121" s="4" t="str">
        <x:v>COINCIDE</x:v>
      </x:c>
      <x:c r="E121" s="4" t="str">
        <x:v>FALLO</x:v>
      </x:c>
      <x:c r="F121" s="4" t="str">
        <x:v>TRABAJO_RESTAURACION</x:v>
      </x:c>
      <x:c r="G121" s="4" t="str">
        <x:v>UNICA</x:v>
      </x:c>
      <x:c r="H121" s="4" t="str">
        <x:v>RESTAURACION_PREVIA</x:v>
      </x:c>
      <x:c r="I121" s="4" t="str"/>
      <x:c r="J121" s="4" t="str">
        <x:v>COMPLETA</x:v>
      </x:c>
      <x:c r="K121" s="4" t="str">
        <x:v>ORDEN_ACREDITADO</x:v>
      </x:c>
      <x:c r="L121" s="4" t="str">
        <x:v>FALLO_CAPTURA</x:v>
      </x:c>
      <x:c r="M121" s="4" t="str"/>
      <x:c r="N121" s="4" t="str">
        <x:v>SIN_EJECUCION_DOMINIO</x:v>
      </x:c>
      <x:c r="O121" s="12" t="str">
        <x:f>IF(Q121="SIN_EJECUCION_DOMINIO","FALLO_CAPTURA",IF(OR(Q121="CAPTURA_MAL_FORMADA",Q121="IDENTIDAD",Q121="OBSERVACION_MAL_FORMADA",Q121="LEXEMA_O_FORMA"),"NO_ADMISION",IF(OR(Q121="PERFIL_NO_CONSTITUIDO",Q121="RESULTADO_NO_TERMINAL"),"FUERA_PERFIL",IF(Q121="CONTEXTO_NO_CONSTITUIDO","CONFIGURACION_PENDIENTE","VALIDA"))))</x:f>
        <x:v>FALLO_CAPTURA</x:v>
      </x:c>
      <x:c r="P121" s="12" t="str">
        <x:f>IF(O121&lt;&gt;"VALIDA","",IF(Q121=AA121,"1",IF(Q121=AB121,"0","U")))</x:f>
      </x:c>
      <x:c r="Q121" s="12" t="str">
        <x:f>IF(E121="FALLO","SIN_EJECUCION_DOMINIO",IF(E121&lt;&gt;"LEGIBLE","CAPTURA_MAL_FORMADA",IF(D121&lt;&gt;"COINCIDE","IDENTIDAD",IF(OR(T121="",C121&lt;&gt;T121),"PERFIL_NO_CONSTITUIDO",IF(K121&lt;&gt;V121,IF(V121="ORDEN_ACREDITADO","ORDEN_NO_ACREDITADO","CONTEXTO_NO_CONSTITUIDO"),IF(AND(G121="AUSENTE",H121="",I121=""),"DATO_AUSENTE",IF(AND(G121="CONFLICTO",H121="",I121=""),"CONFLICTO_OBSERVACIONAL",IF(G121&lt;&gt;"UNICA","OBSERVACION_MAL_FORMADA",IF(F121&lt;&gt;U121,"OBSERVACION_INSUFICIENTE",IF(W121="RESULTADO",IF(H121=X121,AA121,IF(OR(H121="orcSucceededWithErrors",H121="orcFailed",H121="orcAborted"),AB121,IF(OR(H121="orcNotStarted",H121="orcInProgress"),"RESULTADO_NO_TERMINAL","LEXEMA_O_FORMA"))),IF(W121="EVENTO_BOOT",IF(H121=X121,AA121,IF(OR(H121="NINGUNO",H121="SOLO_HIBRIDO"),IF(J121="COMPLETA",AB121,"COBERTURA_INSUFICIENTE"),"LEXEMA_O_FORMA")),IF(W121="REQUISITO_SOFT",IF(H121=X121,AA121,IF(H121=Z121,AB121,"LEXEMA_O_FORMA")),IF(W121="EVENTO_PROC",IF(H121=X121,AA121,IF(H121=Z121,IF(J121="COMPLETA",AB121,"COBERTURA_INSUFICIENTE"),"LEXEMA_O_FORMA")),IF(W121="IMAGEN",IF(AND(AND(ISTEXT(H121),LEN(("x"&amp;H121))=65,EXACT(("x"&amp;H121),LOWER(("x"&amp;H121))),ISERROR(SEARCH(" ",("x"&amp;H121))),ISERROR(SEARCH(CHAR(9),("x"&amp;H121))),ISERROR(SEARCH(CHAR(10),("x"&amp;H121))),ISERROR(SEARCH(CHAR(13),("x"&amp;H121))),IFERROR(HEX2DEC(MID(("x"&amp;H121),2,8))&gt;=0,FALSE),IFERROR(HEX2DEC(MID(("x"&amp;H121),10,8))&gt;=0,FALSE),IFERROR(HEX2DEC(MID(("x"&amp;H121),18,8))&gt;=0,FALSE),IFERROR(HEX2DEC(MID(("x"&amp;H121),26,8))&gt;=0,FALSE),IFERROR(HEX2DEC(MID(("x"&amp;H121),34,8))&gt;=0,FALSE),IFERROR(HEX2DEC(MID(("x"&amp;H121),42,8))&gt;=0,FALSE),IFERROR(HEX2DEC(MID(("x"&amp;H121),50,8))&gt;=0,FALSE),IFERROR(HEX2DEC(MID(("x"&amp;H121),58,8))&gt;=0,FALSE)),AND(ISTEXT(I121),LEN(("x"&amp;I121))=65,EXACT(("x"&amp;I121),LOWER(("x"&amp;I121))),ISERROR(SEARCH(" ",("x"&amp;I121))),ISERROR(SEARCH(CHAR(9),("x"&amp;I121))),ISERROR(SEARCH(CHAR(10),("x"&amp;I121))),ISERROR(SEARCH(CHAR(13),("x"&amp;I121))),IFERROR(HEX2DEC(MID(("x"&amp;I121),2,8))&gt;=0,FALSE),IFERROR(HEX2DEC(MID(("x"&amp;I121),10,8))&gt;=0,FALSE),IFERROR(HEX2DEC(MID(("x"&amp;I121),18,8))&gt;=0,FALSE),IFERROR(HEX2DEC(MID(("x"&amp;I121),26,8))&gt;=0,FALSE),IFERROR(HEX2DEC(MID(("x"&amp;I121),34,8))&gt;=0,FALSE),IFERROR(HEX2DEC(MID(("x"&amp;I121),42,8))&gt;=0,FALSE),IFERROR(HEX2DEC(MID(("x"&amp;I121),50,8))&gt;=0,FALSE),IFERROR(HEX2DEC(MID(("x"&amp;I121),58,8))&gt;=0,FALSE))),IF(EXACT("x"&amp;H121,"x"&amp;I121),AA121,AB121),"LEXEMA_O_FORMA"),IF(W121="PRUEBA",IF(H121=X121,AA121,IF(H121=Z121,AB121,"LEXEMA_O_FORMA")),IF(W121="RETIRADA",IF(AND(H121="NINGUNO",I121=""),IF(J121="COMPLETA",AB121,"COBERTURA_INSUFICIENTE"),IF(AND(OR(H121="uoInstallation",H121="uoUninstallation"),OR(I121="orcSucceeded",I121="orcSucceededWithErrors",I121="orcFailed",I121="orcAborted",I121="orcInProgress",I121="orcNotStarted")),IF(AND(H121=X121,I121=Y121),AA121,IF(AND(H121=X121,OR(I121="orcSucceededWithErrors",I121="orcInProgress",I121="orcNotStarted")),"RESULTADO_RETIRADA_INCIERTO",IF(J121="COMPLETA",AB121,"COBERTURA_INSUFICIENTE"))),"LEXEMA_O_FORMA")),IF(W121="CAMBIO",IF(OR(H121="CAMBIO",H121="CAMBIO_Y_RETORNO"),AA121,IF(OR(H121="NINGUNO",H121="SOLO_RENOMBRE"),IF(J121="COMPLETA",AB121,"COBERTURA_INSUFICIENTE"),"LEXEMA_O_FORMA")),IF(W121="RESTAURACION",IF(H121=X121,AA121,IF(OR(H121="NINGUNO",H121="RESTAURACION_POSTERIOR",H121="RESTAURACION_FALLIDA"),IF(J121="COMPLETA",AB121,"COBERTURA_INSUFICIENTE"),"LEXEMA_O_FORMA")),"PERFIL_NO_CONSTITUIDO"))))))))))))))))))</x:f>
        <x:v>SIN_EJECUCION_DOMINIO</x:v>
      </x:c>
      <x:c r="R121" s="12" t="str">
        <x:f>IF(AND(L121=O121,M121=P121,N121=Q121),"PASA","NO_PASA")</x:f>
        <x:v>PASA</x:v>
      </x:c>
      <x:c r="S121" s="4" t="str">
        <x:v>El observador falla; no existe ejecución de dominio ni Tri alternativo.</x:v>
      </x:c>
      <x:c r="T121" s="12" t="str">
        <x:f>IFERROR(INDEX('55_Codificacion_ensayo'!$B$5:$B$13,MATCH(B121,'55_Codificacion_ensayo'!$A$5:$A$13,0)),"")</x:f>
        <x:v>HISTORIA-RESTAURACION-PREVIA-0.1</x:v>
      </x:c>
      <x:c r="U121" s="12" t="str">
        <x:f>IFERROR(INDEX('55_Codificacion_ensayo'!$C$5:$C$13,MATCH(B121,'55_Codificacion_ensayo'!$A$5:$A$13,0)),"")</x:f>
        <x:v>TRABAJO_RESTAURACION</x:v>
      </x:c>
      <x:c r="V121" s="12" t="str">
        <x:f>IFERROR(INDEX('55_Codificacion_ensayo'!$D$5:$D$13,MATCH(B121,'55_Codificacion_ensayo'!$A$5:$A$13,0)),"")</x:f>
        <x:v>ORDEN_ACREDITADO</x:v>
      </x:c>
      <x:c r="W121" s="12" t="str">
        <x:f>IFERROR(INDEX('55_Codificacion_ensayo'!$E$5:$E$13,MATCH(B121,'55_Codificacion_ensayo'!$A$5:$A$13,0)),"")</x:f>
        <x:v>RESTAURACION</x:v>
      </x:c>
      <x:c r="X121" s="12" t="str">
        <x:f>IFERROR(INDEX('55_Codificacion_ensayo'!$F$5:$F$13,MATCH(B121,'55_Codificacion_ensayo'!$A$5:$A$13,0)),"")</x:f>
        <x:v>RESTAURACION_PREVIA</x:v>
      </x:c>
      <x:c r="Y121" s="12" t="str">
        <x:f>IFERROR(INDEX('55_Codificacion_ensayo'!$G$5:$G$13,MATCH(B121,'55_Codificacion_ensayo'!$A$5:$A$13,0)),"")</x:f>
      </x:c>
      <x:c r="Z121" s="12" t="str">
        <x:f>IFERROR(INDEX('55_Codificacion_ensayo'!$H$5:$H$13,MATCH(B121,'55_Codificacion_ensayo'!$A$5:$A$13,0)),"")</x:f>
        <x:v>NINGUNO</x:v>
      </x:c>
      <x:c r="AA121" s="12" t="str">
        <x:f>IFERROR(INDEX('55_Codificacion_ensayo'!$I$5:$I$13,MATCH(B121,'55_Codificacion_ensayo'!$A$5:$A$13,0)),"")</x:f>
        <x:v>RESTAURACION_PREVIA</x:v>
      </x:c>
      <x:c r="AB121" s="12" t="str">
        <x:f>IFERROR(INDEX('55_Codificacion_ensayo'!$J$5:$J$13,MATCH(B121,'55_Codificacion_ensayo'!$A$5:$A$13,0)),"")</x:f>
        <x:v>SIN_RESTAURACION_PREVIA</x:v>
      </x:c>
    </x:row>
    <x:row r="122" ht="47" customHeight="1">
      <x:c r="A122" s="4" t="str">
        <x:v>L10-10-06</x:v>
      </x:c>
      <x:c r="B122" s="4" t="str">
        <x:v>PAR-CYB-RESTAURACION-PREVIA-COMUNICADA-001</x:v>
      </x:c>
      <x:c r="C122" s="4" t="str">
        <x:v>HISTORIA-RESTAURACION-PREVIA-0.1</x:v>
      </x:c>
      <x:c r="D122" s="4" t="str">
        <x:v>OTRO</x:v>
      </x:c>
      <x:c r="E122" s="4" t="str">
        <x:v>LEGIBLE</x:v>
      </x:c>
      <x:c r="F122" s="4" t="str">
        <x:v>TRABAJO_RESTAURACION</x:v>
      </x:c>
      <x:c r="G122" s="4" t="str">
        <x:v>UNICA</x:v>
      </x:c>
      <x:c r="H122" s="4" t="str">
        <x:v>RESTAURACION_PREVIA</x:v>
      </x:c>
      <x:c r="I122" s="4" t="str"/>
      <x:c r="J122" s="4" t="str">
        <x:v>COMPLETA</x:v>
      </x:c>
      <x:c r="K122" s="4" t="str">
        <x:v>ORDEN_ACREDITADO</x:v>
      </x:c>
      <x:c r="L122" s="4" t="str">
        <x:v>NO_ADMISION</x:v>
      </x:c>
      <x:c r="M122" s="4" t="str"/>
      <x:c r="N122" s="4" t="str">
        <x:v>IDENTIDAD</x:v>
      </x:c>
      <x:c r="O122" s="12" t="str">
        <x:f>IF(Q122="SIN_EJECUCION_DOMINIO","FALLO_CAPTURA",IF(OR(Q122="CAPTURA_MAL_FORMADA",Q122="IDENTIDAD",Q122="OBSERVACION_MAL_FORMADA",Q122="LEXEMA_O_FORMA"),"NO_ADMISION",IF(OR(Q122="PERFIL_NO_CONSTITUIDO",Q122="RESULTADO_NO_TERMINAL"),"FUERA_PERFIL",IF(Q122="CONTEXTO_NO_CONSTITUIDO","CONFIGURACION_PENDIENTE","VALIDA"))))</x:f>
        <x:v>NO_ADMISION</x:v>
      </x:c>
      <x:c r="P122" s="12" t="str">
        <x:f>IF(O122&lt;&gt;"VALIDA","",IF(Q122=AA122,"1",IF(Q122=AB122,"0","U")))</x:f>
      </x:c>
      <x:c r="Q122" s="12" t="str">
        <x:f>IF(E122="FALLO","SIN_EJECUCION_DOMINIO",IF(E122&lt;&gt;"LEGIBLE","CAPTURA_MAL_FORMADA",IF(D122&lt;&gt;"COINCIDE","IDENTIDAD",IF(OR(T122="",C122&lt;&gt;T122),"PERFIL_NO_CONSTITUIDO",IF(K122&lt;&gt;V122,IF(V122="ORDEN_ACREDITADO","ORDEN_NO_ACREDITADO","CONTEXTO_NO_CONSTITUIDO"),IF(AND(G122="AUSENTE",H122="",I122=""),"DATO_AUSENTE",IF(AND(G122="CONFLICTO",H122="",I122=""),"CONFLICTO_OBSERVACIONAL",IF(G122&lt;&gt;"UNICA","OBSERVACION_MAL_FORMADA",IF(F122&lt;&gt;U122,"OBSERVACION_INSUFICIENTE",IF(W122="RESULTADO",IF(H122=X122,AA122,IF(OR(H122="orcSucceededWithErrors",H122="orcFailed",H122="orcAborted"),AB122,IF(OR(H122="orcNotStarted",H122="orcInProgress"),"RESULTADO_NO_TERMINAL","LEXEMA_O_FORMA"))),IF(W122="EVENTO_BOOT",IF(H122=X122,AA122,IF(OR(H122="NINGUNO",H122="SOLO_HIBRIDO"),IF(J122="COMPLETA",AB122,"COBERTURA_INSUFICIENTE"),"LEXEMA_O_FORMA")),IF(W122="REQUISITO_SOFT",IF(H122=X122,AA122,IF(H122=Z122,AB122,"LEXEMA_O_FORMA")),IF(W122="EVENTO_PROC",IF(H122=X122,AA122,IF(H122=Z122,IF(J122="COMPLETA",AB122,"COBERTURA_INSUFICIENTE"),"LEXEMA_O_FORMA")),IF(W122="IMAGEN",IF(AND(AND(ISTEXT(H122),LEN(("x"&amp;H122))=65,EXACT(("x"&amp;H122),LOWER(("x"&amp;H122))),ISERROR(SEARCH(" ",("x"&amp;H122))),ISERROR(SEARCH(CHAR(9),("x"&amp;H122))),ISERROR(SEARCH(CHAR(10),("x"&amp;H122))),ISERROR(SEARCH(CHAR(13),("x"&amp;H122))),IFERROR(HEX2DEC(MID(("x"&amp;H122),2,8))&gt;=0,FALSE),IFERROR(HEX2DEC(MID(("x"&amp;H122),10,8))&gt;=0,FALSE),IFERROR(HEX2DEC(MID(("x"&amp;H122),18,8))&gt;=0,FALSE),IFERROR(HEX2DEC(MID(("x"&amp;H122),26,8))&gt;=0,FALSE),IFERROR(HEX2DEC(MID(("x"&amp;H122),34,8))&gt;=0,FALSE),IFERROR(HEX2DEC(MID(("x"&amp;H122),42,8))&gt;=0,FALSE),IFERROR(HEX2DEC(MID(("x"&amp;H122),50,8))&gt;=0,FALSE),IFERROR(HEX2DEC(MID(("x"&amp;H122),58,8))&gt;=0,FALSE)),AND(ISTEXT(I122),LEN(("x"&amp;I122))=65,EXACT(("x"&amp;I122),LOWER(("x"&amp;I122))),ISERROR(SEARCH(" ",("x"&amp;I122))),ISERROR(SEARCH(CHAR(9),("x"&amp;I122))),ISERROR(SEARCH(CHAR(10),("x"&amp;I122))),ISERROR(SEARCH(CHAR(13),("x"&amp;I122))),IFERROR(HEX2DEC(MID(("x"&amp;I122),2,8))&gt;=0,FALSE),IFERROR(HEX2DEC(MID(("x"&amp;I122),10,8))&gt;=0,FALSE),IFERROR(HEX2DEC(MID(("x"&amp;I122),18,8))&gt;=0,FALSE),IFERROR(HEX2DEC(MID(("x"&amp;I122),26,8))&gt;=0,FALSE),IFERROR(HEX2DEC(MID(("x"&amp;I122),34,8))&gt;=0,FALSE),IFERROR(HEX2DEC(MID(("x"&amp;I122),42,8))&gt;=0,FALSE),IFERROR(HEX2DEC(MID(("x"&amp;I122),50,8))&gt;=0,FALSE),IFERROR(HEX2DEC(MID(("x"&amp;I122),58,8))&gt;=0,FALSE))),IF(EXACT("x"&amp;H122,"x"&amp;I122),AA122,AB122),"LEXEMA_O_FORMA"),IF(W122="PRUEBA",IF(H122=X122,AA122,IF(H122=Z122,AB122,"LEXEMA_O_FORMA")),IF(W122="RETIRADA",IF(AND(H122="NINGUNO",I122=""),IF(J122="COMPLETA",AB122,"COBERTURA_INSUFICIENTE"),IF(AND(OR(H122="uoInstallation",H122="uoUninstallation"),OR(I122="orcSucceeded",I122="orcSucceededWithErrors",I122="orcFailed",I122="orcAborted",I122="orcInProgress",I122="orcNotStarted")),IF(AND(H122=X122,I122=Y122),AA122,IF(AND(H122=X122,OR(I122="orcSucceededWithErrors",I122="orcInProgress",I122="orcNotStarted")),"RESULTADO_RETIRADA_INCIERTO",IF(J122="COMPLETA",AB122,"COBERTURA_INSUFICIENTE"))),"LEXEMA_O_FORMA")),IF(W122="CAMBIO",IF(OR(H122="CAMBIO",H122="CAMBIO_Y_RETORNO"),AA122,IF(OR(H122="NINGUNO",H122="SOLO_RENOMBRE"),IF(J122="COMPLETA",AB122,"COBERTURA_INSUFICIENTE"),"LEXEMA_O_FORMA")),IF(W122="RESTAURACION",IF(H122=X122,AA122,IF(OR(H122="NINGUNO",H122="RESTAURACION_POSTERIOR",H122="RESTAURACION_FALLIDA"),IF(J122="COMPLETA",AB122,"COBERTURA_INSUFICIENTE"),"LEXEMA_O_FORMA")),"PERFIL_NO_CONSTITUIDO"))))))))))))))))))</x:f>
        <x:v>IDENTIDAD</x:v>
      </x:c>
      <x:c r="R122" s="12" t="str">
        <x:f>IF(AND(L122=O122,M122=P122,N122=Q122),"PASA","NO_PASA")</x:f>
        <x:v>PASA</x:v>
      </x:c>
      <x:c r="S122" s="4" t="str">
        <x:v>El testigo pertenece a otro sujeto; no se recicla su dato.</x:v>
      </x:c>
      <x:c r="T122" s="12" t="str">
        <x:f>IFERROR(INDEX('55_Codificacion_ensayo'!$B$5:$B$13,MATCH(B122,'55_Codificacion_ensayo'!$A$5:$A$13,0)),"")</x:f>
        <x:v>HISTORIA-RESTAURACION-PREVIA-0.1</x:v>
      </x:c>
      <x:c r="U122" s="12" t="str">
        <x:f>IFERROR(INDEX('55_Codificacion_ensayo'!$C$5:$C$13,MATCH(B122,'55_Codificacion_ensayo'!$A$5:$A$13,0)),"")</x:f>
        <x:v>TRABAJO_RESTAURACION</x:v>
      </x:c>
      <x:c r="V122" s="12" t="str">
        <x:f>IFERROR(INDEX('55_Codificacion_ensayo'!$D$5:$D$13,MATCH(B122,'55_Codificacion_ensayo'!$A$5:$A$13,0)),"")</x:f>
        <x:v>ORDEN_ACREDITADO</x:v>
      </x:c>
      <x:c r="W122" s="12" t="str">
        <x:f>IFERROR(INDEX('55_Codificacion_ensayo'!$E$5:$E$13,MATCH(B122,'55_Codificacion_ensayo'!$A$5:$A$13,0)),"")</x:f>
        <x:v>RESTAURACION</x:v>
      </x:c>
      <x:c r="X122" s="12" t="str">
        <x:f>IFERROR(INDEX('55_Codificacion_ensayo'!$F$5:$F$13,MATCH(B122,'55_Codificacion_ensayo'!$A$5:$A$13,0)),"")</x:f>
        <x:v>RESTAURACION_PREVIA</x:v>
      </x:c>
      <x:c r="Y122" s="12" t="str">
        <x:f>IFERROR(INDEX('55_Codificacion_ensayo'!$G$5:$G$13,MATCH(B122,'55_Codificacion_ensayo'!$A$5:$A$13,0)),"")</x:f>
      </x:c>
      <x:c r="Z122" s="12" t="str">
        <x:f>IFERROR(INDEX('55_Codificacion_ensayo'!$H$5:$H$13,MATCH(B122,'55_Codificacion_ensayo'!$A$5:$A$13,0)),"")</x:f>
        <x:v>NINGUNO</x:v>
      </x:c>
      <x:c r="AA122" s="12" t="str">
        <x:f>IFERROR(INDEX('55_Codificacion_ensayo'!$I$5:$I$13,MATCH(B122,'55_Codificacion_ensayo'!$A$5:$A$13,0)),"")</x:f>
        <x:v>RESTAURACION_PREVIA</x:v>
      </x:c>
      <x:c r="AB122" s="12" t="str">
        <x:f>IFERROR(INDEX('55_Codificacion_ensayo'!$J$5:$J$13,MATCH(B122,'55_Codificacion_ensayo'!$A$5:$A$13,0)),"")</x:f>
        <x:v>SIN_RESTAURACION_PREVIA</x:v>
      </x:c>
    </x:row>
    <x:row r="123" ht="47" customHeight="1">
      <x:c r="A123" s="4" t="str">
        <x:v>L10-10-07</x:v>
      </x:c>
      <x:c r="B123" s="4" t="str">
        <x:v>PAR-CYB-RESTAURACION-PREVIA-COMUNICADA-001</x:v>
      </x:c>
      <x:c r="C123" s="4" t="str">
        <x:v>HISTORIA-RESTAURACION-PREVIA-0.1</x:v>
      </x:c>
      <x:c r="D123" s="4" t="str">
        <x:v>COINCIDE</x:v>
      </x:c>
      <x:c r="E123" s="4" t="str">
        <x:v>LEGIBLE</x:v>
      </x:c>
      <x:c r="F123" s="4" t="str">
        <x:v>FUENTE_GENERAL</x:v>
      </x:c>
      <x:c r="G123" s="4" t="str">
        <x:v>UNICA</x:v>
      </x:c>
      <x:c r="H123" s="4" t="str">
        <x:v>RESTAURACION_PREVIA</x:v>
      </x:c>
      <x:c r="I123" s="4" t="str"/>
      <x:c r="J123" s="4" t="str">
        <x:v>COMPLETA</x:v>
      </x:c>
      <x:c r="K123" s="4" t="str">
        <x:v>ORDEN_ACREDITADO</x:v>
      </x:c>
      <x:c r="L123" s="4" t="str">
        <x:v>VALIDA</x:v>
      </x:c>
      <x:c r="M123" s="4" t="str">
        <x:v>U</x:v>
      </x:c>
      <x:c r="N123" s="4" t="str">
        <x:v>OBSERVACION_INSUFICIENTE</x:v>
      </x:c>
      <x:c r="O123" s="12" t="str">
        <x:f>IF(Q123="SIN_EJECUCION_DOMINIO","FALLO_CAPTURA",IF(OR(Q123="CAPTURA_MAL_FORMADA",Q123="IDENTIDAD",Q123="OBSERVACION_MAL_FORMADA",Q123="LEXEMA_O_FORMA"),"NO_ADMISION",IF(OR(Q123="PERFIL_NO_CONSTITUIDO",Q123="RESULTADO_NO_TERMINAL"),"FUERA_PERFIL",IF(Q123="CONTEXTO_NO_CONSTITUIDO","CONFIGURACION_PENDIENTE","VALIDA"))))</x:f>
        <x:v>VALIDA</x:v>
      </x:c>
      <x:c r="P123" s="12" t="str">
        <x:f>IF(O123&lt;&gt;"VALIDA","",IF(Q123=AA123,"1",IF(Q123=AB123,"0","U")))</x:f>
        <x:v>U</x:v>
      </x:c>
      <x:c r="Q123" s="12" t="str">
        <x:f>IF(E123="FALLO","SIN_EJECUCION_DOMINIO",IF(E123&lt;&gt;"LEGIBLE","CAPTURA_MAL_FORMADA",IF(D123&lt;&gt;"COINCIDE","IDENTIDAD",IF(OR(T123="",C123&lt;&gt;T123),"PERFIL_NO_CONSTITUIDO",IF(K123&lt;&gt;V123,IF(V123="ORDEN_ACREDITADO","ORDEN_NO_ACREDITADO","CONTEXTO_NO_CONSTITUIDO"),IF(AND(G123="AUSENTE",H123="",I123=""),"DATO_AUSENTE",IF(AND(G123="CONFLICTO",H123="",I123=""),"CONFLICTO_OBSERVACIONAL",IF(G123&lt;&gt;"UNICA","OBSERVACION_MAL_FORMADA",IF(F123&lt;&gt;U123,"OBSERVACION_INSUFICIENTE",IF(W123="RESULTADO",IF(H123=X123,AA123,IF(OR(H123="orcSucceededWithErrors",H123="orcFailed",H123="orcAborted"),AB123,IF(OR(H123="orcNotStarted",H123="orcInProgress"),"RESULTADO_NO_TERMINAL","LEXEMA_O_FORMA"))),IF(W123="EVENTO_BOOT",IF(H123=X123,AA123,IF(OR(H123="NINGUNO",H123="SOLO_HIBRIDO"),IF(J123="COMPLETA",AB123,"COBERTURA_INSUFICIENTE"),"LEXEMA_O_FORMA")),IF(W123="REQUISITO_SOFT",IF(H123=X123,AA123,IF(H123=Z123,AB123,"LEXEMA_O_FORMA")),IF(W123="EVENTO_PROC",IF(H123=X123,AA123,IF(H123=Z123,IF(J123="COMPLETA",AB123,"COBERTURA_INSUFICIENTE"),"LEXEMA_O_FORMA")),IF(W123="IMAGEN",IF(AND(AND(ISTEXT(H123),LEN(("x"&amp;H123))=65,EXACT(("x"&amp;H123),LOWER(("x"&amp;H123))),ISERROR(SEARCH(" ",("x"&amp;H123))),ISERROR(SEARCH(CHAR(9),("x"&amp;H123))),ISERROR(SEARCH(CHAR(10),("x"&amp;H123))),ISERROR(SEARCH(CHAR(13),("x"&amp;H123))),IFERROR(HEX2DEC(MID(("x"&amp;H123),2,8))&gt;=0,FALSE),IFERROR(HEX2DEC(MID(("x"&amp;H123),10,8))&gt;=0,FALSE),IFERROR(HEX2DEC(MID(("x"&amp;H123),18,8))&gt;=0,FALSE),IFERROR(HEX2DEC(MID(("x"&amp;H123),26,8))&gt;=0,FALSE),IFERROR(HEX2DEC(MID(("x"&amp;H123),34,8))&gt;=0,FALSE),IFERROR(HEX2DEC(MID(("x"&amp;H123),42,8))&gt;=0,FALSE),IFERROR(HEX2DEC(MID(("x"&amp;H123),50,8))&gt;=0,FALSE),IFERROR(HEX2DEC(MID(("x"&amp;H123),58,8))&gt;=0,FALSE)),AND(ISTEXT(I123),LEN(("x"&amp;I123))=65,EXACT(("x"&amp;I123),LOWER(("x"&amp;I123))),ISERROR(SEARCH(" ",("x"&amp;I123))),ISERROR(SEARCH(CHAR(9),("x"&amp;I123))),ISERROR(SEARCH(CHAR(10),("x"&amp;I123))),ISERROR(SEARCH(CHAR(13),("x"&amp;I123))),IFERROR(HEX2DEC(MID(("x"&amp;I123),2,8))&gt;=0,FALSE),IFERROR(HEX2DEC(MID(("x"&amp;I123),10,8))&gt;=0,FALSE),IFERROR(HEX2DEC(MID(("x"&amp;I123),18,8))&gt;=0,FALSE),IFERROR(HEX2DEC(MID(("x"&amp;I123),26,8))&gt;=0,FALSE),IFERROR(HEX2DEC(MID(("x"&amp;I123),34,8))&gt;=0,FALSE),IFERROR(HEX2DEC(MID(("x"&amp;I123),42,8))&gt;=0,FALSE),IFERROR(HEX2DEC(MID(("x"&amp;I123),50,8))&gt;=0,FALSE),IFERROR(HEX2DEC(MID(("x"&amp;I123),58,8))&gt;=0,FALSE))),IF(EXACT("x"&amp;H123,"x"&amp;I123),AA123,AB123),"LEXEMA_O_FORMA"),IF(W123="PRUEBA",IF(H123=X123,AA123,IF(H123=Z123,AB123,"LEXEMA_O_FORMA")),IF(W123="RETIRADA",IF(AND(H123="NINGUNO",I123=""),IF(J123="COMPLETA",AB123,"COBERTURA_INSUFICIENTE"),IF(AND(OR(H123="uoInstallation",H123="uoUninstallation"),OR(I123="orcSucceeded",I123="orcSucceededWithErrors",I123="orcFailed",I123="orcAborted",I123="orcInProgress",I123="orcNotStarted")),IF(AND(H123=X123,I123=Y123),AA123,IF(AND(H123=X123,OR(I123="orcSucceededWithErrors",I123="orcInProgress",I123="orcNotStarted")),"RESULTADO_RETIRADA_INCIERTO",IF(J123="COMPLETA",AB123,"COBERTURA_INSUFICIENTE"))),"LEXEMA_O_FORMA")),IF(W123="CAMBIO",IF(OR(H123="CAMBIO",H123="CAMBIO_Y_RETORNO"),AA123,IF(OR(H123="NINGUNO",H123="SOLO_RENOMBRE"),IF(J123="COMPLETA",AB123,"COBERTURA_INSUFICIENTE"),"LEXEMA_O_FORMA")),IF(W123="RESTAURACION",IF(H123=X123,AA123,IF(OR(H123="NINGUNO",H123="RESTAURACION_POSTERIOR",H123="RESTAURACION_FALLIDA"),IF(J123="COMPLETA",AB123,"COBERTURA_INSUFICIENTE"),"LEXEMA_O_FORMA")),"PERFIL_NO_CONSTITUIDO"))))))))))))))))))</x:f>
        <x:v>OBSERVACION_INSUFICIENTE</x:v>
      </x:c>
      <x:c r="R123" s="12" t="str">
        <x:f>IF(AND(L123=O123,M123=P123,N123=Q123),"PASA","NO_PASA")</x:f>
        <x:v>PASA</x:v>
      </x:c>
      <x:c r="S123" s="4" t="str">
        <x:v>Una fuente del dominio no sustituye la observación específica del episodio.</x:v>
      </x:c>
      <x:c r="T123" s="12" t="str">
        <x:f>IFERROR(INDEX('55_Codificacion_ensayo'!$B$5:$B$13,MATCH(B123,'55_Codificacion_ensayo'!$A$5:$A$13,0)),"")</x:f>
        <x:v>HISTORIA-RESTAURACION-PREVIA-0.1</x:v>
      </x:c>
      <x:c r="U123" s="12" t="str">
        <x:f>IFERROR(INDEX('55_Codificacion_ensayo'!$C$5:$C$13,MATCH(B123,'55_Codificacion_ensayo'!$A$5:$A$13,0)),"")</x:f>
        <x:v>TRABAJO_RESTAURACION</x:v>
      </x:c>
      <x:c r="V123" s="12" t="str">
        <x:f>IFERROR(INDEX('55_Codificacion_ensayo'!$D$5:$D$13,MATCH(B123,'55_Codificacion_ensayo'!$A$5:$A$13,0)),"")</x:f>
        <x:v>ORDEN_ACREDITADO</x:v>
      </x:c>
      <x:c r="W123" s="12" t="str">
        <x:f>IFERROR(INDEX('55_Codificacion_ensayo'!$E$5:$E$13,MATCH(B123,'55_Codificacion_ensayo'!$A$5:$A$13,0)),"")</x:f>
        <x:v>RESTAURACION</x:v>
      </x:c>
      <x:c r="X123" s="12" t="str">
        <x:f>IFERROR(INDEX('55_Codificacion_ensayo'!$F$5:$F$13,MATCH(B123,'55_Codificacion_ensayo'!$A$5:$A$13,0)),"")</x:f>
        <x:v>RESTAURACION_PREVIA</x:v>
      </x:c>
      <x:c r="Y123" s="12" t="str">
        <x:f>IFERROR(INDEX('55_Codificacion_ensayo'!$G$5:$G$13,MATCH(B123,'55_Codificacion_ensayo'!$A$5:$A$13,0)),"")</x:f>
      </x:c>
      <x:c r="Z123" s="12" t="str">
        <x:f>IFERROR(INDEX('55_Codificacion_ensayo'!$H$5:$H$13,MATCH(B123,'55_Codificacion_ensayo'!$A$5:$A$13,0)),"")</x:f>
        <x:v>NINGUNO</x:v>
      </x:c>
      <x:c r="AA123" s="12" t="str">
        <x:f>IFERROR(INDEX('55_Codificacion_ensayo'!$I$5:$I$13,MATCH(B123,'55_Codificacion_ensayo'!$A$5:$A$13,0)),"")</x:f>
        <x:v>RESTAURACION_PREVIA</x:v>
      </x:c>
      <x:c r="AB123" s="12" t="str">
        <x:f>IFERROR(INDEX('55_Codificacion_ensayo'!$J$5:$J$13,MATCH(B123,'55_Codificacion_ensayo'!$A$5:$A$13,0)),"")</x:f>
        <x:v>SIN_RESTAURACION_PREVIA</x:v>
      </x:c>
    </x:row>
    <x:row r="124" ht="47" customHeight="1">
      <x:c r="A124" s="4" t="str">
        <x:v>L10-10-08</x:v>
      </x:c>
      <x:c r="B124" s="4" t="str">
        <x:v>PAR-CYB-RESTAURACION-PREVIA-COMUNICADA-001</x:v>
      </x:c>
      <x:c r="C124" s="4" t="str">
        <x:v>OTRO_PERFIL</x:v>
      </x:c>
      <x:c r="D124" s="4" t="str">
        <x:v>COINCIDE</x:v>
      </x:c>
      <x:c r="E124" s="4" t="str">
        <x:v>LEGIBLE</x:v>
      </x:c>
      <x:c r="F124" s="4" t="str">
        <x:v>TRABAJO_RESTAURACION</x:v>
      </x:c>
      <x:c r="G124" s="4" t="str">
        <x:v>UNICA</x:v>
      </x:c>
      <x:c r="H124" s="4" t="str">
        <x:v>RESTAURACION_PREVIA</x:v>
      </x:c>
      <x:c r="I124" s="4" t="str"/>
      <x:c r="J124" s="4" t="str">
        <x:v>COMPLETA</x:v>
      </x:c>
      <x:c r="K124" s="4" t="str">
        <x:v>ORDEN_ACREDITADO</x:v>
      </x:c>
      <x:c r="L124" s="4" t="str">
        <x:v>FUERA_PERFIL</x:v>
      </x:c>
      <x:c r="M124" s="4" t="str"/>
      <x:c r="N124" s="4" t="str">
        <x:v>PERFIL_NO_CONSTITUIDO</x:v>
      </x:c>
      <x:c r="O124" s="12" t="str">
        <x:f>IF(Q124="SIN_EJECUCION_DOMINIO","FALLO_CAPTURA",IF(OR(Q124="CAPTURA_MAL_FORMADA",Q124="IDENTIDAD",Q124="OBSERVACION_MAL_FORMADA",Q124="LEXEMA_O_FORMA"),"NO_ADMISION",IF(OR(Q124="PERFIL_NO_CONSTITUIDO",Q124="RESULTADO_NO_TERMINAL"),"FUERA_PERFIL",IF(Q124="CONTEXTO_NO_CONSTITUIDO","CONFIGURACION_PENDIENTE","VALIDA"))))</x:f>
        <x:v>FUERA_PERFIL</x:v>
      </x:c>
      <x:c r="P124" s="12" t="str">
        <x:f>IF(O124&lt;&gt;"VALIDA","",IF(Q124=AA124,"1",IF(Q124=AB124,"0","U")))</x:f>
      </x:c>
      <x:c r="Q124" s="12" t="str">
        <x:f>IF(E124="FALLO","SIN_EJECUCION_DOMINIO",IF(E124&lt;&gt;"LEGIBLE","CAPTURA_MAL_FORMADA",IF(D124&lt;&gt;"COINCIDE","IDENTIDAD",IF(OR(T124="",C124&lt;&gt;T124),"PERFIL_NO_CONSTITUIDO",IF(K124&lt;&gt;V124,IF(V124="ORDEN_ACREDITADO","ORDEN_NO_ACREDITADO","CONTEXTO_NO_CONSTITUIDO"),IF(AND(G124="AUSENTE",H124="",I124=""),"DATO_AUSENTE",IF(AND(G124="CONFLICTO",H124="",I124=""),"CONFLICTO_OBSERVACIONAL",IF(G124&lt;&gt;"UNICA","OBSERVACION_MAL_FORMADA",IF(F124&lt;&gt;U124,"OBSERVACION_INSUFICIENTE",IF(W124="RESULTADO",IF(H124=X124,AA124,IF(OR(H124="orcSucceededWithErrors",H124="orcFailed",H124="orcAborted"),AB124,IF(OR(H124="orcNotStarted",H124="orcInProgress"),"RESULTADO_NO_TERMINAL","LEXEMA_O_FORMA"))),IF(W124="EVENTO_BOOT",IF(H124=X124,AA124,IF(OR(H124="NINGUNO",H124="SOLO_HIBRIDO"),IF(J124="COMPLETA",AB124,"COBERTURA_INSUFICIENTE"),"LEXEMA_O_FORMA")),IF(W124="REQUISITO_SOFT",IF(H124=X124,AA124,IF(H124=Z124,AB124,"LEXEMA_O_FORMA")),IF(W124="EVENTO_PROC",IF(H124=X124,AA124,IF(H124=Z124,IF(J124="COMPLETA",AB124,"COBERTURA_INSUFICIENTE"),"LEXEMA_O_FORMA")),IF(W124="IMAGEN",IF(AND(AND(ISTEXT(H124),LEN(("x"&amp;H124))=65,EXACT(("x"&amp;H124),LOWER(("x"&amp;H124))),ISERROR(SEARCH(" ",("x"&amp;H124))),ISERROR(SEARCH(CHAR(9),("x"&amp;H124))),ISERROR(SEARCH(CHAR(10),("x"&amp;H124))),ISERROR(SEARCH(CHAR(13),("x"&amp;H124))),IFERROR(HEX2DEC(MID(("x"&amp;H124),2,8))&gt;=0,FALSE),IFERROR(HEX2DEC(MID(("x"&amp;H124),10,8))&gt;=0,FALSE),IFERROR(HEX2DEC(MID(("x"&amp;H124),18,8))&gt;=0,FALSE),IFERROR(HEX2DEC(MID(("x"&amp;H124),26,8))&gt;=0,FALSE),IFERROR(HEX2DEC(MID(("x"&amp;H124),34,8))&gt;=0,FALSE),IFERROR(HEX2DEC(MID(("x"&amp;H124),42,8))&gt;=0,FALSE),IFERROR(HEX2DEC(MID(("x"&amp;H124),50,8))&gt;=0,FALSE),IFERROR(HEX2DEC(MID(("x"&amp;H124),58,8))&gt;=0,FALSE)),AND(ISTEXT(I124),LEN(("x"&amp;I124))=65,EXACT(("x"&amp;I124),LOWER(("x"&amp;I124))),ISERROR(SEARCH(" ",("x"&amp;I124))),ISERROR(SEARCH(CHAR(9),("x"&amp;I124))),ISERROR(SEARCH(CHAR(10),("x"&amp;I124))),ISERROR(SEARCH(CHAR(13),("x"&amp;I124))),IFERROR(HEX2DEC(MID(("x"&amp;I124),2,8))&gt;=0,FALSE),IFERROR(HEX2DEC(MID(("x"&amp;I124),10,8))&gt;=0,FALSE),IFERROR(HEX2DEC(MID(("x"&amp;I124),18,8))&gt;=0,FALSE),IFERROR(HEX2DEC(MID(("x"&amp;I124),26,8))&gt;=0,FALSE),IFERROR(HEX2DEC(MID(("x"&amp;I124),34,8))&gt;=0,FALSE),IFERROR(HEX2DEC(MID(("x"&amp;I124),42,8))&gt;=0,FALSE),IFERROR(HEX2DEC(MID(("x"&amp;I124),50,8))&gt;=0,FALSE),IFERROR(HEX2DEC(MID(("x"&amp;I124),58,8))&gt;=0,FALSE))),IF(EXACT("x"&amp;H124,"x"&amp;I124),AA124,AB124),"LEXEMA_O_FORMA"),IF(W124="PRUEBA",IF(H124=X124,AA124,IF(H124=Z124,AB124,"LEXEMA_O_FORMA")),IF(W124="RETIRADA",IF(AND(H124="NINGUNO",I124=""),IF(J124="COMPLETA",AB124,"COBERTURA_INSUFICIENTE"),IF(AND(OR(H124="uoInstallation",H124="uoUninstallation"),OR(I124="orcSucceeded",I124="orcSucceededWithErrors",I124="orcFailed",I124="orcAborted",I124="orcInProgress",I124="orcNotStarted")),IF(AND(H124=X124,I124=Y124),AA124,IF(AND(H124=X124,OR(I124="orcSucceededWithErrors",I124="orcInProgress",I124="orcNotStarted")),"RESULTADO_RETIRADA_INCIERTO",IF(J124="COMPLETA",AB124,"COBERTURA_INSUFICIENTE"))),"LEXEMA_O_FORMA")),IF(W124="CAMBIO",IF(OR(H124="CAMBIO",H124="CAMBIO_Y_RETORNO"),AA124,IF(OR(H124="NINGUNO",H124="SOLO_RENOMBRE"),IF(J124="COMPLETA",AB124,"COBERTURA_INSUFICIENTE"),"LEXEMA_O_FORMA")),IF(W124="RESTAURACION",IF(H124=X124,AA124,IF(OR(H124="NINGUNO",H124="RESTAURACION_POSTERIOR",H124="RESTAURACION_FALLIDA"),IF(J124="COMPLETA",AB124,"COBERTURA_INSUFICIENTE"),"LEXEMA_O_FORMA")),"PERFIL_NO_CONSTITUIDO"))))))))))))))))))</x:f>
        <x:v>PERFIL_NO_CONSTITUIDO</x:v>
      </x:c>
      <x:c r="R124" s="12" t="str">
        <x:f>IF(AND(L124=O124,M124=P124,N124=Q124),"PASA","NO_PASA")</x:f>
        <x:v>PASA</x:v>
      </x:c>
      <x:c r="S124" s="4" t="str">
        <x:v>Perfil de otro producto no se normaliza por analogía.</x:v>
      </x:c>
      <x:c r="T124" s="12" t="str">
        <x:f>IFERROR(INDEX('55_Codificacion_ensayo'!$B$5:$B$13,MATCH(B124,'55_Codificacion_ensayo'!$A$5:$A$13,0)),"")</x:f>
        <x:v>HISTORIA-RESTAURACION-PREVIA-0.1</x:v>
      </x:c>
      <x:c r="U124" s="12" t="str">
        <x:f>IFERROR(INDEX('55_Codificacion_ensayo'!$C$5:$C$13,MATCH(B124,'55_Codificacion_ensayo'!$A$5:$A$13,0)),"")</x:f>
        <x:v>TRABAJO_RESTAURACION</x:v>
      </x:c>
      <x:c r="V124" s="12" t="str">
        <x:f>IFERROR(INDEX('55_Codificacion_ensayo'!$D$5:$D$13,MATCH(B124,'55_Codificacion_ensayo'!$A$5:$A$13,0)),"")</x:f>
        <x:v>ORDEN_ACREDITADO</x:v>
      </x:c>
      <x:c r="W124" s="12" t="str">
        <x:f>IFERROR(INDEX('55_Codificacion_ensayo'!$E$5:$E$13,MATCH(B124,'55_Codificacion_ensayo'!$A$5:$A$13,0)),"")</x:f>
        <x:v>RESTAURACION</x:v>
      </x:c>
      <x:c r="X124" s="12" t="str">
        <x:f>IFERROR(INDEX('55_Codificacion_ensayo'!$F$5:$F$13,MATCH(B124,'55_Codificacion_ensayo'!$A$5:$A$13,0)),"")</x:f>
        <x:v>RESTAURACION_PREVIA</x:v>
      </x:c>
      <x:c r="Y124" s="12" t="str">
        <x:f>IFERROR(INDEX('55_Codificacion_ensayo'!$G$5:$G$13,MATCH(B124,'55_Codificacion_ensayo'!$A$5:$A$13,0)),"")</x:f>
      </x:c>
      <x:c r="Z124" s="12" t="str">
        <x:f>IFERROR(INDEX('55_Codificacion_ensayo'!$H$5:$H$13,MATCH(B124,'55_Codificacion_ensayo'!$A$5:$A$13,0)),"")</x:f>
        <x:v>NINGUNO</x:v>
      </x:c>
      <x:c r="AA124" s="12" t="str">
        <x:f>IFERROR(INDEX('55_Codificacion_ensayo'!$I$5:$I$13,MATCH(B124,'55_Codificacion_ensayo'!$A$5:$A$13,0)),"")</x:f>
        <x:v>RESTAURACION_PREVIA</x:v>
      </x:c>
      <x:c r="AB124" s="12" t="str">
        <x:f>IFERROR(INDEX('55_Codificacion_ensayo'!$J$5:$J$13,MATCH(B124,'55_Codificacion_ensayo'!$A$5:$A$13,0)),"")</x:f>
        <x:v>SIN_RESTAURACION_PREVIA</x:v>
      </x:c>
    </x:row>
    <x:row r="125" ht="47" customHeight="1">
      <x:c r="A125" s="4" t="str">
        <x:v>L10-10-09</x:v>
      </x:c>
      <x:c r="B125" s="4" t="str">
        <x:v>PAR-CYB-RESTAURACION-PREVIA-COMUNICADA-001</x:v>
      </x:c>
      <x:c r="C125" s="4" t="str">
        <x:v>HISTORIA-RESTAURACION-PREVIA-0.1</x:v>
      </x:c>
      <x:c r="D125" s="4" t="str">
        <x:v>COINCIDE</x:v>
      </x:c>
      <x:c r="E125" s="4" t="str">
        <x:v>LEGIBLE</x:v>
      </x:c>
      <x:c r="F125" s="4" t="str">
        <x:v>TRABAJO_RESTAURACION</x:v>
      </x:c>
      <x:c r="G125" s="4" t="str">
        <x:v>UNICA</x:v>
      </x:c>
      <x:c r="H125" s="4" t="str">
        <x:v>true false desconocido</x:v>
      </x:c>
      <x:c r="I125" s="4" t="str"/>
      <x:c r="J125" s="4" t="str">
        <x:v>COMPLETA</x:v>
      </x:c>
      <x:c r="K125" s="4" t="str">
        <x:v>ORDEN_ACREDITADO</x:v>
      </x:c>
      <x:c r="L125" s="4" t="str">
        <x:v>NO_ADMISION</x:v>
      </x:c>
      <x:c r="M125" s="4" t="str"/>
      <x:c r="N125" s="4" t="str">
        <x:v>LEXEMA_O_FORMA</x:v>
      </x:c>
      <x:c r="O125" s="12" t="str">
        <x:f>IF(Q125="SIN_EJECUCION_DOMINIO","FALLO_CAPTURA",IF(OR(Q125="CAPTURA_MAL_FORMADA",Q125="IDENTIDAD",Q125="OBSERVACION_MAL_FORMADA",Q125="LEXEMA_O_FORMA"),"NO_ADMISION",IF(OR(Q125="PERFIL_NO_CONSTITUIDO",Q125="RESULTADO_NO_TERMINAL"),"FUERA_PERFIL",IF(Q125="CONTEXTO_NO_CONSTITUIDO","CONFIGURACION_PENDIENTE","VALIDA"))))</x:f>
        <x:v>NO_ADMISION</x:v>
      </x:c>
      <x:c r="P125" s="12" t="str">
        <x:f>IF(O125&lt;&gt;"VALIDA","",IF(Q125=AA125,"1",IF(Q125=AB125,"0","U")))</x:f>
      </x:c>
      <x:c r="Q125" s="12" t="str">
        <x:f>IF(E125="FALLO","SIN_EJECUCION_DOMINIO",IF(E125&lt;&gt;"LEGIBLE","CAPTURA_MAL_FORMADA",IF(D125&lt;&gt;"COINCIDE","IDENTIDAD",IF(OR(T125="",C125&lt;&gt;T125),"PERFIL_NO_CONSTITUIDO",IF(K125&lt;&gt;V125,IF(V125="ORDEN_ACREDITADO","ORDEN_NO_ACREDITADO","CONTEXTO_NO_CONSTITUIDO"),IF(AND(G125="AUSENTE",H125="",I125=""),"DATO_AUSENTE",IF(AND(G125="CONFLICTO",H125="",I125=""),"CONFLICTO_OBSERVACIONAL",IF(G125&lt;&gt;"UNICA","OBSERVACION_MAL_FORMADA",IF(F125&lt;&gt;U125,"OBSERVACION_INSUFICIENTE",IF(W125="RESULTADO",IF(H125=X125,AA125,IF(OR(H125="orcSucceededWithErrors",H125="orcFailed",H125="orcAborted"),AB125,IF(OR(H125="orcNotStarted",H125="orcInProgress"),"RESULTADO_NO_TERMINAL","LEXEMA_O_FORMA"))),IF(W125="EVENTO_BOOT",IF(H125=X125,AA125,IF(OR(H125="NINGUNO",H125="SOLO_HIBRIDO"),IF(J125="COMPLETA",AB125,"COBERTURA_INSUFICIENTE"),"LEXEMA_O_FORMA")),IF(W125="REQUISITO_SOFT",IF(H125=X125,AA125,IF(H125=Z125,AB125,"LEXEMA_O_FORMA")),IF(W125="EVENTO_PROC",IF(H125=X125,AA125,IF(H125=Z125,IF(J125="COMPLETA",AB125,"COBERTURA_INSUFICIENTE"),"LEXEMA_O_FORMA")),IF(W125="IMAGEN",IF(AND(AND(ISTEXT(H125),LEN(("x"&amp;H125))=65,EXACT(("x"&amp;H125),LOWER(("x"&amp;H125))),ISERROR(SEARCH(" ",("x"&amp;H125))),ISERROR(SEARCH(CHAR(9),("x"&amp;H125))),ISERROR(SEARCH(CHAR(10),("x"&amp;H125))),ISERROR(SEARCH(CHAR(13),("x"&amp;H125))),IFERROR(HEX2DEC(MID(("x"&amp;H125),2,8))&gt;=0,FALSE),IFERROR(HEX2DEC(MID(("x"&amp;H125),10,8))&gt;=0,FALSE),IFERROR(HEX2DEC(MID(("x"&amp;H125),18,8))&gt;=0,FALSE),IFERROR(HEX2DEC(MID(("x"&amp;H125),26,8))&gt;=0,FALSE),IFERROR(HEX2DEC(MID(("x"&amp;H125),34,8))&gt;=0,FALSE),IFERROR(HEX2DEC(MID(("x"&amp;H125),42,8))&gt;=0,FALSE),IFERROR(HEX2DEC(MID(("x"&amp;H125),50,8))&gt;=0,FALSE),IFERROR(HEX2DEC(MID(("x"&amp;H125),58,8))&gt;=0,FALSE)),AND(ISTEXT(I125),LEN(("x"&amp;I125))=65,EXACT(("x"&amp;I125),LOWER(("x"&amp;I125))),ISERROR(SEARCH(" ",("x"&amp;I125))),ISERROR(SEARCH(CHAR(9),("x"&amp;I125))),ISERROR(SEARCH(CHAR(10),("x"&amp;I125))),ISERROR(SEARCH(CHAR(13),("x"&amp;I125))),IFERROR(HEX2DEC(MID(("x"&amp;I125),2,8))&gt;=0,FALSE),IFERROR(HEX2DEC(MID(("x"&amp;I125),10,8))&gt;=0,FALSE),IFERROR(HEX2DEC(MID(("x"&amp;I125),18,8))&gt;=0,FALSE),IFERROR(HEX2DEC(MID(("x"&amp;I125),26,8))&gt;=0,FALSE),IFERROR(HEX2DEC(MID(("x"&amp;I125),34,8))&gt;=0,FALSE),IFERROR(HEX2DEC(MID(("x"&amp;I125),42,8))&gt;=0,FALSE),IFERROR(HEX2DEC(MID(("x"&amp;I125),50,8))&gt;=0,FALSE),IFERROR(HEX2DEC(MID(("x"&amp;I125),58,8))&gt;=0,FALSE))),IF(EXACT("x"&amp;H125,"x"&amp;I125),AA125,AB125),"LEXEMA_O_FORMA"),IF(W125="PRUEBA",IF(H125=X125,AA125,IF(H125=Z125,AB125,"LEXEMA_O_FORMA")),IF(W125="RETIRADA",IF(AND(H125="NINGUNO",I125=""),IF(J125="COMPLETA",AB125,"COBERTURA_INSUFICIENTE"),IF(AND(OR(H125="uoInstallation",H125="uoUninstallation"),OR(I125="orcSucceeded",I125="orcSucceededWithErrors",I125="orcFailed",I125="orcAborted",I125="orcInProgress",I125="orcNotStarted")),IF(AND(H125=X125,I125=Y125),AA125,IF(AND(H125=X125,OR(I125="orcSucceededWithErrors",I125="orcInProgress",I125="orcNotStarted")),"RESULTADO_RETIRADA_INCIERTO",IF(J125="COMPLETA",AB125,"COBERTURA_INSUFICIENTE"))),"LEXEMA_O_FORMA")),IF(W125="CAMBIO",IF(OR(H125="CAMBIO",H125="CAMBIO_Y_RETORNO"),AA125,IF(OR(H125="NINGUNO",H125="SOLO_RENOMBRE"),IF(J125="COMPLETA",AB125,"COBERTURA_INSUFICIENTE"),"LEXEMA_O_FORMA")),IF(W125="RESTAURACION",IF(H125=X125,AA125,IF(OR(H125="NINGUNO",H125="RESTAURACION_POSTERIOR",H125="RESTAURACION_FALLIDA"),IF(J125="COMPLETA",AB125,"COBERTURA_INSUFICIENTE"),"LEXEMA_O_FORMA")),"PERFIL_NO_CONSTITUIDO"))))))))))))))))))</x:f>
        <x:v>LEXEMA_O_FORMA</x:v>
      </x:c>
      <x:c r="R125" s="12" t="str">
        <x:f>IF(AND(L125=O125,M125=P125,N125=Q125),"PASA","NO_PASA")</x:f>
        <x:v>PASA</x:v>
      </x:c>
      <x:c r="S125" s="4" t="str">
        <x:v>La observación usa un lexema ajeno al contrato.</x:v>
      </x:c>
      <x:c r="T125" s="12" t="str">
        <x:f>IFERROR(INDEX('55_Codificacion_ensayo'!$B$5:$B$13,MATCH(B125,'55_Codificacion_ensayo'!$A$5:$A$13,0)),"")</x:f>
        <x:v>HISTORIA-RESTAURACION-PREVIA-0.1</x:v>
      </x:c>
      <x:c r="U125" s="12" t="str">
        <x:f>IFERROR(INDEX('55_Codificacion_ensayo'!$C$5:$C$13,MATCH(B125,'55_Codificacion_ensayo'!$A$5:$A$13,0)),"")</x:f>
        <x:v>TRABAJO_RESTAURACION</x:v>
      </x:c>
      <x:c r="V125" s="12" t="str">
        <x:f>IFERROR(INDEX('55_Codificacion_ensayo'!$D$5:$D$13,MATCH(B125,'55_Codificacion_ensayo'!$A$5:$A$13,0)),"")</x:f>
        <x:v>ORDEN_ACREDITADO</x:v>
      </x:c>
      <x:c r="W125" s="12" t="str">
        <x:f>IFERROR(INDEX('55_Codificacion_ensayo'!$E$5:$E$13,MATCH(B125,'55_Codificacion_ensayo'!$A$5:$A$13,0)),"")</x:f>
        <x:v>RESTAURACION</x:v>
      </x:c>
      <x:c r="X125" s="12" t="str">
        <x:f>IFERROR(INDEX('55_Codificacion_ensayo'!$F$5:$F$13,MATCH(B125,'55_Codificacion_ensayo'!$A$5:$A$13,0)),"")</x:f>
        <x:v>RESTAURACION_PREVIA</x:v>
      </x:c>
      <x:c r="Y125" s="12" t="str">
        <x:f>IFERROR(INDEX('55_Codificacion_ensayo'!$G$5:$G$13,MATCH(B125,'55_Codificacion_ensayo'!$A$5:$A$13,0)),"")</x:f>
      </x:c>
      <x:c r="Z125" s="12" t="str">
        <x:f>IFERROR(INDEX('55_Codificacion_ensayo'!$H$5:$H$13,MATCH(B125,'55_Codificacion_ensayo'!$A$5:$A$13,0)),"")</x:f>
        <x:v>NINGUNO</x:v>
      </x:c>
      <x:c r="AA125" s="12" t="str">
        <x:f>IFERROR(INDEX('55_Codificacion_ensayo'!$I$5:$I$13,MATCH(B125,'55_Codificacion_ensayo'!$A$5:$A$13,0)),"")</x:f>
        <x:v>RESTAURACION_PREVIA</x:v>
      </x:c>
      <x:c r="AB125" s="12" t="str">
        <x:f>IFERROR(INDEX('55_Codificacion_ensayo'!$J$5:$J$13,MATCH(B125,'55_Codificacion_ensayo'!$A$5:$A$13,0)),"")</x:f>
        <x:v>SIN_RESTAURACION_PREVIA</x:v>
      </x:c>
    </x:row>
    <x:row r="126" ht="47" customHeight="1">
      <x:c r="A126" s="4" t="str">
        <x:v>L10-10-10</x:v>
      </x:c>
      <x:c r="B126" s="4" t="str">
        <x:v>PAR-CYB-RESTAURACION-PREVIA-COMUNICADA-001</x:v>
      </x:c>
      <x:c r="C126" s="4" t="str">
        <x:v>HISTORIA-RESTAURACION-PREVIA-0.1</x:v>
      </x:c>
      <x:c r="D126" s="4" t="str">
        <x:v>COINCIDE</x:v>
      </x:c>
      <x:c r="E126" s="4" t="str">
        <x:v>LEGIBLE</x:v>
      </x:c>
      <x:c r="F126" s="4" t="str">
        <x:v>TRABAJO_RESTAURACION</x:v>
      </x:c>
      <x:c r="G126" s="4" t="str">
        <x:v>UNICA</x:v>
      </x:c>
      <x:c r="H126" s="4" t="str">
        <x:v>NINGUNO</x:v>
      </x:c>
      <x:c r="I126" s="4" t="str"/>
      <x:c r="J126" s="4" t="str">
        <x:v>PARCIAL</x:v>
      </x:c>
      <x:c r="K126" s="4" t="str">
        <x:v>ORDEN_ACREDITADO</x:v>
      </x:c>
      <x:c r="L126" s="4" t="str">
        <x:v>VALIDA</x:v>
      </x:c>
      <x:c r="M126" s="4" t="str">
        <x:v>U</x:v>
      </x:c>
      <x:c r="N126" s="4" t="str">
        <x:v>COBERTURA_INSUFICIENTE</x:v>
      </x:c>
      <x:c r="O126" s="12" t="str">
        <x:f>IF(Q126="SIN_EJECUCION_DOMINIO","FALLO_CAPTURA",IF(OR(Q126="CAPTURA_MAL_FORMADA",Q126="IDENTIDAD",Q126="OBSERVACION_MAL_FORMADA",Q126="LEXEMA_O_FORMA"),"NO_ADMISION",IF(OR(Q126="PERFIL_NO_CONSTITUIDO",Q126="RESULTADO_NO_TERMINAL"),"FUERA_PERFIL",IF(Q126="CONTEXTO_NO_CONSTITUIDO","CONFIGURACION_PENDIENTE","VALIDA"))))</x:f>
        <x:v>VALIDA</x:v>
      </x:c>
      <x:c r="P126" s="12" t="str">
        <x:f>IF(O126&lt;&gt;"VALIDA","",IF(Q126=AA126,"1",IF(Q126=AB126,"0","U")))</x:f>
        <x:v>U</x:v>
      </x:c>
      <x:c r="Q126" s="12" t="str">
        <x:f>IF(E126="FALLO","SIN_EJECUCION_DOMINIO",IF(E126&lt;&gt;"LEGIBLE","CAPTURA_MAL_FORMADA",IF(D126&lt;&gt;"COINCIDE","IDENTIDAD",IF(OR(T126="",C126&lt;&gt;T126),"PERFIL_NO_CONSTITUIDO",IF(K126&lt;&gt;V126,IF(V126="ORDEN_ACREDITADO","ORDEN_NO_ACREDITADO","CONTEXTO_NO_CONSTITUIDO"),IF(AND(G126="AUSENTE",H126="",I126=""),"DATO_AUSENTE",IF(AND(G126="CONFLICTO",H126="",I126=""),"CONFLICTO_OBSERVACIONAL",IF(G126&lt;&gt;"UNICA","OBSERVACION_MAL_FORMADA",IF(F126&lt;&gt;U126,"OBSERVACION_INSUFICIENTE",IF(W126="RESULTADO",IF(H126=X126,AA126,IF(OR(H126="orcSucceededWithErrors",H126="orcFailed",H126="orcAborted"),AB126,IF(OR(H126="orcNotStarted",H126="orcInProgress"),"RESULTADO_NO_TERMINAL","LEXEMA_O_FORMA"))),IF(W126="EVENTO_BOOT",IF(H126=X126,AA126,IF(OR(H126="NINGUNO",H126="SOLO_HIBRIDO"),IF(J126="COMPLETA",AB126,"COBERTURA_INSUFICIENTE"),"LEXEMA_O_FORMA")),IF(W126="REQUISITO_SOFT",IF(H126=X126,AA126,IF(H126=Z126,AB126,"LEXEMA_O_FORMA")),IF(W126="EVENTO_PROC",IF(H126=X126,AA126,IF(H126=Z126,IF(J126="COMPLETA",AB126,"COBERTURA_INSUFICIENTE"),"LEXEMA_O_FORMA")),IF(W126="IMAGEN",IF(AND(AND(ISTEXT(H126),LEN(("x"&amp;H126))=65,EXACT(("x"&amp;H126),LOWER(("x"&amp;H126))),ISERROR(SEARCH(" ",("x"&amp;H126))),ISERROR(SEARCH(CHAR(9),("x"&amp;H126))),ISERROR(SEARCH(CHAR(10),("x"&amp;H126))),ISERROR(SEARCH(CHAR(13),("x"&amp;H126))),IFERROR(HEX2DEC(MID(("x"&amp;H126),2,8))&gt;=0,FALSE),IFERROR(HEX2DEC(MID(("x"&amp;H126),10,8))&gt;=0,FALSE),IFERROR(HEX2DEC(MID(("x"&amp;H126),18,8))&gt;=0,FALSE),IFERROR(HEX2DEC(MID(("x"&amp;H126),26,8))&gt;=0,FALSE),IFERROR(HEX2DEC(MID(("x"&amp;H126),34,8))&gt;=0,FALSE),IFERROR(HEX2DEC(MID(("x"&amp;H126),42,8))&gt;=0,FALSE),IFERROR(HEX2DEC(MID(("x"&amp;H126),50,8))&gt;=0,FALSE),IFERROR(HEX2DEC(MID(("x"&amp;H126),58,8))&gt;=0,FALSE)),AND(ISTEXT(I126),LEN(("x"&amp;I126))=65,EXACT(("x"&amp;I126),LOWER(("x"&amp;I126))),ISERROR(SEARCH(" ",("x"&amp;I126))),ISERROR(SEARCH(CHAR(9),("x"&amp;I126))),ISERROR(SEARCH(CHAR(10),("x"&amp;I126))),ISERROR(SEARCH(CHAR(13),("x"&amp;I126))),IFERROR(HEX2DEC(MID(("x"&amp;I126),2,8))&gt;=0,FALSE),IFERROR(HEX2DEC(MID(("x"&amp;I126),10,8))&gt;=0,FALSE),IFERROR(HEX2DEC(MID(("x"&amp;I126),18,8))&gt;=0,FALSE),IFERROR(HEX2DEC(MID(("x"&amp;I126),26,8))&gt;=0,FALSE),IFERROR(HEX2DEC(MID(("x"&amp;I126),34,8))&gt;=0,FALSE),IFERROR(HEX2DEC(MID(("x"&amp;I126),42,8))&gt;=0,FALSE),IFERROR(HEX2DEC(MID(("x"&amp;I126),50,8))&gt;=0,FALSE),IFERROR(HEX2DEC(MID(("x"&amp;I126),58,8))&gt;=0,FALSE))),IF(EXACT("x"&amp;H126,"x"&amp;I126),AA126,AB126),"LEXEMA_O_FORMA"),IF(W126="PRUEBA",IF(H126=X126,AA126,IF(H126=Z126,AB126,"LEXEMA_O_FORMA")),IF(W126="RETIRADA",IF(AND(H126="NINGUNO",I126=""),IF(J126="COMPLETA",AB126,"COBERTURA_INSUFICIENTE"),IF(AND(OR(H126="uoInstallation",H126="uoUninstallation"),OR(I126="orcSucceeded",I126="orcSucceededWithErrors",I126="orcFailed",I126="orcAborted",I126="orcInProgress",I126="orcNotStarted")),IF(AND(H126=X126,I126=Y126),AA126,IF(AND(H126=X126,OR(I126="orcSucceededWithErrors",I126="orcInProgress",I126="orcNotStarted")),"RESULTADO_RETIRADA_INCIERTO",IF(J126="COMPLETA",AB126,"COBERTURA_INSUFICIENTE"))),"LEXEMA_O_FORMA")),IF(W126="CAMBIO",IF(OR(H126="CAMBIO",H126="CAMBIO_Y_RETORNO"),AA126,IF(OR(H126="NINGUNO",H126="SOLO_RENOMBRE"),IF(J126="COMPLETA",AB126,"COBERTURA_INSUFICIENTE"),"LEXEMA_O_FORMA")),IF(W126="RESTAURACION",IF(H126=X126,AA126,IF(OR(H126="NINGUNO",H126="RESTAURACION_POSTERIOR",H126="RESTAURACION_FALLIDA"),IF(J126="COMPLETA",AB126,"COBERTURA_INSUFICIENTE"),"LEXEMA_O_FORMA")),"PERFIL_NO_CONSTITUIDO"))))))))))))))))))</x:f>
        <x:v>COBERTURA_INSUFICIENTE</x:v>
      </x:c>
      <x:c r="R126" s="12" t="str">
        <x:f>IF(AND(L126=O126,M126=P126,N126=Q126),"PASA","NO_PASA")</x:f>
        <x:v>PASA</x:v>
      </x:c>
      <x:c r="S126" s="4" t="str">
        <x:v>Ningún evento encontrado en cobertura parcial: U, no 0.</x:v>
      </x:c>
      <x:c r="T126" s="12" t="str">
        <x:f>IFERROR(INDEX('55_Codificacion_ensayo'!$B$5:$B$13,MATCH(B126,'55_Codificacion_ensayo'!$A$5:$A$13,0)),"")</x:f>
        <x:v>HISTORIA-RESTAURACION-PREVIA-0.1</x:v>
      </x:c>
      <x:c r="U126" s="12" t="str">
        <x:f>IFERROR(INDEX('55_Codificacion_ensayo'!$C$5:$C$13,MATCH(B126,'55_Codificacion_ensayo'!$A$5:$A$13,0)),"")</x:f>
        <x:v>TRABAJO_RESTAURACION</x:v>
      </x:c>
      <x:c r="V126" s="12" t="str">
        <x:f>IFERROR(INDEX('55_Codificacion_ensayo'!$D$5:$D$13,MATCH(B126,'55_Codificacion_ensayo'!$A$5:$A$13,0)),"")</x:f>
        <x:v>ORDEN_ACREDITADO</x:v>
      </x:c>
      <x:c r="W126" s="12" t="str">
        <x:f>IFERROR(INDEX('55_Codificacion_ensayo'!$E$5:$E$13,MATCH(B126,'55_Codificacion_ensayo'!$A$5:$A$13,0)),"")</x:f>
        <x:v>RESTAURACION</x:v>
      </x:c>
      <x:c r="X126" s="12" t="str">
        <x:f>IFERROR(INDEX('55_Codificacion_ensayo'!$F$5:$F$13,MATCH(B126,'55_Codificacion_ensayo'!$A$5:$A$13,0)),"")</x:f>
        <x:v>RESTAURACION_PREVIA</x:v>
      </x:c>
      <x:c r="Y126" s="12" t="str">
        <x:f>IFERROR(INDEX('55_Codificacion_ensayo'!$G$5:$G$13,MATCH(B126,'55_Codificacion_ensayo'!$A$5:$A$13,0)),"")</x:f>
      </x:c>
      <x:c r="Z126" s="12" t="str">
        <x:f>IFERROR(INDEX('55_Codificacion_ensayo'!$H$5:$H$13,MATCH(B126,'55_Codificacion_ensayo'!$A$5:$A$13,0)),"")</x:f>
        <x:v>NINGUNO</x:v>
      </x:c>
      <x:c r="AA126" s="12" t="str">
        <x:f>IFERROR(INDEX('55_Codificacion_ensayo'!$I$5:$I$13,MATCH(B126,'55_Codificacion_ensayo'!$A$5:$A$13,0)),"")</x:f>
        <x:v>RESTAURACION_PREVIA</x:v>
      </x:c>
      <x:c r="AB126" s="12" t="str">
        <x:f>IFERROR(INDEX('55_Codificacion_ensayo'!$J$5:$J$13,MATCH(B126,'55_Codificacion_ensayo'!$A$5:$A$13,0)),"")</x:f>
        <x:v>SIN_RESTAURACION_PREVIA</x:v>
      </x:c>
    </x:row>
    <x:row r="127" ht="47" customHeight="1">
      <x:c r="A127" s="4" t="str">
        <x:v>L10-10-11</x:v>
      </x:c>
      <x:c r="B127" s="4" t="str">
        <x:v>PAR-CYB-RESTAURACION-PREVIA-COMUNICADA-001</x:v>
      </x:c>
      <x:c r="C127" s="4" t="str">
        <x:v>HISTORIA-RESTAURACION-PREVIA-0.1</x:v>
      </x:c>
      <x:c r="D127" s="4" t="str">
        <x:v>COINCIDE</x:v>
      </x:c>
      <x:c r="E127" s="4" t="str">
        <x:v>LEGIBLE</x:v>
      </x:c>
      <x:c r="F127" s="4" t="str">
        <x:v>TRABAJO_RESTAURACION</x:v>
      </x:c>
      <x:c r="G127" s="4" t="str">
        <x:v>UNICA</x:v>
      </x:c>
      <x:c r="H127" s="4" t="str">
        <x:v>RESTAURACION_PREVIA</x:v>
      </x:c>
      <x:c r="I127" s="4" t="str"/>
      <x:c r="J127" s="4" t="str">
        <x:v>PARCIAL</x:v>
      </x:c>
      <x:c r="K127" s="4" t="str">
        <x:v>ORDEN_ACREDITADO</x:v>
      </x:c>
      <x:c r="L127" s="4" t="str">
        <x:v>VALIDA</x:v>
      </x:c>
      <x:c r="M127" s="4" t="str">
        <x:v>1</x:v>
      </x:c>
      <x:c r="N127" s="4" t="str">
        <x:v>RESTAURACION_PREVIA</x:v>
      </x:c>
      <x:c r="O127" s="12" t="str">
        <x:f>IF(Q127="SIN_EJECUCION_DOMINIO","FALLO_CAPTURA",IF(OR(Q127="CAPTURA_MAL_FORMADA",Q127="IDENTIDAD",Q127="OBSERVACION_MAL_FORMADA",Q127="LEXEMA_O_FORMA"),"NO_ADMISION",IF(OR(Q127="PERFIL_NO_CONSTITUIDO",Q127="RESULTADO_NO_TERMINAL"),"FUERA_PERFIL",IF(Q127="CONTEXTO_NO_CONSTITUIDO","CONFIGURACION_PENDIENTE","VALIDA"))))</x:f>
        <x:v>VALIDA</x:v>
      </x:c>
      <x:c r="P127" s="12" t="str">
        <x:f>IF(O127&lt;&gt;"VALIDA","",IF(Q127=AA127,"1",IF(Q127=AB127,"0","U")))</x:f>
        <x:v>1</x:v>
      </x:c>
      <x:c r="Q127" s="12" t="str">
        <x:f>IF(E127="FALLO","SIN_EJECUCION_DOMINIO",IF(E127&lt;&gt;"LEGIBLE","CAPTURA_MAL_FORMADA",IF(D127&lt;&gt;"COINCIDE","IDENTIDAD",IF(OR(T127="",C127&lt;&gt;T127),"PERFIL_NO_CONSTITUIDO",IF(K127&lt;&gt;V127,IF(V127="ORDEN_ACREDITADO","ORDEN_NO_ACREDITADO","CONTEXTO_NO_CONSTITUIDO"),IF(AND(G127="AUSENTE",H127="",I127=""),"DATO_AUSENTE",IF(AND(G127="CONFLICTO",H127="",I127=""),"CONFLICTO_OBSERVACIONAL",IF(G127&lt;&gt;"UNICA","OBSERVACION_MAL_FORMADA",IF(F127&lt;&gt;U127,"OBSERVACION_INSUFICIENTE",IF(W127="RESULTADO",IF(H127=X127,AA127,IF(OR(H127="orcSucceededWithErrors",H127="orcFailed",H127="orcAborted"),AB127,IF(OR(H127="orcNotStarted",H127="orcInProgress"),"RESULTADO_NO_TERMINAL","LEXEMA_O_FORMA"))),IF(W127="EVENTO_BOOT",IF(H127=X127,AA127,IF(OR(H127="NINGUNO",H127="SOLO_HIBRIDO"),IF(J127="COMPLETA",AB127,"COBERTURA_INSUFICIENTE"),"LEXEMA_O_FORMA")),IF(W127="REQUISITO_SOFT",IF(H127=X127,AA127,IF(H127=Z127,AB127,"LEXEMA_O_FORMA")),IF(W127="EVENTO_PROC",IF(H127=X127,AA127,IF(H127=Z127,IF(J127="COMPLETA",AB127,"COBERTURA_INSUFICIENTE"),"LEXEMA_O_FORMA")),IF(W127="IMAGEN",IF(AND(AND(ISTEXT(H127),LEN(("x"&amp;H127))=65,EXACT(("x"&amp;H127),LOWER(("x"&amp;H127))),ISERROR(SEARCH(" ",("x"&amp;H127))),ISERROR(SEARCH(CHAR(9),("x"&amp;H127))),ISERROR(SEARCH(CHAR(10),("x"&amp;H127))),ISERROR(SEARCH(CHAR(13),("x"&amp;H127))),IFERROR(HEX2DEC(MID(("x"&amp;H127),2,8))&gt;=0,FALSE),IFERROR(HEX2DEC(MID(("x"&amp;H127),10,8))&gt;=0,FALSE),IFERROR(HEX2DEC(MID(("x"&amp;H127),18,8))&gt;=0,FALSE),IFERROR(HEX2DEC(MID(("x"&amp;H127),26,8))&gt;=0,FALSE),IFERROR(HEX2DEC(MID(("x"&amp;H127),34,8))&gt;=0,FALSE),IFERROR(HEX2DEC(MID(("x"&amp;H127),42,8))&gt;=0,FALSE),IFERROR(HEX2DEC(MID(("x"&amp;H127),50,8))&gt;=0,FALSE),IFERROR(HEX2DEC(MID(("x"&amp;H127),58,8))&gt;=0,FALSE)),AND(ISTEXT(I127),LEN(("x"&amp;I127))=65,EXACT(("x"&amp;I127),LOWER(("x"&amp;I127))),ISERROR(SEARCH(" ",("x"&amp;I127))),ISERROR(SEARCH(CHAR(9),("x"&amp;I127))),ISERROR(SEARCH(CHAR(10),("x"&amp;I127))),ISERROR(SEARCH(CHAR(13),("x"&amp;I127))),IFERROR(HEX2DEC(MID(("x"&amp;I127),2,8))&gt;=0,FALSE),IFERROR(HEX2DEC(MID(("x"&amp;I127),10,8))&gt;=0,FALSE),IFERROR(HEX2DEC(MID(("x"&amp;I127),18,8))&gt;=0,FALSE),IFERROR(HEX2DEC(MID(("x"&amp;I127),26,8))&gt;=0,FALSE),IFERROR(HEX2DEC(MID(("x"&amp;I127),34,8))&gt;=0,FALSE),IFERROR(HEX2DEC(MID(("x"&amp;I127),42,8))&gt;=0,FALSE),IFERROR(HEX2DEC(MID(("x"&amp;I127),50,8))&gt;=0,FALSE),IFERROR(HEX2DEC(MID(("x"&amp;I127),58,8))&gt;=0,FALSE))),IF(EXACT("x"&amp;H127,"x"&amp;I127),AA127,AB127),"LEXEMA_O_FORMA"),IF(W127="PRUEBA",IF(H127=X127,AA127,IF(H127=Z127,AB127,"LEXEMA_O_FORMA")),IF(W127="RETIRADA",IF(AND(H127="NINGUNO",I127=""),IF(J127="COMPLETA",AB127,"COBERTURA_INSUFICIENTE"),IF(AND(OR(H127="uoInstallation",H127="uoUninstallation"),OR(I127="orcSucceeded",I127="orcSucceededWithErrors",I127="orcFailed",I127="orcAborted",I127="orcInProgress",I127="orcNotStarted")),IF(AND(H127=X127,I127=Y127),AA127,IF(AND(H127=X127,OR(I127="orcSucceededWithErrors",I127="orcInProgress",I127="orcNotStarted")),"RESULTADO_RETIRADA_INCIERTO",IF(J127="COMPLETA",AB127,"COBERTURA_INSUFICIENTE"))),"LEXEMA_O_FORMA")),IF(W127="CAMBIO",IF(OR(H127="CAMBIO",H127="CAMBIO_Y_RETORNO"),AA127,IF(OR(H127="NINGUNO",H127="SOLO_RENOMBRE"),IF(J127="COMPLETA",AB127,"COBERTURA_INSUFICIENTE"),"LEXEMA_O_FORMA")),IF(W127="RESTAURACION",IF(H127=X127,AA127,IF(OR(H127="NINGUNO",H127="RESTAURACION_POSTERIOR",H127="RESTAURACION_FALLIDA"),IF(J127="COMPLETA",AB127,"COBERTURA_INSUFICIENTE"),"LEXEMA_O_FORMA")),"PERFIL_NO_CONSTITUIDO"))))))))))))))))))</x:f>
        <x:v>RESTAURACION_PREVIA</x:v>
      </x:c>
      <x:c r="R127" s="12" t="str">
        <x:f>IF(AND(L127=O127,M127=P127,N127=Q127),"PASA","NO_PASA")</x:f>
        <x:v>PASA</x:v>
      </x:c>
      <x:c r="S127" s="4" t="str">
        <x:v>Un testigo positivo acredita existencia aunque la historia restante sea parcial.</x:v>
      </x:c>
      <x:c r="T127" s="12" t="str">
        <x:f>IFERROR(INDEX('55_Codificacion_ensayo'!$B$5:$B$13,MATCH(B127,'55_Codificacion_ensayo'!$A$5:$A$13,0)),"")</x:f>
        <x:v>HISTORIA-RESTAURACION-PREVIA-0.1</x:v>
      </x:c>
      <x:c r="U127" s="12" t="str">
        <x:f>IFERROR(INDEX('55_Codificacion_ensayo'!$C$5:$C$13,MATCH(B127,'55_Codificacion_ensayo'!$A$5:$A$13,0)),"")</x:f>
        <x:v>TRABAJO_RESTAURACION</x:v>
      </x:c>
      <x:c r="V127" s="12" t="str">
        <x:f>IFERROR(INDEX('55_Codificacion_ensayo'!$D$5:$D$13,MATCH(B127,'55_Codificacion_ensayo'!$A$5:$A$13,0)),"")</x:f>
        <x:v>ORDEN_ACREDITADO</x:v>
      </x:c>
      <x:c r="W127" s="12" t="str">
        <x:f>IFERROR(INDEX('55_Codificacion_ensayo'!$E$5:$E$13,MATCH(B127,'55_Codificacion_ensayo'!$A$5:$A$13,0)),"")</x:f>
        <x:v>RESTAURACION</x:v>
      </x:c>
      <x:c r="X127" s="12" t="str">
        <x:f>IFERROR(INDEX('55_Codificacion_ensayo'!$F$5:$F$13,MATCH(B127,'55_Codificacion_ensayo'!$A$5:$A$13,0)),"")</x:f>
        <x:v>RESTAURACION_PREVIA</x:v>
      </x:c>
      <x:c r="Y127" s="12" t="str">
        <x:f>IFERROR(INDEX('55_Codificacion_ensayo'!$G$5:$G$13,MATCH(B127,'55_Codificacion_ensayo'!$A$5:$A$13,0)),"")</x:f>
      </x:c>
      <x:c r="Z127" s="12" t="str">
        <x:f>IFERROR(INDEX('55_Codificacion_ensayo'!$H$5:$H$13,MATCH(B127,'55_Codificacion_ensayo'!$A$5:$A$13,0)),"")</x:f>
        <x:v>NINGUNO</x:v>
      </x:c>
      <x:c r="AA127" s="12" t="str">
        <x:f>IFERROR(INDEX('55_Codificacion_ensayo'!$I$5:$I$13,MATCH(B127,'55_Codificacion_ensayo'!$A$5:$A$13,0)),"")</x:f>
        <x:v>RESTAURACION_PREVIA</x:v>
      </x:c>
      <x:c r="AB127" s="12" t="str">
        <x:f>IFERROR(INDEX('55_Codificacion_ensayo'!$J$5:$J$13,MATCH(B127,'55_Codificacion_ensayo'!$A$5:$A$13,0)),"")</x:f>
        <x:v>SIN_RESTAURACION_PREVIA</x:v>
      </x:c>
    </x:row>
    <x:row r="128" ht="47" customHeight="1">
      <x:c r="A128" s="4" t="str">
        <x:v>L10-10-12</x:v>
      </x:c>
      <x:c r="B128" s="4" t="str">
        <x:v>PAR-CYB-RESTAURACION-PREVIA-COMUNICADA-001</x:v>
      </x:c>
      <x:c r="C128" s="4" t="str">
        <x:v>HISTORIA-RESTAURACION-PREVIA-0.1</x:v>
      </x:c>
      <x:c r="D128" s="4" t="str">
        <x:v>COINCIDE</x:v>
      </x:c>
      <x:c r="E128" s="4" t="str">
        <x:v>LEGIBLE</x:v>
      </x:c>
      <x:c r="F128" s="4" t="str">
        <x:v>TRABAJO_RESTAURACION</x:v>
      </x:c>
      <x:c r="G128" s="4" t="str">
        <x:v>UNICA</x:v>
      </x:c>
      <x:c r="H128" s="4" t="str">
        <x:v>RESTAURACION_PREVIA</x:v>
      </x:c>
      <x:c r="I128" s="4" t="str"/>
      <x:c r="J128" s="4" t="str">
        <x:v>COMPLETA</x:v>
      </x:c>
      <x:c r="K128" s="4" t="str">
        <x:v>ORDEN_INCIERTO</x:v>
      </x:c>
      <x:c r="L128" s="4" t="str">
        <x:v>VALIDA</x:v>
      </x:c>
      <x:c r="M128" s="4" t="str">
        <x:v>U</x:v>
      </x:c>
      <x:c r="N128" s="4" t="str">
        <x:v>ORDEN_NO_ACREDITADO</x:v>
      </x:c>
      <x:c r="O128" s="12" t="str">
        <x:f>IF(Q128="SIN_EJECUCION_DOMINIO","FALLO_CAPTURA",IF(OR(Q128="CAPTURA_MAL_FORMADA",Q128="IDENTIDAD",Q128="OBSERVACION_MAL_FORMADA",Q128="LEXEMA_O_FORMA"),"NO_ADMISION",IF(OR(Q128="PERFIL_NO_CONSTITUIDO",Q128="RESULTADO_NO_TERMINAL"),"FUERA_PERFIL",IF(Q128="CONTEXTO_NO_CONSTITUIDO","CONFIGURACION_PENDIENTE","VALIDA"))))</x:f>
        <x:v>VALIDA</x:v>
      </x:c>
      <x:c r="P128" s="12" t="str">
        <x:f>IF(O128&lt;&gt;"VALIDA","",IF(Q128=AA128,"1",IF(Q128=AB128,"0","U")))</x:f>
        <x:v>U</x:v>
      </x:c>
      <x:c r="Q128" s="12" t="str">
        <x:f>IF(E128="FALLO","SIN_EJECUCION_DOMINIO",IF(E128&lt;&gt;"LEGIBLE","CAPTURA_MAL_FORMADA",IF(D128&lt;&gt;"COINCIDE","IDENTIDAD",IF(OR(T128="",C128&lt;&gt;T128),"PERFIL_NO_CONSTITUIDO",IF(K128&lt;&gt;V128,IF(V128="ORDEN_ACREDITADO","ORDEN_NO_ACREDITADO","CONTEXTO_NO_CONSTITUIDO"),IF(AND(G128="AUSENTE",H128="",I128=""),"DATO_AUSENTE",IF(AND(G128="CONFLICTO",H128="",I128=""),"CONFLICTO_OBSERVACIONAL",IF(G128&lt;&gt;"UNICA","OBSERVACION_MAL_FORMADA",IF(F128&lt;&gt;U128,"OBSERVACION_INSUFICIENTE",IF(W128="RESULTADO",IF(H128=X128,AA128,IF(OR(H128="orcSucceededWithErrors",H128="orcFailed",H128="orcAborted"),AB128,IF(OR(H128="orcNotStarted",H128="orcInProgress"),"RESULTADO_NO_TERMINAL","LEXEMA_O_FORMA"))),IF(W128="EVENTO_BOOT",IF(H128=X128,AA128,IF(OR(H128="NINGUNO",H128="SOLO_HIBRIDO"),IF(J128="COMPLETA",AB128,"COBERTURA_INSUFICIENTE"),"LEXEMA_O_FORMA")),IF(W128="REQUISITO_SOFT",IF(H128=X128,AA128,IF(H128=Z128,AB128,"LEXEMA_O_FORMA")),IF(W128="EVENTO_PROC",IF(H128=X128,AA128,IF(H128=Z128,IF(J128="COMPLETA",AB128,"COBERTURA_INSUFICIENTE"),"LEXEMA_O_FORMA")),IF(W128="IMAGEN",IF(AND(AND(ISTEXT(H128),LEN(("x"&amp;H128))=65,EXACT(("x"&amp;H128),LOWER(("x"&amp;H128))),ISERROR(SEARCH(" ",("x"&amp;H128))),ISERROR(SEARCH(CHAR(9),("x"&amp;H128))),ISERROR(SEARCH(CHAR(10),("x"&amp;H128))),ISERROR(SEARCH(CHAR(13),("x"&amp;H128))),IFERROR(HEX2DEC(MID(("x"&amp;H128),2,8))&gt;=0,FALSE),IFERROR(HEX2DEC(MID(("x"&amp;H128),10,8))&gt;=0,FALSE),IFERROR(HEX2DEC(MID(("x"&amp;H128),18,8))&gt;=0,FALSE),IFERROR(HEX2DEC(MID(("x"&amp;H128),26,8))&gt;=0,FALSE),IFERROR(HEX2DEC(MID(("x"&amp;H128),34,8))&gt;=0,FALSE),IFERROR(HEX2DEC(MID(("x"&amp;H128),42,8))&gt;=0,FALSE),IFERROR(HEX2DEC(MID(("x"&amp;H128),50,8))&gt;=0,FALSE),IFERROR(HEX2DEC(MID(("x"&amp;H128),58,8))&gt;=0,FALSE)),AND(ISTEXT(I128),LEN(("x"&amp;I128))=65,EXACT(("x"&amp;I128),LOWER(("x"&amp;I128))),ISERROR(SEARCH(" ",("x"&amp;I128))),ISERROR(SEARCH(CHAR(9),("x"&amp;I128))),ISERROR(SEARCH(CHAR(10),("x"&amp;I128))),ISERROR(SEARCH(CHAR(13),("x"&amp;I128))),IFERROR(HEX2DEC(MID(("x"&amp;I128),2,8))&gt;=0,FALSE),IFERROR(HEX2DEC(MID(("x"&amp;I128),10,8))&gt;=0,FALSE),IFERROR(HEX2DEC(MID(("x"&amp;I128),18,8))&gt;=0,FALSE),IFERROR(HEX2DEC(MID(("x"&amp;I128),26,8))&gt;=0,FALSE),IFERROR(HEX2DEC(MID(("x"&amp;I128),34,8))&gt;=0,FALSE),IFERROR(HEX2DEC(MID(("x"&amp;I128),42,8))&gt;=0,FALSE),IFERROR(HEX2DEC(MID(("x"&amp;I128),50,8))&gt;=0,FALSE),IFERROR(HEX2DEC(MID(("x"&amp;I128),58,8))&gt;=0,FALSE))),IF(EXACT("x"&amp;H128,"x"&amp;I128),AA128,AB128),"LEXEMA_O_FORMA"),IF(W128="PRUEBA",IF(H128=X128,AA128,IF(H128=Z128,AB128,"LEXEMA_O_FORMA")),IF(W128="RETIRADA",IF(AND(H128="NINGUNO",I128=""),IF(J128="COMPLETA",AB128,"COBERTURA_INSUFICIENTE"),IF(AND(OR(H128="uoInstallation",H128="uoUninstallation"),OR(I128="orcSucceeded",I128="orcSucceededWithErrors",I128="orcFailed",I128="orcAborted",I128="orcInProgress",I128="orcNotStarted")),IF(AND(H128=X128,I128=Y128),AA128,IF(AND(H128=X128,OR(I128="orcSucceededWithErrors",I128="orcInProgress",I128="orcNotStarted")),"RESULTADO_RETIRADA_INCIERTO",IF(J128="COMPLETA",AB128,"COBERTURA_INSUFICIENTE"))),"LEXEMA_O_FORMA")),IF(W128="CAMBIO",IF(OR(H128="CAMBIO",H128="CAMBIO_Y_RETORNO"),AA128,IF(OR(H128="NINGUNO",H128="SOLO_RENOMBRE"),IF(J128="COMPLETA",AB128,"COBERTURA_INSUFICIENTE"),"LEXEMA_O_FORMA")),IF(W128="RESTAURACION",IF(H128=X128,AA128,IF(OR(H128="NINGUNO",H128="RESTAURACION_POSTERIOR",H128="RESTAURACION_FALLIDA"),IF(J128="COMPLETA",AB128,"COBERTURA_INSUFICIENTE"),"LEXEMA_O_FORMA")),"PERFIL_NO_CONSTITUIDO"))))))))))))))))))</x:f>
        <x:v>ORDEN_NO_ACREDITADO</x:v>
      </x:c>
      <x:c r="R128" s="12" t="str">
        <x:f>IF(AND(L128=O128,M128=P128,N128=Q128),"PASA","NO_PASA")</x:f>
        <x:v>PASA</x:v>
      </x:c>
      <x:c r="S128" s="4" t="str">
        <x:v>El orden no está acreditado; la mera fecha no prueba posterioridad.</x:v>
      </x:c>
      <x:c r="T128" s="12" t="str">
        <x:f>IFERROR(INDEX('55_Codificacion_ensayo'!$B$5:$B$13,MATCH(B128,'55_Codificacion_ensayo'!$A$5:$A$13,0)),"")</x:f>
        <x:v>HISTORIA-RESTAURACION-PREVIA-0.1</x:v>
      </x:c>
      <x:c r="U128" s="12" t="str">
        <x:f>IFERROR(INDEX('55_Codificacion_ensayo'!$C$5:$C$13,MATCH(B128,'55_Codificacion_ensayo'!$A$5:$A$13,0)),"")</x:f>
        <x:v>TRABAJO_RESTAURACION</x:v>
      </x:c>
      <x:c r="V128" s="12" t="str">
        <x:f>IFERROR(INDEX('55_Codificacion_ensayo'!$D$5:$D$13,MATCH(B128,'55_Codificacion_ensayo'!$A$5:$A$13,0)),"")</x:f>
        <x:v>ORDEN_ACREDITADO</x:v>
      </x:c>
      <x:c r="W128" s="12" t="str">
        <x:f>IFERROR(INDEX('55_Codificacion_ensayo'!$E$5:$E$13,MATCH(B128,'55_Codificacion_ensayo'!$A$5:$A$13,0)),"")</x:f>
        <x:v>RESTAURACION</x:v>
      </x:c>
      <x:c r="X128" s="12" t="str">
        <x:f>IFERROR(INDEX('55_Codificacion_ensayo'!$F$5:$F$13,MATCH(B128,'55_Codificacion_ensayo'!$A$5:$A$13,0)),"")</x:f>
        <x:v>RESTAURACION_PREVIA</x:v>
      </x:c>
      <x:c r="Y128" s="12" t="str">
        <x:f>IFERROR(INDEX('55_Codificacion_ensayo'!$G$5:$G$13,MATCH(B128,'55_Codificacion_ensayo'!$A$5:$A$13,0)),"")</x:f>
      </x:c>
      <x:c r="Z128" s="12" t="str">
        <x:f>IFERROR(INDEX('55_Codificacion_ensayo'!$H$5:$H$13,MATCH(B128,'55_Codificacion_ensayo'!$A$5:$A$13,0)),"")</x:f>
        <x:v>NINGUNO</x:v>
      </x:c>
      <x:c r="AA128" s="12" t="str">
        <x:f>IFERROR(INDEX('55_Codificacion_ensayo'!$I$5:$I$13,MATCH(B128,'55_Codificacion_ensayo'!$A$5:$A$13,0)),"")</x:f>
        <x:v>RESTAURACION_PREVIA</x:v>
      </x:c>
      <x:c r="AB128" s="12" t="str">
        <x:f>IFERROR(INDEX('55_Codificacion_ensayo'!$J$5:$J$13,MATCH(B128,'55_Codificacion_ensayo'!$A$5:$A$13,0)),"")</x:f>
        <x:v>SIN_RESTAURACION_PREVIA</x:v>
      </x:c>
    </x:row>
    <x:row r="129" ht="47" customHeight="1">
      <x:c r="A129" s="4" t="str">
        <x:v>L10-10-13</x:v>
      </x:c>
      <x:c r="B129" s="4" t="str">
        <x:v>PAR-CYB-RESTAURACION-PREVIA-COMUNICADA-001</x:v>
      </x:c>
      <x:c r="C129" s="4" t="str">
        <x:v>HISTORIA-RESTAURACION-PREVIA-0.1</x:v>
      </x:c>
      <x:c r="D129" s="4" t="str">
        <x:v>COINCIDE</x:v>
      </x:c>
      <x:c r="E129" s="4" t="str">
        <x:v>LEGIBLE</x:v>
      </x:c>
      <x:c r="F129" s="4" t="str">
        <x:v>TRABAJO_RESTAURACION</x:v>
      </x:c>
      <x:c r="G129" s="4" t="str">
        <x:v>UNICA</x:v>
      </x:c>
      <x:c r="H129" s="4" t="str">
        <x:v>RESTAURACION_POSTERIOR</x:v>
      </x:c>
      <x:c r="I129" s="4" t="str"/>
      <x:c r="J129" s="4" t="str">
        <x:v>COMPLETA</x:v>
      </x:c>
      <x:c r="K129" s="4" t="str">
        <x:v>ORDEN_ACREDITADO</x:v>
      </x:c>
      <x:c r="L129" s="4" t="str">
        <x:v>VALIDA</x:v>
      </x:c>
      <x:c r="M129" s="4" t="str">
        <x:v>0</x:v>
      </x:c>
      <x:c r="N129" s="4" t="str">
        <x:v>SIN_RESTAURACION_PREVIA</x:v>
      </x:c>
      <x:c r="O129" s="12" t="str">
        <x:f>IF(Q129="SIN_EJECUCION_DOMINIO","FALLO_CAPTURA",IF(OR(Q129="CAPTURA_MAL_FORMADA",Q129="IDENTIDAD",Q129="OBSERVACION_MAL_FORMADA",Q129="LEXEMA_O_FORMA"),"NO_ADMISION",IF(OR(Q129="PERFIL_NO_CONSTITUIDO",Q129="RESULTADO_NO_TERMINAL"),"FUERA_PERFIL",IF(Q129="CONTEXTO_NO_CONSTITUIDO","CONFIGURACION_PENDIENTE","VALIDA"))))</x:f>
        <x:v>VALIDA</x:v>
      </x:c>
      <x:c r="P129" s="12" t="str">
        <x:f>IF(O129&lt;&gt;"VALIDA","",IF(Q129=AA129,"1",IF(Q129=AB129,"0","U")))</x:f>
        <x:v>0</x:v>
      </x:c>
      <x:c r="Q129" s="12" t="str">
        <x:f>IF(E129="FALLO","SIN_EJECUCION_DOMINIO",IF(E129&lt;&gt;"LEGIBLE","CAPTURA_MAL_FORMADA",IF(D129&lt;&gt;"COINCIDE","IDENTIDAD",IF(OR(T129="",C129&lt;&gt;T129),"PERFIL_NO_CONSTITUIDO",IF(K129&lt;&gt;V129,IF(V129="ORDEN_ACREDITADO","ORDEN_NO_ACREDITADO","CONTEXTO_NO_CONSTITUIDO"),IF(AND(G129="AUSENTE",H129="",I129=""),"DATO_AUSENTE",IF(AND(G129="CONFLICTO",H129="",I129=""),"CONFLICTO_OBSERVACIONAL",IF(G129&lt;&gt;"UNICA","OBSERVACION_MAL_FORMADA",IF(F129&lt;&gt;U129,"OBSERVACION_INSUFICIENTE",IF(W129="RESULTADO",IF(H129=X129,AA129,IF(OR(H129="orcSucceededWithErrors",H129="orcFailed",H129="orcAborted"),AB129,IF(OR(H129="orcNotStarted",H129="orcInProgress"),"RESULTADO_NO_TERMINAL","LEXEMA_O_FORMA"))),IF(W129="EVENTO_BOOT",IF(H129=X129,AA129,IF(OR(H129="NINGUNO",H129="SOLO_HIBRIDO"),IF(J129="COMPLETA",AB129,"COBERTURA_INSUFICIENTE"),"LEXEMA_O_FORMA")),IF(W129="REQUISITO_SOFT",IF(H129=X129,AA129,IF(H129=Z129,AB129,"LEXEMA_O_FORMA")),IF(W129="EVENTO_PROC",IF(H129=X129,AA129,IF(H129=Z129,IF(J129="COMPLETA",AB129,"COBERTURA_INSUFICIENTE"),"LEXEMA_O_FORMA")),IF(W129="IMAGEN",IF(AND(AND(ISTEXT(H129),LEN(("x"&amp;H129))=65,EXACT(("x"&amp;H129),LOWER(("x"&amp;H129))),ISERROR(SEARCH(" ",("x"&amp;H129))),ISERROR(SEARCH(CHAR(9),("x"&amp;H129))),ISERROR(SEARCH(CHAR(10),("x"&amp;H129))),ISERROR(SEARCH(CHAR(13),("x"&amp;H129))),IFERROR(HEX2DEC(MID(("x"&amp;H129),2,8))&gt;=0,FALSE),IFERROR(HEX2DEC(MID(("x"&amp;H129),10,8))&gt;=0,FALSE),IFERROR(HEX2DEC(MID(("x"&amp;H129),18,8))&gt;=0,FALSE),IFERROR(HEX2DEC(MID(("x"&amp;H129),26,8))&gt;=0,FALSE),IFERROR(HEX2DEC(MID(("x"&amp;H129),34,8))&gt;=0,FALSE),IFERROR(HEX2DEC(MID(("x"&amp;H129),42,8))&gt;=0,FALSE),IFERROR(HEX2DEC(MID(("x"&amp;H129),50,8))&gt;=0,FALSE),IFERROR(HEX2DEC(MID(("x"&amp;H129),58,8))&gt;=0,FALSE)),AND(ISTEXT(I129),LEN(("x"&amp;I129))=65,EXACT(("x"&amp;I129),LOWER(("x"&amp;I129))),ISERROR(SEARCH(" ",("x"&amp;I129))),ISERROR(SEARCH(CHAR(9),("x"&amp;I129))),ISERROR(SEARCH(CHAR(10),("x"&amp;I129))),ISERROR(SEARCH(CHAR(13),("x"&amp;I129))),IFERROR(HEX2DEC(MID(("x"&amp;I129),2,8))&gt;=0,FALSE),IFERROR(HEX2DEC(MID(("x"&amp;I129),10,8))&gt;=0,FALSE),IFERROR(HEX2DEC(MID(("x"&amp;I129),18,8))&gt;=0,FALSE),IFERROR(HEX2DEC(MID(("x"&amp;I129),26,8))&gt;=0,FALSE),IFERROR(HEX2DEC(MID(("x"&amp;I129),34,8))&gt;=0,FALSE),IFERROR(HEX2DEC(MID(("x"&amp;I129),42,8))&gt;=0,FALSE),IFERROR(HEX2DEC(MID(("x"&amp;I129),50,8))&gt;=0,FALSE),IFERROR(HEX2DEC(MID(("x"&amp;I129),58,8))&gt;=0,FALSE))),IF(EXACT("x"&amp;H129,"x"&amp;I129),AA129,AB129),"LEXEMA_O_FORMA"),IF(W129="PRUEBA",IF(H129=X129,AA129,IF(H129=Z129,AB129,"LEXEMA_O_FORMA")),IF(W129="RETIRADA",IF(AND(H129="NINGUNO",I129=""),IF(J129="COMPLETA",AB129,"COBERTURA_INSUFICIENTE"),IF(AND(OR(H129="uoInstallation",H129="uoUninstallation"),OR(I129="orcSucceeded",I129="orcSucceededWithErrors",I129="orcFailed",I129="orcAborted",I129="orcInProgress",I129="orcNotStarted")),IF(AND(H129=X129,I129=Y129),AA129,IF(AND(H129=X129,OR(I129="orcSucceededWithErrors",I129="orcInProgress",I129="orcNotStarted")),"RESULTADO_RETIRADA_INCIERTO",IF(J129="COMPLETA",AB129,"COBERTURA_INSUFICIENTE"))),"LEXEMA_O_FORMA")),IF(W129="CAMBIO",IF(OR(H129="CAMBIO",H129="CAMBIO_Y_RETORNO"),AA129,IF(OR(H129="NINGUNO",H129="SOLO_RENOMBRE"),IF(J129="COMPLETA",AB129,"COBERTURA_INSUFICIENTE"),"LEXEMA_O_FORMA")),IF(W129="RESTAURACION",IF(H129=X129,AA129,IF(OR(H129="NINGUNO",H129="RESTAURACION_POSTERIOR",H129="RESTAURACION_FALLIDA"),IF(J129="COMPLETA",AB129,"COBERTURA_INSUFICIENTE"),"LEXEMA_O_FORMA")),"PERFIL_NO_CONSTITUIDO"))))))))))))))))))</x:f>
        <x:v>SIN_RESTAURACION_PREVIA</x:v>
      </x:c>
      <x:c r="R129" s="12" t="str">
        <x:f>IF(AND(L129=O129,M129=P129,N129=Q129),"PASA","NO_PASA")</x:f>
        <x:v>PASA</x:v>
      </x:c>
      <x:c r="S129" s="4" t="str">
        <x:v>Punto posterior a instalación, en historia completa: no es restauración previa.</x:v>
      </x:c>
      <x:c r="T129" s="12" t="str">
        <x:f>IFERROR(INDEX('55_Codificacion_ensayo'!$B$5:$B$13,MATCH(B129,'55_Codificacion_ensayo'!$A$5:$A$13,0)),"")</x:f>
        <x:v>HISTORIA-RESTAURACION-PREVIA-0.1</x:v>
      </x:c>
      <x:c r="U129" s="12" t="str">
        <x:f>IFERROR(INDEX('55_Codificacion_ensayo'!$C$5:$C$13,MATCH(B129,'55_Codificacion_ensayo'!$A$5:$A$13,0)),"")</x:f>
        <x:v>TRABAJO_RESTAURACION</x:v>
      </x:c>
      <x:c r="V129" s="12" t="str">
        <x:f>IFERROR(INDEX('55_Codificacion_ensayo'!$D$5:$D$13,MATCH(B129,'55_Codificacion_ensayo'!$A$5:$A$13,0)),"")</x:f>
        <x:v>ORDEN_ACREDITADO</x:v>
      </x:c>
      <x:c r="W129" s="12" t="str">
        <x:f>IFERROR(INDEX('55_Codificacion_ensayo'!$E$5:$E$13,MATCH(B129,'55_Codificacion_ensayo'!$A$5:$A$13,0)),"")</x:f>
        <x:v>RESTAURACION</x:v>
      </x:c>
      <x:c r="X129" s="12" t="str">
        <x:f>IFERROR(INDEX('55_Codificacion_ensayo'!$F$5:$F$13,MATCH(B129,'55_Codificacion_ensayo'!$A$5:$A$13,0)),"")</x:f>
        <x:v>RESTAURACION_PREVIA</x:v>
      </x:c>
      <x:c r="Y129" s="12" t="str">
        <x:f>IFERROR(INDEX('55_Codificacion_ensayo'!$G$5:$G$13,MATCH(B129,'55_Codificacion_ensayo'!$A$5:$A$13,0)),"")</x:f>
      </x:c>
      <x:c r="Z129" s="12" t="str">
        <x:f>IFERROR(INDEX('55_Codificacion_ensayo'!$H$5:$H$13,MATCH(B129,'55_Codificacion_ensayo'!$A$5:$A$13,0)),"")</x:f>
        <x:v>NINGUNO</x:v>
      </x:c>
      <x:c r="AA129" s="12" t="str">
        <x:f>IFERROR(INDEX('55_Codificacion_ensayo'!$I$5:$I$13,MATCH(B129,'55_Codificacion_ensayo'!$A$5:$A$13,0)),"")</x:f>
        <x:v>RESTAURACION_PREVIA</x:v>
      </x:c>
      <x:c r="AB129" s="12" t="str">
        <x:f>IFERROR(INDEX('55_Codificacion_ensayo'!$J$5:$J$13,MATCH(B129,'55_Codificacion_ensayo'!$A$5:$A$13,0)),"")</x:f>
        <x:v>SIN_RESTAURACION_PREVIA</x:v>
      </x:c>
    </x:row>
    <x:row r="130" ht="47" customHeight="1">
      <x:c r="A130" s="4" t="str">
        <x:v>L10-10-14</x:v>
      </x:c>
      <x:c r="B130" s="4" t="str">
        <x:v>PAR-CYB-RESTAURACION-PREVIA-COMUNICADA-001</x:v>
      </x:c>
      <x:c r="C130" s="4" t="str">
        <x:v>HISTORIA-RESTAURACION-PREVIA-0.1</x:v>
      </x:c>
      <x:c r="D130" s="4" t="str">
        <x:v>COINCIDE</x:v>
      </x:c>
      <x:c r="E130" s="4" t="str">
        <x:v>LEGIBLE</x:v>
      </x:c>
      <x:c r="F130" s="4" t="str">
        <x:v>NOMBRE_BACKUP</x:v>
      </x:c>
      <x:c r="G130" s="4" t="str">
        <x:v>UNICA</x:v>
      </x:c>
      <x:c r="H130" s="4" t="str">
        <x:v>RESTAURACION_PREVIA</x:v>
      </x:c>
      <x:c r="I130" s="4" t="str"/>
      <x:c r="J130" s="4" t="str">
        <x:v>COMPLETA</x:v>
      </x:c>
      <x:c r="K130" s="4" t="str">
        <x:v>ORDEN_ACREDITADO</x:v>
      </x:c>
      <x:c r="L130" s="4" t="str">
        <x:v>VALIDA</x:v>
      </x:c>
      <x:c r="M130" s="4" t="str">
        <x:v>U</x:v>
      </x:c>
      <x:c r="N130" s="4" t="str">
        <x:v>OBSERVACION_INSUFICIENTE</x:v>
      </x:c>
      <x:c r="O130" s="12" t="str">
        <x:f>IF(Q130="SIN_EJECUCION_DOMINIO","FALLO_CAPTURA",IF(OR(Q130="CAPTURA_MAL_FORMADA",Q130="IDENTIDAD",Q130="OBSERVACION_MAL_FORMADA",Q130="LEXEMA_O_FORMA"),"NO_ADMISION",IF(OR(Q130="PERFIL_NO_CONSTITUIDO",Q130="RESULTADO_NO_TERMINAL"),"FUERA_PERFIL",IF(Q130="CONTEXTO_NO_CONSTITUIDO","CONFIGURACION_PENDIENTE","VALIDA"))))</x:f>
        <x:v>VALIDA</x:v>
      </x:c>
      <x:c r="P130" s="12" t="str">
        <x:f>IF(O130&lt;&gt;"VALIDA","",IF(Q130=AA130,"1",IF(Q130=AB130,"0","U")))</x:f>
        <x:v>U</x:v>
      </x:c>
      <x:c r="Q130" s="12" t="str">
        <x:f>IF(E130="FALLO","SIN_EJECUCION_DOMINIO",IF(E130&lt;&gt;"LEGIBLE","CAPTURA_MAL_FORMADA",IF(D130&lt;&gt;"COINCIDE","IDENTIDAD",IF(OR(T130="",C130&lt;&gt;T130),"PERFIL_NO_CONSTITUIDO",IF(K130&lt;&gt;V130,IF(V130="ORDEN_ACREDITADO","ORDEN_NO_ACREDITADO","CONTEXTO_NO_CONSTITUIDO"),IF(AND(G130="AUSENTE",H130="",I130=""),"DATO_AUSENTE",IF(AND(G130="CONFLICTO",H130="",I130=""),"CONFLICTO_OBSERVACIONAL",IF(G130&lt;&gt;"UNICA","OBSERVACION_MAL_FORMADA",IF(F130&lt;&gt;U130,"OBSERVACION_INSUFICIENTE",IF(W130="RESULTADO",IF(H130=X130,AA130,IF(OR(H130="orcSucceededWithErrors",H130="orcFailed",H130="orcAborted"),AB130,IF(OR(H130="orcNotStarted",H130="orcInProgress"),"RESULTADO_NO_TERMINAL","LEXEMA_O_FORMA"))),IF(W130="EVENTO_BOOT",IF(H130=X130,AA130,IF(OR(H130="NINGUNO",H130="SOLO_HIBRIDO"),IF(J130="COMPLETA",AB130,"COBERTURA_INSUFICIENTE"),"LEXEMA_O_FORMA")),IF(W130="REQUISITO_SOFT",IF(H130=X130,AA130,IF(H130=Z130,AB130,"LEXEMA_O_FORMA")),IF(W130="EVENTO_PROC",IF(H130=X130,AA130,IF(H130=Z130,IF(J130="COMPLETA",AB130,"COBERTURA_INSUFICIENTE"),"LEXEMA_O_FORMA")),IF(W130="IMAGEN",IF(AND(AND(ISTEXT(H130),LEN(("x"&amp;H130))=65,EXACT(("x"&amp;H130),LOWER(("x"&amp;H130))),ISERROR(SEARCH(" ",("x"&amp;H130))),ISERROR(SEARCH(CHAR(9),("x"&amp;H130))),ISERROR(SEARCH(CHAR(10),("x"&amp;H130))),ISERROR(SEARCH(CHAR(13),("x"&amp;H130))),IFERROR(HEX2DEC(MID(("x"&amp;H130),2,8))&gt;=0,FALSE),IFERROR(HEX2DEC(MID(("x"&amp;H130),10,8))&gt;=0,FALSE),IFERROR(HEX2DEC(MID(("x"&amp;H130),18,8))&gt;=0,FALSE),IFERROR(HEX2DEC(MID(("x"&amp;H130),26,8))&gt;=0,FALSE),IFERROR(HEX2DEC(MID(("x"&amp;H130),34,8))&gt;=0,FALSE),IFERROR(HEX2DEC(MID(("x"&amp;H130),42,8))&gt;=0,FALSE),IFERROR(HEX2DEC(MID(("x"&amp;H130),50,8))&gt;=0,FALSE),IFERROR(HEX2DEC(MID(("x"&amp;H130),58,8))&gt;=0,FALSE)),AND(ISTEXT(I130),LEN(("x"&amp;I130))=65,EXACT(("x"&amp;I130),LOWER(("x"&amp;I130))),ISERROR(SEARCH(" ",("x"&amp;I130))),ISERROR(SEARCH(CHAR(9),("x"&amp;I130))),ISERROR(SEARCH(CHAR(10),("x"&amp;I130))),ISERROR(SEARCH(CHAR(13),("x"&amp;I130))),IFERROR(HEX2DEC(MID(("x"&amp;I130),2,8))&gt;=0,FALSE),IFERROR(HEX2DEC(MID(("x"&amp;I130),10,8))&gt;=0,FALSE),IFERROR(HEX2DEC(MID(("x"&amp;I130),18,8))&gt;=0,FALSE),IFERROR(HEX2DEC(MID(("x"&amp;I130),26,8))&gt;=0,FALSE),IFERROR(HEX2DEC(MID(("x"&amp;I130),34,8))&gt;=0,FALSE),IFERROR(HEX2DEC(MID(("x"&amp;I130),42,8))&gt;=0,FALSE),IFERROR(HEX2DEC(MID(("x"&amp;I130),50,8))&gt;=0,FALSE),IFERROR(HEX2DEC(MID(("x"&amp;I130),58,8))&gt;=0,FALSE))),IF(EXACT("x"&amp;H130,"x"&amp;I130),AA130,AB130),"LEXEMA_O_FORMA"),IF(W130="PRUEBA",IF(H130=X130,AA130,IF(H130=Z130,AB130,"LEXEMA_O_FORMA")),IF(W130="RETIRADA",IF(AND(H130="NINGUNO",I130=""),IF(J130="COMPLETA",AB130,"COBERTURA_INSUFICIENTE"),IF(AND(OR(H130="uoInstallation",H130="uoUninstallation"),OR(I130="orcSucceeded",I130="orcSucceededWithErrors",I130="orcFailed",I130="orcAborted",I130="orcInProgress",I130="orcNotStarted")),IF(AND(H130=X130,I130=Y130),AA130,IF(AND(H130=X130,OR(I130="orcSucceededWithErrors",I130="orcInProgress",I130="orcNotStarted")),"RESULTADO_RETIRADA_INCIERTO",IF(J130="COMPLETA",AB130,"COBERTURA_INSUFICIENTE"))),"LEXEMA_O_FORMA")),IF(W130="CAMBIO",IF(OR(H130="CAMBIO",H130="CAMBIO_Y_RETORNO"),AA130,IF(OR(H130="NINGUNO",H130="SOLO_RENOMBRE"),IF(J130="COMPLETA",AB130,"COBERTURA_INSUFICIENTE"),"LEXEMA_O_FORMA")),IF(W130="RESTAURACION",IF(H130=X130,AA130,IF(OR(H130="NINGUNO",H130="RESTAURACION_POSTERIOR",H130="RESTAURACION_FALLIDA"),IF(J130="COMPLETA",AB130,"COBERTURA_INSUFICIENTE"),"LEXEMA_O_FORMA")),"PERFIL_NO_CONSTITUIDO"))))))))))))))))))</x:f>
        <x:v>OBSERVACION_INSUFICIENTE</x:v>
      </x:c>
      <x:c r="R130" s="12" t="str">
        <x:f>IF(AND(L130=O130,M130=P130,N130=Q130),"PASA","NO_PASA")</x:f>
        <x:v>PASA</x:v>
      </x:c>
      <x:c r="S130" s="4" t="str">
        <x:v>Nombre de backup sin manifiesto no acredita el origen anterior.</x:v>
      </x:c>
      <x:c r="T130" s="12" t="str">
        <x:f>IFERROR(INDEX('55_Codificacion_ensayo'!$B$5:$B$13,MATCH(B130,'55_Codificacion_ensayo'!$A$5:$A$13,0)),"")</x:f>
        <x:v>HISTORIA-RESTAURACION-PREVIA-0.1</x:v>
      </x:c>
      <x:c r="U130" s="12" t="str">
        <x:f>IFERROR(INDEX('55_Codificacion_ensayo'!$C$5:$C$13,MATCH(B130,'55_Codificacion_ensayo'!$A$5:$A$13,0)),"")</x:f>
        <x:v>TRABAJO_RESTAURACION</x:v>
      </x:c>
      <x:c r="V130" s="12" t="str">
        <x:f>IFERROR(INDEX('55_Codificacion_ensayo'!$D$5:$D$13,MATCH(B130,'55_Codificacion_ensayo'!$A$5:$A$13,0)),"")</x:f>
        <x:v>ORDEN_ACREDITADO</x:v>
      </x:c>
      <x:c r="W130" s="12" t="str">
        <x:f>IFERROR(INDEX('55_Codificacion_ensayo'!$E$5:$E$13,MATCH(B130,'55_Codificacion_ensayo'!$A$5:$A$13,0)),"")</x:f>
        <x:v>RESTAURACION</x:v>
      </x:c>
      <x:c r="X130" s="12" t="str">
        <x:f>IFERROR(INDEX('55_Codificacion_ensayo'!$F$5:$F$13,MATCH(B130,'55_Codificacion_ensayo'!$A$5:$A$13,0)),"")</x:f>
        <x:v>RESTAURACION_PREVIA</x:v>
      </x:c>
      <x:c r="Y130" s="12" t="str">
        <x:f>IFERROR(INDEX('55_Codificacion_ensayo'!$G$5:$G$13,MATCH(B130,'55_Codificacion_ensayo'!$A$5:$A$13,0)),"")</x:f>
      </x:c>
      <x:c r="Z130" s="12" t="str">
        <x:f>IFERROR(INDEX('55_Codificacion_ensayo'!$H$5:$H$13,MATCH(B130,'55_Codificacion_ensayo'!$A$5:$A$13,0)),"")</x:f>
        <x:v>NINGUNO</x:v>
      </x:c>
      <x:c r="AA130" s="12" t="str">
        <x:f>IFERROR(INDEX('55_Codificacion_ensayo'!$I$5:$I$13,MATCH(B130,'55_Codificacion_ensayo'!$A$5:$A$13,0)),"")</x:f>
        <x:v>RESTAURACION_PREVIA</x:v>
      </x:c>
      <x:c r="AB130" s="12" t="str">
        <x:f>IFERROR(INDEX('55_Codificacion_ensayo'!$J$5:$J$13,MATCH(B130,'55_Codificacion_ensayo'!$A$5:$A$13,0)),"")</x:f>
        <x:v>SIN_RESTAURACION_PREVIA</x:v>
      </x:c>
    </x:row>
    <x:row r="131" ht="47" customHeight="1">
      <x:c r="A131" s="4" t="str">
        <x:v>L10-10-15</x:v>
      </x:c>
      <x:c r="B131" s="4" t="str">
        <x:v>PAR-CYB-RESTAURACION-PREVIA-COMUNICADA-001</x:v>
      </x:c>
      <x:c r="C131" s="4" t="str">
        <x:v>HISTORIA-RESTAURACION-PREVIA-0.1</x:v>
      </x:c>
      <x:c r="D131" s="4" t="str">
        <x:v>COINCIDE</x:v>
      </x:c>
      <x:c r="E131" s="4" t="str">
        <x:v>LEGIBLE</x:v>
      </x:c>
      <x:c r="F131" s="4" t="str">
        <x:v>TRABAJO_RESTAURACION</x:v>
      </x:c>
      <x:c r="G131" s="4" t="str">
        <x:v>UNICA</x:v>
      </x:c>
      <x:c r="H131" s="4" t="str">
        <x:v>RESTAURACION_FALLIDA</x:v>
      </x:c>
      <x:c r="I131" s="4" t="str"/>
      <x:c r="J131" s="4" t="str">
        <x:v>COMPLETA</x:v>
      </x:c>
      <x:c r="K131" s="4" t="str">
        <x:v>ORDEN_ACREDITADO</x:v>
      </x:c>
      <x:c r="L131" s="4" t="str">
        <x:v>VALIDA</x:v>
      </x:c>
      <x:c r="M131" s="4" t="str">
        <x:v>0</x:v>
      </x:c>
      <x:c r="N131" s="4" t="str">
        <x:v>SIN_RESTAURACION_PREVIA</x:v>
      </x:c>
      <x:c r="O131" s="12" t="str">
        <x:f>IF(Q131="SIN_EJECUCION_DOMINIO","FALLO_CAPTURA",IF(OR(Q131="CAPTURA_MAL_FORMADA",Q131="IDENTIDAD",Q131="OBSERVACION_MAL_FORMADA",Q131="LEXEMA_O_FORMA"),"NO_ADMISION",IF(OR(Q131="PERFIL_NO_CONSTITUIDO",Q131="RESULTADO_NO_TERMINAL"),"FUERA_PERFIL",IF(Q131="CONTEXTO_NO_CONSTITUIDO","CONFIGURACION_PENDIENTE","VALIDA"))))</x:f>
        <x:v>VALIDA</x:v>
      </x:c>
      <x:c r="P131" s="12" t="str">
        <x:f>IF(O131&lt;&gt;"VALIDA","",IF(Q131=AA131,"1",IF(Q131=AB131,"0","U")))</x:f>
        <x:v>0</x:v>
      </x:c>
      <x:c r="Q131" s="12" t="str">
        <x:f>IF(E131="FALLO","SIN_EJECUCION_DOMINIO",IF(E131&lt;&gt;"LEGIBLE","CAPTURA_MAL_FORMADA",IF(D131&lt;&gt;"COINCIDE","IDENTIDAD",IF(OR(T131="",C131&lt;&gt;T131),"PERFIL_NO_CONSTITUIDO",IF(K131&lt;&gt;V131,IF(V131="ORDEN_ACREDITADO","ORDEN_NO_ACREDITADO","CONTEXTO_NO_CONSTITUIDO"),IF(AND(G131="AUSENTE",H131="",I131=""),"DATO_AUSENTE",IF(AND(G131="CONFLICTO",H131="",I131=""),"CONFLICTO_OBSERVACIONAL",IF(G131&lt;&gt;"UNICA","OBSERVACION_MAL_FORMADA",IF(F131&lt;&gt;U131,"OBSERVACION_INSUFICIENTE",IF(W131="RESULTADO",IF(H131=X131,AA131,IF(OR(H131="orcSucceededWithErrors",H131="orcFailed",H131="orcAborted"),AB131,IF(OR(H131="orcNotStarted",H131="orcInProgress"),"RESULTADO_NO_TERMINAL","LEXEMA_O_FORMA"))),IF(W131="EVENTO_BOOT",IF(H131=X131,AA131,IF(OR(H131="NINGUNO",H131="SOLO_HIBRIDO"),IF(J131="COMPLETA",AB131,"COBERTURA_INSUFICIENTE"),"LEXEMA_O_FORMA")),IF(W131="REQUISITO_SOFT",IF(H131=X131,AA131,IF(H131=Z131,AB131,"LEXEMA_O_FORMA")),IF(W131="EVENTO_PROC",IF(H131=X131,AA131,IF(H131=Z131,IF(J131="COMPLETA",AB131,"COBERTURA_INSUFICIENTE"),"LEXEMA_O_FORMA")),IF(W131="IMAGEN",IF(AND(AND(ISTEXT(H131),LEN(("x"&amp;H131))=65,EXACT(("x"&amp;H131),LOWER(("x"&amp;H131))),ISERROR(SEARCH(" ",("x"&amp;H131))),ISERROR(SEARCH(CHAR(9),("x"&amp;H131))),ISERROR(SEARCH(CHAR(10),("x"&amp;H131))),ISERROR(SEARCH(CHAR(13),("x"&amp;H131))),IFERROR(HEX2DEC(MID(("x"&amp;H131),2,8))&gt;=0,FALSE),IFERROR(HEX2DEC(MID(("x"&amp;H131),10,8))&gt;=0,FALSE),IFERROR(HEX2DEC(MID(("x"&amp;H131),18,8))&gt;=0,FALSE),IFERROR(HEX2DEC(MID(("x"&amp;H131),26,8))&gt;=0,FALSE),IFERROR(HEX2DEC(MID(("x"&amp;H131),34,8))&gt;=0,FALSE),IFERROR(HEX2DEC(MID(("x"&amp;H131),42,8))&gt;=0,FALSE),IFERROR(HEX2DEC(MID(("x"&amp;H131),50,8))&gt;=0,FALSE),IFERROR(HEX2DEC(MID(("x"&amp;H131),58,8))&gt;=0,FALSE)),AND(ISTEXT(I131),LEN(("x"&amp;I131))=65,EXACT(("x"&amp;I131),LOWER(("x"&amp;I131))),ISERROR(SEARCH(" ",("x"&amp;I131))),ISERROR(SEARCH(CHAR(9),("x"&amp;I131))),ISERROR(SEARCH(CHAR(10),("x"&amp;I131))),ISERROR(SEARCH(CHAR(13),("x"&amp;I131))),IFERROR(HEX2DEC(MID(("x"&amp;I131),2,8))&gt;=0,FALSE),IFERROR(HEX2DEC(MID(("x"&amp;I131),10,8))&gt;=0,FALSE),IFERROR(HEX2DEC(MID(("x"&amp;I131),18,8))&gt;=0,FALSE),IFERROR(HEX2DEC(MID(("x"&amp;I131),26,8))&gt;=0,FALSE),IFERROR(HEX2DEC(MID(("x"&amp;I131),34,8))&gt;=0,FALSE),IFERROR(HEX2DEC(MID(("x"&amp;I131),42,8))&gt;=0,FALSE),IFERROR(HEX2DEC(MID(("x"&amp;I131),50,8))&gt;=0,FALSE),IFERROR(HEX2DEC(MID(("x"&amp;I131),58,8))&gt;=0,FALSE))),IF(EXACT("x"&amp;H131,"x"&amp;I131),AA131,AB131),"LEXEMA_O_FORMA"),IF(W131="PRUEBA",IF(H131=X131,AA131,IF(H131=Z131,AB131,"LEXEMA_O_FORMA")),IF(W131="RETIRADA",IF(AND(H131="NINGUNO",I131=""),IF(J131="COMPLETA",AB131,"COBERTURA_INSUFICIENTE"),IF(AND(OR(H131="uoInstallation",H131="uoUninstallation"),OR(I131="orcSucceeded",I131="orcSucceededWithErrors",I131="orcFailed",I131="orcAborted",I131="orcInProgress",I131="orcNotStarted")),IF(AND(H131=X131,I131=Y131),AA131,IF(AND(H131=X131,OR(I131="orcSucceededWithErrors",I131="orcInProgress",I131="orcNotStarted")),"RESULTADO_RETIRADA_INCIERTO",IF(J131="COMPLETA",AB131,"COBERTURA_INSUFICIENTE"))),"LEXEMA_O_FORMA")),IF(W131="CAMBIO",IF(OR(H131="CAMBIO",H131="CAMBIO_Y_RETORNO"),AA131,IF(OR(H131="NINGUNO",H131="SOLO_RENOMBRE"),IF(J131="COMPLETA",AB131,"COBERTURA_INSUFICIENTE"),"LEXEMA_O_FORMA")),IF(W131="RESTAURACION",IF(H131=X131,AA131,IF(OR(H131="NINGUNO",H131="RESTAURACION_POSTERIOR",H131="RESTAURACION_FALLIDA"),IF(J131="COMPLETA",AB131,"COBERTURA_INSUFICIENTE"),"LEXEMA_O_FORMA")),"PERFIL_NO_CONSTITUIDO"))))))))))))))))))</x:f>
        <x:v>SIN_RESTAURACION_PREVIA</x:v>
      </x:c>
      <x:c r="R131" s="12" t="str">
        <x:f>IF(AND(L131=O131,M131=P131,N131=Q131),"PASA","NO_PASA")</x:f>
        <x:v>PASA</x:v>
      </x:c>
      <x:c r="S131" s="4" t="str">
        <x:v>Trabajo fallido no es restauración satisfactoria comunicada.</x:v>
      </x:c>
      <x:c r="T131" s="12" t="str">
        <x:f>IFERROR(INDEX('55_Codificacion_ensayo'!$B$5:$B$13,MATCH(B131,'55_Codificacion_ensayo'!$A$5:$A$13,0)),"")</x:f>
        <x:v>HISTORIA-RESTAURACION-PREVIA-0.1</x:v>
      </x:c>
      <x:c r="U131" s="12" t="str">
        <x:f>IFERROR(INDEX('55_Codificacion_ensayo'!$C$5:$C$13,MATCH(B131,'55_Codificacion_ensayo'!$A$5:$A$13,0)),"")</x:f>
        <x:v>TRABAJO_RESTAURACION</x:v>
      </x:c>
      <x:c r="V131" s="12" t="str">
        <x:f>IFERROR(INDEX('55_Codificacion_ensayo'!$D$5:$D$13,MATCH(B131,'55_Codificacion_ensayo'!$A$5:$A$13,0)),"")</x:f>
        <x:v>ORDEN_ACREDITADO</x:v>
      </x:c>
      <x:c r="W131" s="12" t="str">
        <x:f>IFERROR(INDEX('55_Codificacion_ensayo'!$E$5:$E$13,MATCH(B131,'55_Codificacion_ensayo'!$A$5:$A$13,0)),"")</x:f>
        <x:v>RESTAURACION</x:v>
      </x:c>
      <x:c r="X131" s="12" t="str">
        <x:f>IFERROR(INDEX('55_Codificacion_ensayo'!$F$5:$F$13,MATCH(B131,'55_Codificacion_ensayo'!$A$5:$A$13,0)),"")</x:f>
        <x:v>RESTAURACION_PREVIA</x:v>
      </x:c>
      <x:c r="Y131" s="12" t="str">
        <x:f>IFERROR(INDEX('55_Codificacion_ensayo'!$G$5:$G$13,MATCH(B131,'55_Codificacion_ensayo'!$A$5:$A$13,0)),"")</x:f>
      </x:c>
      <x:c r="Z131" s="12" t="str">
        <x:f>IFERROR(INDEX('55_Codificacion_ensayo'!$H$5:$H$13,MATCH(B131,'55_Codificacion_ensayo'!$A$5:$A$13,0)),"")</x:f>
        <x:v>NINGUNO</x:v>
      </x:c>
      <x:c r="AA131" s="12" t="str">
        <x:f>IFERROR(INDEX('55_Codificacion_ensayo'!$I$5:$I$13,MATCH(B131,'55_Codificacion_ensayo'!$A$5:$A$13,0)),"")</x:f>
        <x:v>RESTAURACION_PREVIA</x:v>
      </x:c>
      <x:c r="AB131" s="12" t="str">
        <x:f>IFERROR(INDEX('55_Codificacion_ensayo'!$J$5:$J$13,MATCH(B131,'55_Codificacion_ensayo'!$A$5:$A$13,0)),"")</x:f>
        <x:v>SIN_RESTAURACION_PREVIA</x:v>
      </x:c>
    </x:row>
  </x:sheetData>
  <x:mergeCells>
    <x:mergeCell ref="A1:D1"/>
    <x:mergeCell ref="A2:F2"/>
  </x:mergeCells>
  <x:conditionalFormatting sqref="R5:R131">
    <x:cfRule type="expression" dxfId="24" priority="1">
      <x:formula>R5="NO_PASA"</x:formula>
    </x:cfRule>
  </x:conditionalFormatting>
  <x:pageMargins left="0.7" right="0.7" top="0.75" bottom="0.75" header="0.3" footer="0.3"/>
  <x:tableParts count="1">
    <x:tablePart xmlns:r="http://schemas.openxmlformats.org/officeDocument/2006/relationships" r:id="Ra0bd2098a1ed4bc2"/>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02" hidden="0" customWidth="1"/>
    <x:col min="4" max="4" width="31" hidden="0" customWidth="1"/>
    <x:col min="5" max="5" width="119" hidden="0" customWidth="1"/>
  </x:cols>
  <x:sheetData>
    <x:row r="1" ht="35" customHeight="1">
      <x:c r="A1" s="6" t="str">
        <x:v>ADVERSARIAL INTERNA · correcciones y límites</x:v>
      </x:c>
      <x:c r="B1" s="6"/>
      <x:c r="C1" s="6"/>
      <x:c r="D1" s="6"/>
      <x:c r="E1" s="6"/>
    </x:row>
    <x:row r="2" ht="52" customHeight="1">
      <x:c r="A2" s="8" t="str">
        <x:v>Veinte ataques. Se registran correcciones materiales y deuda conservada; no se presenta como auditoría externa.</x:v>
      </x:c>
      <x:c r="B2" s="8"/>
      <x:c r="C2" s="8"/>
      <x:c r="D2" s="8"/>
      <x:c r="E2" s="8"/>
    </x:row>
    <x:row r="3">
      <x:c r="A3" s="4"/>
      <x:c r="B3" s="4"/>
      <x:c r="C3" s="4"/>
      <x:c r="D3" s="4"/>
      <x:c r="E3" s="4"/>
    </x:row>
    <x:row r="4" ht="42" customHeight="1">
      <x:c r="A4" s="10" t="str">
        <x:v>Ataque</x:v>
      </x:c>
      <x:c r="B4" s="10" t="str">
        <x:v>Objeto</x:v>
      </x:c>
      <x:c r="C4" s="10" t="str">
        <x:v>Refutación buscada</x:v>
      </x:c>
      <x:c r="D4" s="10" t="str">
        <x:v>Resolución</x:v>
      </x:c>
      <x:c r="E4" s="10" t="str">
        <x:v>Resultado material</x:v>
      </x:c>
    </x:row>
    <x:row r="5" ht="47" customHeight="1">
      <x:c r="A5" s="4" t="str">
        <x:v>A01</x:v>
      </x:c>
      <x:c r="B5" s="4" t="str">
        <x:v>Cuota de diez</x:v>
      </x:c>
      <x:c r="C5" s="4" t="str">
        <x:v>Nueve entradas no se obtienen dividiendo enums o nombres de campos.</x:v>
      </x:c>
      <x:c r="D5" s="4" t="str">
        <x:v>Absorbido</x:v>
      </x:c>
      <x:c r="E5" s="4" t="str">
        <x:v>Nueve predicados, nueve funciones y nueve ablaciones; número solicitado no gobierna la prueba.</x:v>
      </x:c>
    </x:row>
    <x:row r="6" ht="47" customHeight="1">
      <x:c r="A6" s="4" t="str">
        <x:v>A02</x:v>
      </x:c>
      <x:c r="B6" s="4" t="str">
        <x:v>Reinicio de software compuesto</x:v>
      </x:c>
      <x:c r="C6" s="4" t="str">
        <x:v>Terminar la generación y crear otra útil son separables.</x:v>
      </x:c>
      <x:c r="D6" s="4" t="str">
        <x:v>Corregido antes de G5</x:v>
      </x:c>
      <x:c r="E6" s="4" t="str">
        <x:v>P05 sólo termina generación previa; cumplimiento íntegro de P04 queda pendiente.</x:v>
      </x:c>
    </x:row>
    <x:row r="7" ht="47" customHeight="1">
      <x:c r="A7" s="4" t="str">
        <x:v>A03</x:v>
      </x:c>
      <x:c r="B7" s="4" t="str">
        <x:v>Duplicación P06/P09</x:v>
      </x:c>
      <x:c r="C7" s="4" t="str">
        <x:v>Comparar imágenes actuales podía repetir el complemento de P06.</x:v>
      </x:c>
      <x:c r="D7" s="4" t="str">
        <x:v>Corregido antes de G5</x:v>
      </x:c>
      <x:c r="E7" s="4" t="str">
        <x:v>P09 conserva historia de cambio y retorno, no desigualdad de extremos.</x:v>
      </x:c>
    </x:row>
    <x:row r="8" ht="47" customHeight="1">
      <x:c r="A8" s="4" t="str">
        <x:v>A04</x:v>
      </x:c>
      <x:c r="B8" s="4" t="str">
        <x:v>Fast Startup</x:v>
      </x:c>
      <x:c r="C8" s="4" t="str">
        <x:v>Apagar/encender o solicitar reinicio no prueba reinicio íntegro.</x:v>
      </x:c>
      <x:c r="D8" s="4" t="str">
        <x:v>Absorbido</x:v>
      </x:c>
      <x:c r="E8" s="4" t="str">
        <x:v>T007; testigos positivos, híbridos y cobertura parcial.</x:v>
      </x:c>
    </x:row>
    <x:row r="9" ht="47" customHeight="1">
      <x:c r="A9" s="4" t="str">
        <x:v>A05</x:v>
      </x:c>
      <x:c r="B9" s="4" t="str">
        <x:v>Éxito WUA y efecto</x:v>
      </x:c>
      <x:c r="C9" s="4" t="str">
        <x:v>orcSucceeded no acredita efecto. Fallo de instalación no es fallo del observador.</x:v>
      </x:c>
      <x:c r="D9" s="4" t="str">
        <x:v>Absorbido</x:v>
      </x:c>
      <x:c r="E9" s="4" t="str">
        <x:v>P02 separado de P06/P07 y de FALLO_CAPTURA.</x:v>
      </x:c>
    </x:row>
    <x:row r="10" ht="47" customHeight="1">
      <x:c r="A10" s="4" t="str">
        <x:v>A06</x:v>
      </x:c>
      <x:c r="B10" s="4" t="str">
        <x:v>Host, huésped y proceso</x:v>
      </x:c>
      <x:c r="C10" s="4" t="str">
        <x:v>Reinicio de host físico no se atribuye a un huésped o proceso sin vínculo.</x:v>
      </x:c>
      <x:c r="D10" s="4" t="str">
        <x:v>Absorbido</x:v>
      </x:c>
      <x:c r="E10" s="4" t="str">
        <x:v>Identidad fuera de admisión; perfiles y sujetos explícitos.</x:v>
      </x:c>
    </x:row>
    <x:row r="11" ht="47" customHeight="1">
      <x:c r="A11" s="4" t="str">
        <x:v>A07</x:v>
      </x:c>
      <x:c r="B11" s="4" t="str">
        <x:v>PID/puntero</x:v>
      </x:c>
      <x:c r="C11" s="4" t="str">
        <x:v>PID reutilizado o puntero no identifica generación ni contenido cargado.</x:v>
      </x:c>
      <x:c r="D11" s="4" t="str">
        <x:v>Absorbido</x:v>
      </x:c>
      <x:c r="E11" s="4" t="str">
        <x:v>P05 exige generación; P06 exige método de identidad, no dirección/tamaño.</x:v>
      </x:c>
    </x:row>
    <x:row r="12" ht="47" customHeight="1">
      <x:c r="A12" s="4" t="str">
        <x:v>A08</x:v>
      </x:c>
      <x:c r="B12" s="4" t="str">
        <x:v>Disco frente a ejecución</x:v>
      </x:c>
      <x:c r="C12" s="4" t="str">
        <x:v>DLL hallada en disco no demuestra DLL cargada.</x:v>
      </x:c>
      <x:c r="D12" s="4" t="str">
        <x:v>Absorbido</x:v>
      </x:c>
      <x:c r="E12" s="4" t="str">
        <x:v>T008/T012/T013 y negativos específicos en P06.</x:v>
      </x:c>
    </x:row>
    <x:row r="13" ht="47" customHeight="1">
      <x:c r="A13" s="4" t="str">
        <x:v>A09</x:v>
      </x:c>
      <x:c r="B13" s="4" t="str">
        <x:v>Ausencia equivale a no</x:v>
      </x:c>
      <x:c r="C13" s="4" t="str">
        <x:v>Registro incompleto no acredita que no ocurrió un evento.</x:v>
      </x:c>
      <x:c r="D13" s="4" t="str">
        <x:v>Absorbido</x:v>
      </x:c>
      <x:c r="E13" s="4" t="str">
        <x:v>Positivo existencial con testigo; negativo requiere cobertura; parcial sin positivo produce U.</x:v>
      </x:c>
    </x:row>
    <x:row r="14" ht="47" customHeight="1">
      <x:c r="A14" s="4" t="str">
        <x:v>A10</x:v>
      </x:c>
      <x:c r="B14" s="4" t="str">
        <x:v>Restauración necesariamente vulnerable</x:v>
      </x:c>
      <x:c r="C14" s="4" t="str">
        <x:v>Un punto previo puede contener la misma corrección o restaurar otro ámbito.</x:v>
      </x:c>
      <x:c r="D14" s="4" t="str">
        <x:v>Absorbido</x:v>
      </x:c>
      <x:c r="E14" s="4" t="str">
        <x:v>P10 sólo suceso comunicado; daño depende de contenido/ámbito.</x:v>
      </x:c>
    </x:row>
    <x:row r="15" ht="47" customHeight="1">
      <x:c r="A15" s="4" t="str">
        <x:v>A11</x:v>
      </x:c>
      <x:c r="B15" s="4" t="str">
        <x:v>Retirada e inventario</x:v>
      </x:c>
      <x:c r="C15" s="4" t="str">
        <x:v>Ausencia actual del paquete no demuestra desinstalación posterior.</x:v>
      </x:c>
      <x:c r="D15" s="4" t="str">
        <x:v>Absorbido</x:v>
      </x:c>
      <x:c r="E15" s="4" t="str">
        <x:v>P08 fuente histórica con operación y resultado; reinstalar no borra el evento.</x:v>
      </x:c>
    </x:row>
    <x:row r="16" ht="47" customHeight="1">
      <x:c r="A16" s="4" t="str">
        <x:v>A12</x:v>
      </x:c>
      <x:c r="B16" s="4" t="str">
        <x:v>Cambio de catálogo</x:v>
      </x:c>
      <x:c r="C16" s="4" t="str">
        <x:v>Renombre, nueva versión de fuente y cambio binario no son equivalentes.</x:v>
      </x:c>
      <x:c r="D16" s="4" t="str">
        <x:v>Absorbido</x:v>
      </x:c>
      <x:c r="E16" s="4" t="str">
        <x:v>P09 exige transición binaria; fuente nueva va por revisión humana, no Tri automática.</x:v>
      </x:c>
    </x:row>
    <x:row r="17" ht="47" customHeight="1">
      <x:c r="A17" s="4" t="str">
        <x:v>A13</x:v>
      </x:c>
      <x:c r="B17" s="4" t="str">
        <x:v>Oráculo tautológico</x:v>
      </x:c>
      <x:c r="C17" s="4" t="str">
        <x:v>Copiar «apto» no demuestra corrección o sensibilidad operacional.</x:v>
      </x:c>
      <x:c r="D17" s="4" t="str">
        <x:v>Límite conservado</x:v>
      </x:c>
      <x:c r="E17" s="4" t="str">
        <x:v>P07 exige criterio unitario y evidencia; sólo se ensaya su contrato, sin atribuir prueba de campo.</x:v>
      </x:c>
    </x:row>
    <x:row r="18" ht="47" customHeight="1">
      <x:c r="A18" s="4" t="str">
        <x:v>A14</x:v>
      </x:c>
      <x:c r="B18" s="4" t="str">
        <x:v>Captura universal</x:v>
      </x:c>
      <x:c r="C18" s="4" t="str">
        <x:v>Las fórmulas no validan registro, reloj, autenticidad o método de identidad.</x:v>
      </x:c>
      <x:c r="D18" s="4" t="str">
        <x:v>Deuda atribuida</x:v>
      </x:c>
      <x:c r="E18" s="4" t="str">
        <x:v>Perfiles de adquisición/admisión productiva pendientes en QCY-02; no aptitud operacional.</x:v>
      </x:c>
    </x:row>
    <x:row r="19" ht="47" customHeight="1">
      <x:c r="A19" s="4" t="str">
        <x:v>A15</x:v>
      </x:c>
      <x:c r="B19" s="4" t="str">
        <x:v>Todo D3/D4 resuelto</x:v>
      </x:c>
      <x:c r="C19" s="4" t="str">
        <x:v>Software unitario no cubre redespliegue/configuración o todas las instancias.</x:v>
      </x:c>
      <x:c r="D19" s="4" t="str">
        <x:v>Límite conservado</x:v>
      </x:c>
      <x:c r="E19" s="4" t="str">
        <x:v>52 mantiene cobertura parcial; no se crean raíces ni se declaran 21 pendientes por simple resta.</x:v>
      </x:c>
    </x:row>
    <x:row r="20" ht="47" customHeight="1">
      <x:c r="A20" s="4" t="str">
        <x:v>A16</x:v>
      </x:c>
      <x:c r="B20" s="4" t="str">
        <x:v>Autorización humana</x:v>
      </x:c>
      <x:c r="C20" s="4" t="str">
        <x:v>Conformidad con P01 no aprueba nominalmente nueve fichas aún no presentadas.</x:v>
      </x:c>
      <x:c r="D20" s="4" t="str">
        <x:v>Absorbido</x:v>
      </x:c>
      <x:c r="E20" s="4" t="str">
        <x:v>P01 adoptado; P02–P10 favorable de unidad y pendiente de adopción nominal.</x:v>
      </x:c>
    </x:row>
    <x:row r="21" ht="47" customHeight="1">
      <x:c r="A21" s="4" t="str">
        <x:v>A17</x:v>
      </x:c>
      <x:c r="B21" s="4" t="str">
        <x:v>Consecuencia como orden</x:v>
      </x:c>
      <x:c r="C21" s="4" t="str">
        <x:v>Necesidad no equivale a permiso de reiniciar ahora.</x:v>
      </x:c>
      <x:c r="D21" s="4" t="str">
        <x:v>Absorbido</x:v>
      </x:c>
      <x:c r="E21" s="4" t="str">
        <x:v>QCY-06/07 mantienen servicio, dependencia, alternativa, ventana, autoridad y proporcionalidad.</x:v>
      </x:c>
    </x:row>
    <x:row r="22" ht="47" customHeight="1">
      <x:c r="A22" s="4" t="str">
        <x:v>A18</x:v>
      </x:c>
      <x:c r="B22" s="4" t="str">
        <x:v>Diez forman célula</x:v>
      </x:c>
      <x:c r="C22" s="4" t="str">
        <x:v>9 o 10 entradas no acreditan SV(9,3).</x:v>
      </x:c>
      <x:c r="D22" s="4" t="str">
        <x:v>Absorbido</x:v>
      </x:c>
      <x:c r="E22" s="4" t="str">
        <x:v>Cero células, rutas y Frames; propiedad futura única.</x:v>
      </x:c>
    </x:row>
    <x:row r="23" ht="47" customHeight="1">
      <x:c r="A23" s="4" t="str">
        <x:v>A19</x:v>
      </x:c>
      <x:c r="B23" s="4" t="str">
        <x:v>Aprendizaje en consulta</x:v>
      </x:c>
      <x:c r="C23" s="4" t="str">
        <x:v>Nueva fuente investigada no puede sustituir el conocimiento vigente automáticamente.</x:v>
      </x:c>
      <x:c r="D23" s="4" t="str">
        <x:v>Absorbido</x:v>
      </x:c>
      <x:c r="E23" s="4" t="str">
        <x:v>Capturas candidatas congeladas; adopción humana antes de alterar el corte del agente.</x:v>
      </x:c>
    </x:row>
    <x:row r="24" ht="47" customHeight="1">
      <x:c r="A24" s="4" t="str">
        <x:v>A20</x:v>
      </x:c>
      <x:c r="B24" s="4" t="str">
        <x:v>Exceso de alegación de pruebas</x:v>
      </x:c>
      <x:c r="C24" s="4" t="str">
        <x:v>Igualdad de tablas o bytes no demuestra suficiencia del Lenguaje.</x:v>
      </x:c>
      <x:c r="D24" s="4" t="str">
        <x:v>Absorbido</x:v>
      </x:c>
      <x:c r="E24" s="4" t="str">
        <x:v>Ensayo documental con ablación/sensibilidad; sin SV, campo ni segunda semántica independiente.</x:v>
      </x:c>
    </x:row>
  </x:sheetData>
  <x:mergeCells>
    <x:mergeCell ref="A1:D1"/>
    <x:mergeCell ref="A2:E2"/>
  </x:mergeCells>
  <x:pageMargins left="0.7" right="0.7" top="0.75" bottom="0.75" header="0.3" footer="0.3"/>
  <x:tableParts count="1">
    <x:tablePart xmlns:r="http://schemas.openxmlformats.org/officeDocument/2006/relationships" r:id="R920b6fbf9f62457a"/>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1" hidden="0" customWidth="1"/>
    <x:col min="2" max="2" width="40" hidden="0" customWidth="1"/>
    <x:col min="3" max="3" width="23" hidden="0" customWidth="1"/>
    <x:col min="4" max="4" width="43" hidden="0" customWidth="1"/>
    <x:col min="5" max="5" width="110" hidden="0" customWidth="1"/>
    <x:col min="6" max="6" width="73" hidden="0" customWidth="1"/>
  </x:cols>
  <x:sheetData>
    <x:row r="1" ht="35" customHeight="1">
      <x:c r="A1" s="6" t="str">
        <x:v>COBERTURA ACTUAL · Q0 conserva 31 distinciones</x:v>
      </x:c>
      <x:c r="B1" s="6"/>
      <x:c r="C1" s="6"/>
      <x:c r="D1" s="6"/>
      <x:c r="E1" s="6"/>
      <x:c r="F1" s="6"/>
    </x:row>
    <x:row r="2" ht="52" customHeight="1">
      <x:c r="A2" s="8" t="str">
        <x:v>La adjudicación parcial no elimina una laguna. La hoja 38 conserva el corte histórico previo de Q0.</x:v>
      </x:c>
      <x:c r="B2" s="8"/>
      <x:c r="C2" s="8"/>
      <x:c r="D2" s="8"/>
      <x:c r="E2" s="8"/>
      <x:c r="F2" s="8"/>
    </x:row>
    <x:row r="3">
      <x:c r="A3" s="4"/>
      <x:c r="B3" s="4"/>
      <x:c r="C3" s="4"/>
      <x:c r="D3" s="4"/>
      <x:c r="E3" s="4"/>
      <x:c r="F3" s="4"/>
    </x:row>
    <x:row r="4" ht="42" customHeight="1">
      <x:c r="A4" s="10" t="str">
        <x:v>Distinción</x:v>
      </x:c>
      <x:c r="B4" s="10" t="str">
        <x:v>Objeto</x:v>
      </x:c>
      <x:c r="C4" s="10" t="str">
        <x:v>Parámetro enlazado</x:v>
      </x:c>
      <x:c r="D4" s="10" t="str">
        <x:v>Estado de cobertura</x:v>
      </x:c>
      <x:c r="E4" s="10" t="str">
        <x:v>Laguna / alcance</x:v>
      </x:c>
      <x:c r="F4" s="10" t="str">
        <x:v>Regla</x:v>
      </x:c>
    </x:row>
    <x:row r="5" ht="47" customHeight="1">
      <x:c r="A5" s="4" t="str">
        <x:v>QCY-01-D1</x:v>
      </x:c>
      <x:c r="B5" s="4" t="str">
        <x:v>activo</x:v>
      </x:c>
      <x:c r="C5" s="4" t="str"/>
      <x:c r="D5" s="4" t="str">
        <x:v>PENDIENTE</x:v>
      </x:c>
      <x:c r="E5" s="4" t="str">
        <x:v>Necesidad no resuelta; bloquea la capacidad de cierre que dependa de ella.</x:v>
      </x:c>
      <x:c r="F5" s="4" t="str">
        <x:v>Sin nuevas raíces ni subdivisión exhaustiva declarada.</x:v>
      </x:c>
    </x:row>
    <x:row r="6" ht="47" customHeight="1">
      <x:c r="A6" s="4" t="str">
        <x:v>QCY-01-D2</x:v>
      </x:c>
      <x:c r="B6" s="4" t="str">
        <x:v>componente/configuración</x:v>
      </x:c>
      <x:c r="C6" s="4" t="str"/>
      <x:c r="D6" s="4" t="str">
        <x:v>PENDIENTE</x:v>
      </x:c>
      <x:c r="E6" s="4" t="str">
        <x:v>Necesidad no resuelta; bloquea la capacidad de cierre que dependa de ella.</x:v>
      </x:c>
      <x:c r="F6" s="4" t="str">
        <x:v>Sin nuevas raíces ni subdivisión exhaustiva declarada.</x:v>
      </x:c>
    </x:row>
    <x:row r="7" ht="47" customHeight="1">
      <x:c r="A7" s="4" t="str">
        <x:v>QCY-01-D3</x:v>
      </x:c>
      <x:c r="B7" s="4" t="str">
        <x:v>vulnerabilidad</x:v>
      </x:c>
      <x:c r="C7" s="4" t="str"/>
      <x:c r="D7" s="4" t="str">
        <x:v>PENDIENTE</x:v>
      </x:c>
      <x:c r="E7" s="4" t="str">
        <x:v>Necesidad no resuelta; bloquea la capacidad de cierre que dependa de ella.</x:v>
      </x:c>
      <x:c r="F7" s="4" t="str">
        <x:v>Sin nuevas raíces ni subdivisión exhaustiva declarada.</x:v>
      </x:c>
    </x:row>
    <x:row r="8" ht="47" customHeight="1">
      <x:c r="A8" s="4" t="str">
        <x:v>QCY-01-D4</x:v>
      </x:c>
      <x:c r="B8" s="4" t="str">
        <x:v>actualización aplicable</x:v>
      </x:c>
      <x:c r="C8" s="4" t="str"/>
      <x:c r="D8" s="4" t="str">
        <x:v>PENDIENTE</x:v>
      </x:c>
      <x:c r="E8" s="4" t="str">
        <x:v>Necesidad no resuelta; bloquea la capacidad de cierre que dependa de ella.</x:v>
      </x:c>
      <x:c r="F8" s="4" t="str">
        <x:v>Sin nuevas raíces ni subdivisión exhaustiva declarada.</x:v>
      </x:c>
    </x:row>
    <x:row r="9" ht="47" customHeight="1">
      <x:c r="A9" s="4" t="str">
        <x:v>QCY-02-D1</x:v>
      </x:c>
      <x:c r="B9" s="4" t="str">
        <x:v>identidad del episodio</x:v>
      </x:c>
      <x:c r="C9" s="4" t="str"/>
      <x:c r="D9" s="4" t="str">
        <x:v>PENDIENTE</x:v>
      </x:c>
      <x:c r="E9" s="4" t="str">
        <x:v>Necesidad no resuelta; bloquea la capacidad de cierre que dependa de ella.</x:v>
      </x:c>
      <x:c r="F9" s="4" t="str">
        <x:v>Sin nuevas raíces ni subdivisión exhaustiva declarada.</x:v>
      </x:c>
    </x:row>
    <x:row r="10" ht="47" customHeight="1">
      <x:c r="A10" s="4" t="str">
        <x:v>QCY-02-D2</x:v>
      </x:c>
      <x:c r="B10" s="4" t="str">
        <x:v>integridad</x:v>
      </x:c>
      <x:c r="C10" s="4" t="str"/>
      <x:c r="D10" s="4" t="str">
        <x:v>PENDIENTE</x:v>
      </x:c>
      <x:c r="E10" s="4" t="str">
        <x:v>Necesidad no resuelta; bloquea la capacidad de cierre que dependa de ella.</x:v>
      </x:c>
      <x:c r="F10" s="4" t="str">
        <x:v>Sin nuevas raíces ni subdivisión exhaustiva declarada.</x:v>
      </x:c>
    </x:row>
    <x:row r="11" ht="47" customHeight="1">
      <x:c r="A11" s="4" t="str">
        <x:v>QCY-02-D3</x:v>
      </x:c>
      <x:c r="B11" s="4" t="str">
        <x:v>procedencia/admisión</x:v>
      </x:c>
      <x:c r="C11" s="4" t="str"/>
      <x:c r="D11" s="4" t="str">
        <x:v>PENDIENTE</x:v>
      </x:c>
      <x:c r="E11" s="4" t="str">
        <x:v>Necesidad no resuelta; bloquea la capacidad de cierre que dependa de ella.</x:v>
      </x:c>
      <x:c r="F11" s="4" t="str">
        <x:v>Sin nuevas raíces ni subdivisión exhaustiva declarada.</x:v>
      </x:c>
    </x:row>
    <x:row r="12" ht="47" customHeight="1">
      <x:c r="A12" s="4" t="str">
        <x:v>QCY-03-D1</x:v>
      </x:c>
      <x:c r="B12" s="4" t="str">
        <x:v>operación individual</x:v>
      </x:c>
      <x:c r="C12" s="4" t="str"/>
      <x:c r="D12" s="4" t="str">
        <x:v>PENDIENTE</x:v>
      </x:c>
      <x:c r="E12" s="4" t="str">
        <x:v>Necesidad no resuelta; bloquea la capacidad de cierre que dependa de ella.</x:v>
      </x:c>
      <x:c r="F12" s="4" t="str">
        <x:v>Sin nuevas raíces ni subdivisión exhaustiva declarada.</x:v>
      </x:c>
    </x:row>
    <x:row r="13" ht="47" customHeight="1">
      <x:c r="A13" s="4" t="str">
        <x:v>QCY-03-D2</x:v>
      </x:c>
      <x:c r="B13" s="4" t="str">
        <x:v>estado final comunicado</x:v>
      </x:c>
      <x:c r="C13" s="4" t="str">
        <x:v>P02</x:v>
      </x:c>
      <x:c r="D13" s="4" t="str">
        <x:v>ADJUDICACION_EN_ALCANCE_DECLARADO</x:v>
      </x:c>
      <x:c r="E13" s="4" t="str">
        <x:v>No equivale a cobertura exhaustiva del uso profesional; ver contrato y límite.</x:v>
      </x:c>
      <x:c r="F13" s="4" t="str">
        <x:v>Sin nuevas raíces ni subdivisión exhaustiva declarada.</x:v>
      </x:c>
    </x:row>
    <x:row r="14" ht="47" customHeight="1">
      <x:c r="A14" s="4" t="str">
        <x:v>QCY-03-D3</x:v>
      </x:c>
      <x:c r="B14" s="4" t="str">
        <x:v>errores asociados</x:v>
      </x:c>
      <x:c r="C14" s="4" t="str"/>
      <x:c r="D14" s="4" t="str">
        <x:v>PENDIENTE</x:v>
      </x:c>
      <x:c r="E14" s="4" t="str">
        <x:v>Necesidad no resuelta; bloquea la capacidad de cierre que dependa de ella.</x:v>
      </x:c>
      <x:c r="F14" s="4" t="str">
        <x:v>Sin nuevas raíces ni subdivisión exhaustiva declarada.</x:v>
      </x:c>
    </x:row>
    <x:row r="15" ht="47" customHeight="1">
      <x:c r="A15" s="4" t="str">
        <x:v>QCY-04-D1</x:v>
      </x:c>
      <x:c r="B15" s="4" t="str">
        <x:v>requisito de reinicio del sistema</x:v>
      </x:c>
      <x:c r="C15" s="4" t="str">
        <x:v>P01</x:v>
      </x:c>
      <x:c r="D15" s="4" t="str">
        <x:v>ADJUDICACION_EN_ALCANCE_DECLARADO</x:v>
      </x:c>
      <x:c r="E15" s="4" t="str">
        <x:v>No equivale a cobertura exhaustiva del uso profesional; ver contrato y límite.</x:v>
      </x:c>
      <x:c r="F15" s="4" t="str">
        <x:v>Sin nuevas raíces ni subdivisión exhaustiva declarada.</x:v>
      </x:c>
    </x:row>
    <x:row r="16" ht="47" customHeight="1">
      <x:c r="A16" s="4" t="str">
        <x:v>QCY-04-D2</x:v>
      </x:c>
      <x:c r="B16" s="4" t="str">
        <x:v>reinicio posterior realizado</x:v>
      </x:c>
      <x:c r="C16" s="4" t="str">
        <x:v>P03</x:v>
      </x:c>
      <x:c r="D16" s="4" t="str">
        <x:v>ADJUDICACION_EN_ALCANCE_DECLARADO</x:v>
      </x:c>
      <x:c r="E16" s="4" t="str">
        <x:v>No equivale a cobertura exhaustiva del uso profesional; ver contrato y límite.</x:v>
      </x:c>
      <x:c r="F16" s="4" t="str">
        <x:v>Sin nuevas raíces ni subdivisión exhaustiva declarada.</x:v>
      </x:c>
    </x:row>
    <x:row r="17" ht="47" customHeight="1">
      <x:c r="A17" s="4" t="str">
        <x:v>QCY-04-D3</x:v>
      </x:c>
      <x:c r="B17" s="4" t="str">
        <x:v>otros cambios requeridos</x:v>
      </x:c>
      <x:c r="C17" s="4" t="str">
        <x:v>P04</x:v>
      </x:c>
      <x:c r="D17" s="4" t="str">
        <x:v>COBERTURA_PARCIAL</x:v>
      </x:c>
      <x:c r="E17" s="4" t="str">
        <x:v>Sólo reinicio de un software. Otros cambios requeridos pendientes.</x:v>
      </x:c>
      <x:c r="F17" s="4" t="str">
        <x:v>Sin nuevas raíces ni subdivisión exhaustiva declarada.</x:v>
      </x:c>
    </x:row>
    <x:row r="18" ht="47" customHeight="1">
      <x:c r="A18" s="4" t="str">
        <x:v>QCY-04-D4</x:v>
      </x:c>
      <x:c r="B18" s="4" t="str">
        <x:v>otros cambios realizados</x:v>
      </x:c>
      <x:c r="C18" s="4" t="str">
        <x:v>P05</x:v>
      </x:c>
      <x:c r="D18" s="4" t="str">
        <x:v>COBERTURA_PARCIAL</x:v>
      </x:c>
      <x:c r="E18" s="4" t="str">
        <x:v>Sólo terminación de una generación. Nuevo arranque, disponibilidad y otros cambios pendientes.</x:v>
      </x:c>
      <x:c r="F18" s="4" t="str">
        <x:v>Sin nuevas raíces ni subdivisión exhaustiva declarada.</x:v>
      </x:c>
    </x:row>
    <x:row r="19" ht="47" customHeight="1">
      <x:c r="A19" s="4" t="str">
        <x:v>QCY-05-D1</x:v>
      </x:c>
      <x:c r="B19" s="4" t="str">
        <x:v>criterio de comprobación</x:v>
      </x:c>
      <x:c r="C19" s="4" t="str"/>
      <x:c r="D19" s="4" t="str">
        <x:v>PENDIENTE</x:v>
      </x:c>
      <x:c r="E19" s="4" t="str">
        <x:v>Necesidad no resuelta; bloquea la capacidad de cierre que dependa de ella.</x:v>
      </x:c>
      <x:c r="F19" s="4" t="str">
        <x:v>Sin nuevas raíces ni subdivisión exhaustiva declarada.</x:v>
      </x:c>
    </x:row>
    <x:row r="20" ht="47" customHeight="1">
      <x:c r="A20" s="4" t="str">
        <x:v>QCY-05-D2</x:v>
      </x:c>
      <x:c r="B20" s="4" t="str">
        <x:v>estado activo</x:v>
      </x:c>
      <x:c r="C20" s="4" t="str">
        <x:v>P06</x:v>
      </x:c>
      <x:c r="D20" s="4" t="str">
        <x:v>COBERTURA_PARCIAL</x:v>
      </x:c>
      <x:c r="E20" s="4" t="str">
        <x:v>Sólo identidad de una imagen cargada. Otras instancias y estado de configuración pendientes.</x:v>
      </x:c>
      <x:c r="F20" s="4" t="str">
        <x:v>Sin nuevas raíces ni subdivisión exhaustiva declarada.</x:v>
      </x:c>
    </x:row>
    <x:row r="21" ht="47" customHeight="1">
      <x:c r="A21" s="4" t="str">
        <x:v>QCY-05-D3</x:v>
      </x:c>
      <x:c r="B21" s="4" t="str">
        <x:v>resultado de comprobación</x:v>
      </x:c>
      <x:c r="C21" s="4" t="str">
        <x:v>P07</x:v>
      </x:c>
      <x:c r="D21" s="4" t="str">
        <x:v>ADJUDICACION_EN_ALCANCE_DECLARADO</x:v>
      </x:c>
      <x:c r="E21" s="4" t="str">
        <x:v>No equivale a cobertura exhaustiva del uso profesional; ver contrato y límite.</x:v>
      </x:c>
      <x:c r="F21" s="4" t="str">
        <x:v>Sin nuevas raíces ni subdivisión exhaustiva declarada.</x:v>
      </x:c>
    </x:row>
    <x:row r="22" ht="47" customHeight="1">
      <x:c r="A22" s="4" t="str">
        <x:v>QCY-06-D1</x:v>
      </x:c>
      <x:c r="B22" s="4" t="str">
        <x:v>servicio afectado</x:v>
      </x:c>
      <x:c r="C22" s="4" t="str"/>
      <x:c r="D22" s="4" t="str">
        <x:v>PENDIENTE</x:v>
      </x:c>
      <x:c r="E22" s="4" t="str">
        <x:v>Necesidad no resuelta; bloquea la capacidad de cierre que dependa de ella.</x:v>
      </x:c>
      <x:c r="F22" s="4" t="str">
        <x:v>Sin nuevas raíces ni subdivisión exhaustiva declarada.</x:v>
      </x:c>
    </x:row>
    <x:row r="23" ht="47" customHeight="1">
      <x:c r="A23" s="4" t="str">
        <x:v>QCY-06-D2</x:v>
      </x:c>
      <x:c r="B23" s="4" t="str">
        <x:v>dependencias</x:v>
      </x:c>
      <x:c r="C23" s="4" t="str"/>
      <x:c r="D23" s="4" t="str">
        <x:v>PENDIENTE</x:v>
      </x:c>
      <x:c r="E23" s="4" t="str">
        <x:v>Necesidad no resuelta; bloquea la capacidad de cierre que dependa de ella.</x:v>
      </x:c>
      <x:c r="F23" s="4" t="str">
        <x:v>Sin nuevas raíces ni subdivisión exhaustiva declarada.</x:v>
      </x:c>
    </x:row>
    <x:row r="24" ht="47" customHeight="1">
      <x:c r="A24" s="4" t="str">
        <x:v>QCY-06-D3</x:v>
      </x:c>
      <x:c r="B24" s="4" t="str">
        <x:v>impacto de interrupción</x:v>
      </x:c>
      <x:c r="C24" s="4" t="str"/>
      <x:c r="D24" s="4" t="str">
        <x:v>PENDIENTE</x:v>
      </x:c>
      <x:c r="E24" s="4" t="str">
        <x:v>Necesidad no resuelta; bloquea la capacidad de cierre que dependa de ella.</x:v>
      </x:c>
      <x:c r="F24" s="4" t="str">
        <x:v>Sin nuevas raíces ni subdivisión exhaustiva declarada.</x:v>
      </x:c>
    </x:row>
    <x:row r="25" ht="47" customHeight="1">
      <x:c r="A25" s="4" t="str">
        <x:v>QCY-07-D1</x:v>
      </x:c>
      <x:c r="B25" s="4" t="str">
        <x:v>alternativas</x:v>
      </x:c>
      <x:c r="C25" s="4" t="str"/>
      <x:c r="D25" s="4" t="str">
        <x:v>PENDIENTE</x:v>
      </x:c>
      <x:c r="E25" s="4" t="str">
        <x:v>Necesidad no resuelta; bloquea la capacidad de cierre que dependa de ella.</x:v>
      </x:c>
      <x:c r="F25" s="4" t="str">
        <x:v>Sin nuevas raíces ni subdivisión exhaustiva declarada.</x:v>
      </x:c>
    </x:row>
    <x:row r="26" ht="47" customHeight="1">
      <x:c r="A26" s="4" t="str">
        <x:v>QCY-07-D2</x:v>
      </x:c>
      <x:c r="B26" s="4" t="str">
        <x:v>ventana</x:v>
      </x:c>
      <x:c r="C26" s="4" t="str"/>
      <x:c r="D26" s="4" t="str">
        <x:v>PENDIENTE</x:v>
      </x:c>
      <x:c r="E26" s="4" t="str">
        <x:v>Necesidad no resuelta; bloquea la capacidad de cierre que dependa de ella.</x:v>
      </x:c>
      <x:c r="F26" s="4" t="str">
        <x:v>Sin nuevas raíces ni subdivisión exhaustiva declarada.</x:v>
      </x:c>
    </x:row>
    <x:row r="27" ht="47" customHeight="1">
      <x:c r="A27" s="4" t="str">
        <x:v>QCY-07-D3</x:v>
      </x:c>
      <x:c r="B27" s="4" t="str">
        <x:v>autoridad concreta</x:v>
      </x:c>
      <x:c r="C27" s="4" t="str"/>
      <x:c r="D27" s="4" t="str">
        <x:v>PENDIENTE</x:v>
      </x:c>
      <x:c r="E27" s="4" t="str">
        <x:v>Necesidad no resuelta; bloquea la capacidad de cierre que dependa de ella.</x:v>
      </x:c>
      <x:c r="F27" s="4" t="str">
        <x:v>Sin nuevas raíces ni subdivisión exhaustiva declarada.</x:v>
      </x:c>
    </x:row>
    <x:row r="28" ht="47" customHeight="1">
      <x:c r="A28" s="4" t="str">
        <x:v>QCY-07-D4</x:v>
      </x:c>
      <x:c r="B28" s="4" t="str">
        <x:v>balance de coste/valor</x:v>
      </x:c>
      <x:c r="C28" s="4" t="str"/>
      <x:c r="D28" s="4" t="str">
        <x:v>PENDIENTE</x:v>
      </x:c>
      <x:c r="E28" s="4" t="str">
        <x:v>Necesidad no resuelta; bloquea la capacidad de cierre que dependa de ella.</x:v>
      </x:c>
      <x:c r="F28" s="4" t="str">
        <x:v>Sin nuevas raíces ni subdivisión exhaustiva declarada.</x:v>
      </x:c>
    </x:row>
    <x:row r="29" ht="47" customHeight="1">
      <x:c r="A29" s="4" t="str">
        <x:v>QCY-08-D1</x:v>
      </x:c>
      <x:c r="B29" s="4" t="str">
        <x:v>retirada/reversión</x:v>
      </x:c>
      <x:c r="C29" s="4" t="str">
        <x:v>P08</x:v>
      </x:c>
      <x:c r="D29" s="4" t="str">
        <x:v>COBERTURA_PARCIAL</x:v>
      </x:c>
      <x:c r="E29" s="4" t="str">
        <x:v>Sólo retirada comunicada; otras formas de reversión pendientes.</x:v>
      </x:c>
      <x:c r="F29" s="4" t="str">
        <x:v>Sin nuevas raíces ni subdivisión exhaustiva declarada.</x:v>
      </x:c>
    </x:row>
    <x:row r="30" ht="47" customHeight="1">
      <x:c r="A30" s="4" t="str">
        <x:v>QCY-08-D2</x:v>
      </x:c>
      <x:c r="B30" s="4" t="str">
        <x:v>cambio de componente</x:v>
      </x:c>
      <x:c r="C30" s="4" t="str">
        <x:v>P09</x:v>
      </x:c>
      <x:c r="D30" s="4" t="str">
        <x:v>COBERTURA_PARCIAL</x:v>
      </x:c>
      <x:c r="E30" s="4" t="str">
        <x:v>Sólo historia binaria; otros cambios de componente/configuración pendientes.</x:v>
      </x:c>
      <x:c r="F30" s="4" t="str">
        <x:v>Sin nuevas raíces ni subdivisión exhaustiva declarada.</x:v>
      </x:c>
    </x:row>
    <x:row r="31" ht="47" customHeight="1">
      <x:c r="A31" s="4" t="str">
        <x:v>QCY-08-D3</x:v>
      </x:c>
      <x:c r="B31" s="4" t="str">
        <x:v>restauración de estado previo</x:v>
      </x:c>
      <x:c r="C31" s="4" t="str">
        <x:v>P10</x:v>
      </x:c>
      <x:c r="D31" s="4" t="str">
        <x:v>ADJUDICACION_EN_ALCANCE_DECLARADO</x:v>
      </x:c>
      <x:c r="E31" s="4" t="str">
        <x:v>No equivale a cobertura exhaustiva del uso profesional; ver contrato y límite.</x:v>
      </x:c>
      <x:c r="F31" s="4" t="str">
        <x:v>Sin nuevas raíces ni subdivisión exhaustiva declarada.</x:v>
      </x:c>
    </x:row>
    <x:row r="32" ht="47" customHeight="1">
      <x:c r="A32" s="4" t="str">
        <x:v>QCY-09-D1</x:v>
      </x:c>
      <x:c r="B32" s="4" t="str">
        <x:v>cobertura de dependencias</x:v>
      </x:c>
      <x:c r="C32" s="4" t="str"/>
      <x:c r="D32" s="4" t="str">
        <x:v>PENDIENTE</x:v>
      </x:c>
      <x:c r="E32" s="4" t="str">
        <x:v>Necesidad no resuelta; bloquea la capacidad de cierre que dependa de ella.</x:v>
      </x:c>
      <x:c r="F32" s="4" t="str">
        <x:v>Sin nuevas raíces ni subdivisión exhaustiva declarada.</x:v>
      </x:c>
    </x:row>
    <x:row r="33" ht="47" customHeight="1">
      <x:c r="A33" s="4" t="str">
        <x:v>QCY-09-D2</x:v>
      </x:c>
      <x:c r="B33" s="4" t="str">
        <x:v>incertidumbres</x:v>
      </x:c>
      <x:c r="C33" s="4" t="str"/>
      <x:c r="D33" s="4" t="str">
        <x:v>PENDIENTE</x:v>
      </x:c>
      <x:c r="E33" s="4" t="str">
        <x:v>Necesidad no resuelta; bloquea la capacidad de cierre que dependa de ella.</x:v>
      </x:c>
      <x:c r="F33" s="4" t="str">
        <x:v>Sin nuevas raíces ni subdivisión exhaustiva declarada.</x:v>
      </x:c>
    </x:row>
    <x:row r="34" ht="47" customHeight="1">
      <x:c r="A34" s="4" t="str">
        <x:v>QCY-09-D3</x:v>
      </x:c>
      <x:c r="B34" s="4" t="str">
        <x:v>justificación</x:v>
      </x:c>
      <x:c r="C34" s="4" t="str"/>
      <x:c r="D34" s="4" t="str">
        <x:v>PENDIENTE</x:v>
      </x:c>
      <x:c r="E34" s="4" t="str">
        <x:v>Necesidad no resuelta; bloquea la capacidad de cierre que dependa de ella.</x:v>
      </x:c>
      <x:c r="F34" s="4" t="str">
        <x:v>Sin nuevas raíces ni subdivisión exhaustiva declarada.</x:v>
      </x:c>
    </x:row>
    <x:row r="35" ht="47" customHeight="1">
      <x:c r="A35" s="4" t="str">
        <x:v>QCY-09-D4</x:v>
      </x:c>
      <x:c r="B35" s="4" t="str">
        <x:v>destinatario responsable</x:v>
      </x:c>
      <x:c r="C35" s="4" t="str"/>
      <x:c r="D35" s="4" t="str">
        <x:v>PENDIENTE</x:v>
      </x:c>
      <x:c r="E35" s="4" t="str">
        <x:v>Necesidad no resuelta; bloquea la capacidad de cierre que dependa de ella.</x:v>
      </x:c>
      <x:c r="F35" s="4" t="str">
        <x:v>Sin nuevas raíces ni subdivisión exhaustiva declarada.</x:v>
      </x:c>
    </x:row>
  </x:sheetData>
  <x:mergeCells>
    <x:mergeCell ref="A1:D1"/>
    <x:mergeCell ref="A2:F2"/>
  </x:mergeCells>
  <x:pageMargins left="0.7" right="0.7" top="0.75" bottom="0.75" header="0.3" footer="0.3"/>
  <x:tableParts count="1">
    <x:tablePart xmlns:r="http://schemas.openxmlformats.org/officeDocument/2006/relationships" r:id="R8c72845414cd4c8a"/>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106" hidden="0" customWidth="1"/>
    <x:col min="4" max="4" width="66" hidden="0" customWidth="1"/>
    <x:col min="5" max="5" width="106" hidden="0" customWidth="1"/>
    <x:col min="6" max="6" width="19" hidden="0" customWidth="1"/>
    <x:col min="7" max="7" width="29" hidden="0" customWidth="1"/>
    <x:col min="8" max="8" width="21" hidden="0" customWidth="1"/>
    <x:col min="9" max="9" width="70" hidden="0" customWidth="1"/>
    <x:col min="10" max="10" width="50" hidden="0" customWidth="1"/>
  </x:cols>
  <x:sheetData>
    <x:row r="1" ht="35" customHeight="1">
      <x:c r="A1" s="6" t="str">
        <x:v>FUENTES · siete capturas adicionales</x:v>
      </x:c>
      <x:c r="B1" s="6"/>
      <x:c r="C1" s="6"/>
      <x:c r="D1" s="6"/>
      <x:c r="E1" s="6"/>
      <x:c r="F1" s="6"/>
      <x:c r="G1" s="6"/>
      <x:c r="H1" s="6"/>
      <x:c r="I1" s="6"/>
      <x:c r="J1" s="6"/>
    </x:row>
    <x:row r="2" ht="52" customHeight="1">
      <x:c r="A2" s="8" t="str">
        <x:v>T001–T006 permanecen fijadas en 43. Metadato ms.date y fecha visible se conservan por separado cuando difieren.</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Título</x:v>
      </x:c>
      <x:c r="C4" s="10" t="str">
        <x:v>URL</x:v>
      </x:c>
      <x:c r="D4" s="10" t="str">
        <x:v>Localizador</x:v>
      </x:c>
      <x:c r="E4" s="10" t="str">
        <x:v>Alcance leído</x:v>
      </x:c>
      <x:c r="F4" s="10" t="str">
        <x:v>Fecha visible</x:v>
      </x:c>
      <x:c r="G4" s="10" t="str">
        <x:v>ms.date</x:v>
      </x:c>
      <x:c r="H4" s="10" t="str">
        <x:v>Bytes exactos</x:v>
      </x:c>
      <x:c r="I4" s="10" t="str">
        <x:v>SHA-256</x:v>
      </x:c>
      <x:c r="J4" s="10" t="str">
        <x:v>Estatuto</x:v>
      </x:c>
    </x:row>
    <x:row r="5" ht="47" customHeight="1">
      <x:c r="A5" s="4" t="str">
        <x:v>T007</x:v>
      </x:c>
      <x:c r="B5" s="4" t="str">
        <x:v>Updates may not be installed with Fast Startup in Windows 10</x:v>
      </x:c>
      <x:c r="C5" s="4" t="str">
        <x:v>https://learn.microsoft.com/en-us/troubleshoot/windows-client/setup-upgrade-and-drivers/updates-not-install-with-fast-startup</x:v>
      </x:c>
      <x:c r="D5" s="4" t="str">
        <x:v>Summary; More information</x:v>
      </x:c>
      <x:c r="E5" s="4" t="str">
        <x:v>Reinicio completo frente a Fast Startup; alcance Windows 10 y salvedad MEMCM.</x:v>
      </x:c>
      <x:c r="F5" s="4" t="str">
        <x:v>2026-02-12</x:v>
      </x:c>
      <x:c r="G5" s="4" t="str">
        <x:v>ms.date=2026-02-12T00:00:00Z</x:v>
      </x:c>
      <x:c r="H5" s="4" t="str">
        <x:v>49266</x:v>
      </x:c>
      <x:c r="I5" s="4" t="str">
        <x:v>0b4d699ffb67dff435405c972ad5be5a4788b3b658939cb3e54e53424ba487dd</x:v>
      </x:c>
      <x:c r="J5" s="4" t="str">
        <x:v>CUERPO_TECNICO_LEIDO; PERFIL_PRODUCTIVO_PENDIENTE</x:v>
      </x:c>
    </x:row>
    <x:row r="6" ht="47" customHeight="1">
      <x:c r="A6" s="4" t="str">
        <x:v>T008</x:v>
      </x:c>
      <x:c r="B6" s="4" t="str">
        <x:v>Dynamic-link library search order</x:v>
      </x:c>
      <x:c r="C6" s="4" t="str">
        <x:v>https://learn.microsoft.com/en-us/windows/win32/dlls/dynamic-link-library-search-order</x:v>
      </x:c>
      <x:c r="D6" s="4" t="str">
        <x:v>Introducción; Factors that affect searching; órdenes y Remarks</x:v>
      </x:c>
      <x:c r="E6" s="4" t="str">
        <x:v>Versiones coexistentes y resolución real; una ruta esperada no prueba qué módulo se cargó.</x:v>
      </x:c>
      <x:c r="F6" s="4" t="str">
        <x:v>2023-02-09</x:v>
      </x:c>
      <x:c r="G6" s="4" t="str">
        <x:v>ms.date=2023-02-08T00:00:00Z</x:v>
      </x:c>
      <x:c r="H6" s="4" t="str">
        <x:v>63810</x:v>
      </x:c>
      <x:c r="I6" s="4" t="str">
        <x:v>ca2ff1a77ec797c516025925c6f3df38358b0f8b306cd0778f09186cfadc7a16</x:v>
      </x:c>
      <x:c r="J6" s="4" t="str">
        <x:v>CUERPO_TECNICO_LEIDO; PERFIL_PRODUCTIVO_PENDIENTE</x:v>
      </x:c>
    </x:row>
    <x:row r="7" ht="47" customHeight="1">
      <x:c r="A7" s="4" t="str">
        <x:v>T009</x:v>
      </x:c>
      <x:c r="B7" s="4" t="str">
        <x:v>About Restart Manager</x:v>
      </x:c>
      <x:c r="C7" s="4" t="str">
        <x:v>https://learn.microsoft.com/en-us/windows/win32/rstmgr/about-restart-manager</x:v>
      </x:c>
      <x:c r="D7" s="4" t="str">
        <x:v>In this article</x:v>
      </x:c>
      <x:c r="E7" s="4" t="str">
        <x:v>Reinicio de aplicaciones/servicios, ficheros en uso, privilegios y servicios críticos.</x:v>
      </x:c>
      <x:c r="F7" s="4" t="str">
        <x:v>2020-08-19</x:v>
      </x:c>
      <x:c r="G7" s="4" t="str">
        <x:v>ms.date=2018-05-31T00:00:00Z</x:v>
      </x:c>
      <x:c r="H7" s="4" t="str">
        <x:v>49235</x:v>
      </x:c>
      <x:c r="I7" s="4" t="str">
        <x:v>31523632eb52da14a7aafb6b8315b19e0ac8b2c5ef3ee11abe12ce5d9c4aded9</x:v>
      </x:c>
      <x:c r="J7" s="4" t="str">
        <x:v>CUERPO_TECNICO_LEIDO; PERFIL_PRODUCTIVO_PENDIENTE</x:v>
      </x:c>
    </x:row>
    <x:row r="8" ht="47" customHeight="1">
      <x:c r="A8" s="4" t="str">
        <x:v>T010</x:v>
      </x:c>
      <x:c r="B8" s="4" t="str">
        <x:v>IUpdateHistoryEntry interface (wuapi.h)</x:v>
      </x:c>
      <x:c r="C8" s="4" t="str">
        <x:v>https://learn.microsoft.com/en-us/windows/win32/api/wuapi/nn-wuapi-iupdatehistoryentry</x:v>
      </x:c>
      <x:c r="D8" s="4" t="str">
        <x:v>Methods</x:v>
      </x:c>
      <x:c r="E8" s="4" t="str">
        <x:v>Historia: identidad, operación, resultado y fecha son campos distintos; no garantiza cobertura completa.</x:v>
      </x:c>
      <x:c r="F8" s="4" t="str">
        <x:v>2023-02-16</x:v>
      </x:c>
      <x:c r="G8" s="4" t="str">
        <x:v>ms.date=2018-12-05T00:00:00Z</x:v>
      </x:c>
      <x:c r="H8" s="4" t="str">
        <x:v>52577</x:v>
      </x:c>
      <x:c r="I8" s="4" t="str">
        <x:v>1c10caa71f853e1a5f70b241d408b584956f0285086c2e726f93ab465d242f7d</x:v>
      </x:c>
      <x:c r="J8" s="4" t="str">
        <x:v>CUERPO_TECNICO_LEIDO; PERFIL_PRODUCTIVO_PENDIENTE</x:v>
      </x:c>
    </x:row>
    <x:row r="9" ht="47" customHeight="1">
      <x:c r="A9" s="4" t="str">
        <x:v>T011</x:v>
      </x:c>
      <x:c r="B9" s="4" t="str">
        <x:v>UpdateOperation enumeration (wuapi.h)</x:v>
      </x:c>
      <x:c r="C9" s="4" t="str">
        <x:v>https://learn.microsoft.com/en-us/windows/win32/api/wuapi/ne-wuapi-updateoperation</x:v>
      </x:c>
      <x:c r="D9" s="4" t="str">
        <x:v>Constants</x:v>
      </x:c>
      <x:c r="E9" s="4" t="str">
        <x:v>Instalación y desinstalación son operaciones distintas; no se convierten sus enteros directamente a Tri.</x:v>
      </x:c>
      <x:c r="F9" s="4" t="str">
        <x:v>2024-02-22</x:v>
      </x:c>
      <x:c r="G9" s="4" t="str">
        <x:v>ms.date=2018-12-05T00:00:00Z</x:v>
      </x:c>
      <x:c r="H9" s="4" t="str">
        <x:v>49531</x:v>
      </x:c>
      <x:c r="I9" s="4" t="str">
        <x:v>8a46244c749fd5b075d756d5d01116ff9a58e2a8168eed766d4337aef07197b8</x:v>
      </x:c>
      <x:c r="J9" s="4" t="str">
        <x:v>CUERPO_TECNICO_LEIDO; PERFIL_PRODUCTIVO_PENDIENTE</x:v>
      </x:c>
    </x:row>
    <x:row r="10" ht="47" customHeight="1">
      <x:c r="A10" s="4" t="str">
        <x:v>T012</x:v>
      </x:c>
      <x:c r="B10" s="4" t="str">
        <x:v>GetModuleInformation function (psapi.h)</x:v>
      </x:c>
      <x:c r="C10" s="4" t="str">
        <x:v>https://learn.microsoft.com/en-us/windows/win32/api/psapi/nf-psapi-getmoduleinformation</x:v>
      </x:c>
      <x:c r="D10" s="4" t="str">
        <x:v>Parameters; Return value; Remarks</x:v>
      </x:c>
      <x:c r="E10" s="4" t="str">
        <x:v>La llamada recoge MODULEINFO y tiene fallos/permisos; no certifica una imagen correctora.</x:v>
      </x:c>
      <x:c r="F10" s="4" t="str">
        <x:v>2024-02-22</x:v>
      </x:c>
      <x:c r="G10" s="4" t="str">
        <x:v>ms.date=2018-12-05T00:00:00Z</x:v>
      </x:c>
      <x:c r="H10" s="4" t="str">
        <x:v>54456</x:v>
      </x:c>
      <x:c r="I10" s="4" t="str">
        <x:v>6a3de9519144cdc43ab32fa5c207975809fdb14913b20e9473d84b74f8f656d2</x:v>
      </x:c>
      <x:c r="J10" s="4" t="str">
        <x:v>CUERPO_TECNICO_LEIDO; PERFIL_PRODUCTIVO_PENDIENTE</x:v>
      </x:c>
    </x:row>
    <x:row r="11" ht="47" customHeight="1">
      <x:c r="A11" s="4" t="str">
        <x:v>T013</x:v>
      </x:c>
      <x:c r="B11" s="4" t="str">
        <x:v>MODULEINFO structure (psapi.h)</x:v>
      </x:c>
      <x:c r="C11" s="4" t="str">
        <x:v>https://learn.microsoft.com/en-us/windows/win32/api/psapi/ns-psapi-moduleinfo</x:v>
      </x:c>
      <x:c r="D11" s="4" t="str">
        <x:v>Members; Remarks</x:v>
      </x:c>
      <x:c r="E11" s="4" t="str">
        <x:v>Dirección, tamaño y punto de entrada; no son un digest del código cargado.</x:v>
      </x:c>
      <x:c r="F11" s="4" t="str">
        <x:v>2024-02-22</x:v>
      </x:c>
      <x:c r="G11" s="4" t="str">
        <x:v>ms.date=2018-12-05T00:00:00Z</x:v>
      </x:c>
      <x:c r="H11" s="4" t="str">
        <x:v>49924</x:v>
      </x:c>
      <x:c r="I11" s="4" t="str">
        <x:v>d2e50a2cb472165399ae7a673d5946337d340f5162062ec1373bb6af9e63c230</x:v>
      </x:c>
      <x:c r="J11" s="4" t="str">
        <x:v>CUERPO_TECNICO_LEIDO; PERFIL_PRODUCTIVO_PENDIENTE</x:v>
      </x:c>
    </x:row>
  </x:sheetData>
  <x:mergeCells>
    <x:mergeCell ref="A1:D1"/>
    <x:mergeCell ref="A2:F2"/>
  </x:mergeCells>
  <x:pageMargins left="0.7" right="0.7" top="0.75" bottom="0.75" header="0.3" footer="0.3"/>
  <x:tableParts count="1">
    <x:tablePart xmlns:r="http://schemas.openxmlformats.org/officeDocument/2006/relationships" r:id="R464abad28c1546a9"/>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9" hidden="0" customWidth="1"/>
    <x:col min="2" max="2" width="62" hidden="0" customWidth="1"/>
    <x:col min="3" max="3" width="24" hidden="0" customWidth="1"/>
    <x:col min="4" max="4" width="21" hidden="0" customWidth="1"/>
    <x:col min="5" max="5" width="120" hidden="0" customWidth="1"/>
  </x:cols>
  <x:sheetData>
    <x:row r="1" ht="35" customHeight="1">
      <x:c r="A1" s="6" t="str">
        <x:v>CONTROL · resultado documental del lote</x:v>
      </x:c>
      <x:c r="B1" s="6"/>
      <x:c r="C1" s="6"/>
      <x:c r="D1" s="6"/>
      <x:c r="E1" s="6"/>
    </x:row>
    <x:row r="2" ht="52" customHeight="1">
      <x:c r="A2" s="8" t="str">
        <x:v>Fórmulas visibles y mutación de un esperado. La concordancia es un resultado acotado a los testigos.</x:v>
      </x:c>
      <x:c r="B2" s="8"/>
      <x:c r="C2" s="8"/>
      <x:c r="D2" s="8"/>
      <x:c r="E2" s="8"/>
    </x:row>
    <x:row r="3">
      <x:c r="A3" s="4"/>
      <x:c r="B3" s="4"/>
      <x:c r="C3" s="4"/>
      <x:c r="D3" s="4"/>
      <x:c r="E3" s="4"/>
    </x:row>
    <x:row r="4" ht="42" customHeight="1">
      <x:c r="A4" s="10" t="str">
        <x:v>Control</x:v>
      </x:c>
      <x:c r="B4" s="10" t="str">
        <x:v>Magnitud</x:v>
      </x:c>
      <x:c r="C4" s="10" t="str">
        <x:v>Observado</x:v>
      </x:c>
      <x:c r="D4" s="10" t="str">
        <x:v>Esperado</x:v>
      </x:c>
      <x:c r="E4" s="10" t="str">
        <x:v>Alcance</x:v>
      </x:c>
    </x:row>
    <x:row r="5" ht="47" customHeight="1">
      <x:c r="A5" s="4" t="str">
        <x:v>L10-C01</x:v>
      </x:c>
      <x:c r="B5" s="4" t="str">
        <x:v>Parámetros registrados</x:v>
      </x:c>
      <x:c r="C5" s="17" t="n">
        <x:f>COUNTA('46_Registro_diez'!$B$5:$B$14)</x:f>
        <x:v>10</x:v>
      </x:c>
      <x:c r="D5" s="13" t="n">
        <x:v>10</x:v>
      </x:c>
      <x:c r="E5" s="4" t="str">
        <x:v>Definiciones de 46; no instancias ni hojas.</x:v>
      </x:c>
    </x:row>
    <x:row r="6" ht="47" customHeight="1">
      <x:c r="A6" s="4" t="str">
        <x:v>L10-C02</x:v>
      </x:c>
      <x:c r="B6" s="4" t="str">
        <x:v>Adoptados nominalmente</x:v>
      </x:c>
      <x:c r="C6" s="17" t="n">
        <x:f>COUNTIF('46_Registro_diez'!$I$5:$I$14,"ADOPTADO_POR_DIRECCION")</x:f>
        <x:v>1</x:v>
      </x:c>
      <x:c r="D6" s="13" t="n">
        <x:v>1</x:v>
      </x:c>
      <x:c r="E6" s="4" t="str">
        <x:v>P01; no se anticipa la adopción de P02–P10.</x:v>
      </x:c>
    </x:row>
    <x:row r="7" ht="47" customHeight="1">
      <x:c r="A7" s="4" t="str">
        <x:v>L10-C03</x:v>
      </x:c>
      <x:c r="B7" s="4" t="str">
        <x:v>Nuevos dictámenes</x:v>
      </x:c>
      <x:c r="C7" s="17" t="n">
        <x:f>COUNTIF('46_Registro_diez'!$I$5:$I$14,"PENDIENTE_DE_ADOPCION_NOMINAL")</x:f>
        <x:v>9</x:v>
      </x:c>
      <x:c r="D7" s="13" t="n">
        <x:v>9</x:v>
      </x:c>
      <x:c r="E7" s="4" t="str">
        <x:v>Nueve fichas con prueba de identidad, función, U, ablación y partición.</x:v>
      </x:c>
    </x:row>
    <x:row r="8" ht="47" customHeight="1">
      <x:c r="A8" s="4" t="str">
        <x:v>L10-C04</x:v>
      </x:c>
      <x:c r="B8" s="4" t="str">
        <x:v>Identidades duplicadas</x:v>
      </x:c>
      <x:c r="C8" s="17" t="n">
        <x:f>COUNTIF('46_Registro_diez'!$B$5:$B$14,'46_Registro_diez'!B5)-1+COUNTIF('46_Registro_diez'!$B$5:$B$14,'46_Registro_diez'!B6)-1+COUNTIF('46_Registro_diez'!$B$5:$B$14,'46_Registro_diez'!B7)-1+COUNTIF('46_Registro_diez'!$B$5:$B$14,'46_Registro_diez'!B8)-1+COUNTIF('46_Registro_diez'!$B$5:$B$14,'46_Registro_diez'!B9)-1+COUNTIF('46_Registro_diez'!$B$5:$B$14,'46_Registro_diez'!B10)-1+COUNTIF('46_Registro_diez'!$B$5:$B$14,'46_Registro_diez'!B11)-1+COUNTIF('46_Registro_diez'!$B$5:$B$14,'46_Registro_diez'!B12)-1+COUNTIF('46_Registro_diez'!$B$5:$B$14,'46_Registro_diez'!B13)-1+COUNTIF('46_Registro_diez'!$B$5:$B$14,'46_Registro_diez'!B14)-1</x:f>
        <x:v>0</x:v>
      </x:c>
      <x:c r="D8" s="13" t="n">
        <x:v>0</x:v>
      </x:c>
      <x:c r="E8" s="4" t="str">
        <x:v>La unicidad es un control necesario, no prueba semántica.</x:v>
      </x:c>
    </x:row>
    <x:row r="9" ht="47" customHeight="1">
      <x:c r="A9" s="4" t="str">
        <x:v>L10-C05</x:v>
      </x:c>
      <x:c r="B9" s="4" t="str">
        <x:v>Testigos nuevos</x:v>
      </x:c>
      <x:c r="C9" s="17" t="n">
        <x:f>COUNTA('50_Testigos_lote'!$A$5:$A$131)</x:f>
        <x:v>127</x:v>
      </x:c>
      <x:c r="D9" s="13" t="n">
        <x:v>127</x:v>
      </x:c>
      <x:c r="E9" s="4" t="str">
        <x:v>Esperados fijados antes de evaluación de fórmulas.</x:v>
      </x:c>
    </x:row>
    <x:row r="10" ht="47" customHeight="1">
      <x:c r="A10" s="4" t="str">
        <x:v>L10-C06</x:v>
      </x:c>
      <x:c r="B10" s="4" t="str">
        <x:v>Discordancias de testigos</x:v>
      </x:c>
      <x:c r="C10" s="17" t="n">
        <x:f>COUNTIF('50_Testigos_lote'!$R$5:$R$131,"NO_PASA")</x:f>
        <x:v>0</x:v>
      </x:c>
      <x:c r="D10" s="13" t="n">
        <x:v>0</x:v>
      </x:c>
      <x:c r="E10" s="4" t="str">
        <x:v>No acredita capturador ni consejo productivo.</x:v>
      </x:c>
    </x:row>
    <x:row r="11" ht="47" customHeight="1">
      <x:c r="A11" s="4" t="str">
        <x:v>L10-C07</x:v>
      </x:c>
      <x:c r="B11" s="4" t="str">
        <x:v>Distinciones Q0 registradas</x:v>
      </x:c>
      <x:c r="C11" s="17" t="n">
        <x:f>COUNTA('52_Cobertura_Q0_actual'!$A$5:$A$35)</x:f>
        <x:v>31</x:v>
      </x:c>
      <x:c r="D11" s="13" t="n">
        <x:v>31</x:v>
      </x:c>
      <x:c r="E11" s="4" t="str">
        <x:v>No se amplió el inventario.</x:v>
      </x:c>
    </x:row>
    <x:row r="12" ht="47" customHeight="1">
      <x:c r="A12" s="4" t="str">
        <x:v>L10-C08</x:v>
      </x:c>
      <x:c r="B12" s="4" t="str">
        <x:v>Ablaciones ejecutadas</x:v>
      </x:c>
      <x:c r="C12" s="13" t="n">
        <x:v>9</x:v>
      </x:c>
      <x:c r="D12" s="13" t="n">
        <x:v>9</x:v>
      </x:c>
      <x:c r="E12" s="4" t="str">
        <x:v>Proyecciones semánticas acotadas; no ejecución SV.</x:v>
      </x:c>
    </x:row>
    <x:row r="13" ht="47" customHeight="1">
      <x:c r="A13" s="4" t="str">
        <x:v>L10-C09</x:v>
      </x:c>
      <x:c r="B13" s="4" t="str">
        <x:v>Mutantes de ablación detectados</x:v>
      </x:c>
      <x:c r="C13" s="13" t="n">
        <x:v>9</x:v>
      </x:c>
      <x:c r="D13" s="13" t="n">
        <x:v>9</x:v>
      </x:c>
      <x:c r="E13" s="4" t="str">
        <x:v>Observador que ignora cada estado pierde la obligación correspondiente.</x:v>
      </x:c>
    </x:row>
    <x:row r="14" ht="47" customHeight="1">
      <x:c r="A14" s="4" t="str">
        <x:v>L10-C10</x:v>
      </x:c>
      <x:c r="B14" s="4" t="str">
        <x:v>Casos del primer átomo conservados</x:v>
      </x:c>
      <x:c r="C14" s="17" t="n">
        <x:f>COUNTA('41_Testigos_G5'!$A$5:$A$32)</x:f>
        <x:v>28</x:v>
      </x:c>
      <x:c r="D14" s="13" t="n">
        <x:v>28</x:v>
      </x:c>
      <x:c r="E14" s="4" t="str">
        <x:v>Se reejecutan en 41; contrato de P01 sin cambios.</x:v>
      </x:c>
    </x:row>
    <x:row r="15" ht="47" customHeight="1">
      <x:c r="A15" s="4" t="str">
        <x:v>L10-C11</x:v>
      </x:c>
      <x:c r="B15" s="4" t="str">
        <x:v>Nuevas fuentes capturadas</x:v>
      </x:c>
      <x:c r="C15" s="17" t="n">
        <x:f>COUNTA('53_Fuentes_lote'!$A$5:$A$11)</x:f>
        <x:v>7</x:v>
      </x:c>
      <x:c r="D15" s="13" t="n">
        <x:v>7</x:v>
      </x:c>
      <x:c r="E15" s="4" t="str">
        <x:v>Originales y huellas.</x:v>
      </x:c>
    </x:row>
    <x:row r="16" ht="47" customHeight="1">
      <x:c r="A16" s="4" t="str">
        <x:v>L10-C12</x:v>
      </x:c>
      <x:c r="B16" s="4" t="str">
        <x:v>Ataques internos</x:v>
      </x:c>
      <x:c r="C16" s="17" t="n">
        <x:f>COUNTA('51_Adversarial_lote'!$A$5:$A$24)</x:f>
        <x:v>20</x:v>
      </x:c>
      <x:c r="D16" s="13" t="n">
        <x:v>20</x:v>
      </x:c>
      <x:c r="E16" s="4" t="str">
        <x:v>Reparos absorbidos y deudas explícitas.</x:v>
      </x:c>
    </x:row>
    <x:row r="17" ht="47" customHeight="1">
      <x:c r="A17" s="4" t="str">
        <x:v>L10-C13</x:v>
      </x:c>
      <x:c r="B17" s="4" t="str">
        <x:v>Entradas Q0 con cobertura parcial</x:v>
      </x:c>
      <x:c r="C17" s="17" t="n">
        <x:f>COUNTIF('52_Cobertura_Q0_actual'!$D$5:$D$35,"COBERTURA_PARCIAL")</x:f>
        <x:v>5</x:v>
      </x:c>
      <x:c r="D17" s="13" t="n">
        <x:v>5</x:v>
      </x:c>
      <x:c r="E17" s="4" t="str">
        <x:v>No se ocultan bajo «dictaminado».</x:v>
      </x:c>
    </x:row>
    <x:row r="18" ht="47" customHeight="1">
      <x:c r="A18" s="4" t="str">
        <x:v>L10-C14</x:v>
      </x:c>
      <x:c r="B18" s="4" t="str">
        <x:v>Errores nuevos de referencia</x:v>
      </x:c>
      <x:c r="C18" s="17" t="n">
        <x:f>COUNTBLANK('50_Testigos_lote'!$T$5:$T$131)+COUNTIF('55_Codificacion_ensayo'!$A$5:$A$13,'55_Codificacion_ensayo'!A5)-1+COUNTIF('55_Codificacion_ensayo'!$A$5:$A$13,'55_Codificacion_ensayo'!A6)-1+COUNTIF('55_Codificacion_ensayo'!$A$5:$A$13,'55_Codificacion_ensayo'!A7)-1+COUNTIF('55_Codificacion_ensayo'!$A$5:$A$13,'55_Codificacion_ensayo'!A8)-1+COUNTIF('55_Codificacion_ensayo'!$A$5:$A$13,'55_Codificacion_ensayo'!A9)-1+COUNTIF('55_Codificacion_ensayo'!$A$5:$A$13,'55_Codificacion_ensayo'!A10)-1+COUNTIF('55_Codificacion_ensayo'!$A$5:$A$13,'55_Codificacion_ensayo'!A11)-1+COUNTIF('55_Codificacion_ensayo'!$A$5:$A$13,'55_Codificacion_ensayo'!A12)-1+COUNTIF('55_Codificacion_ensayo'!$A$5:$A$13,'55_Codificacion_ensayo'!A13)-1</x:f>
        <x:v>0</x:v>
      </x:c>
      <x:c r="D18" s="13" t="n">
        <x:v>0</x:v>
      </x:c>
      <x:c r="E18" s="4" t="str">
        <x:v>Cada caso corresponde a exactamente un perfil de 55.</x:v>
      </x:c>
    </x:row>
  </x:sheetData>
  <x:mergeCells>
    <x:mergeCell ref="A1:D1"/>
    <x:mergeCell ref="A2:E2"/>
  </x:mergeCells>
  <x:conditionalFormatting sqref="C5:C18">
    <x:cfRule type="expression" dxfId="25" priority="1">
      <x:formula>C5&lt;&gt;D5</x:formula>
    </x:cfRule>
  </x:conditionalFormatting>
  <x:pageMargins left="0.7" right="0.7" top="0.75" bottom="0.75" header="0.3" footer="0.3"/>
  <x:tableParts count="1">
    <x:tablePart xmlns:r="http://schemas.openxmlformats.org/officeDocument/2006/relationships" r:id="Rb4ba60158b4645a2"/>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51" hidden="0" customWidth="1"/>
    <x:col min="2" max="2" width="53" hidden="0" customWidth="1"/>
    <x:col min="3" max="3" width="33" hidden="0" customWidth="1"/>
    <x:col min="4" max="4" width="35" hidden="0" customWidth="1"/>
    <x:col min="5" max="5" width="25" hidden="0" customWidth="1"/>
    <x:col min="6" max="6" width="68" hidden="0" customWidth="1"/>
    <x:col min="7" max="7" width="68" hidden="0" customWidth="1"/>
    <x:col min="8" max="8" width="68" hidden="0" customWidth="1"/>
    <x:col min="9" max="9" width="40" hidden="0" customWidth="1"/>
    <x:col min="10" max="10" width="40" hidden="0" customWidth="1"/>
  </x:cols>
  <x:sheetData>
    <x:row r="1" ht="35" customHeight="1">
      <x:c r="A1" s="6" t="str">
        <x:v>CODIFICACIÓN DEL ENSAYO · contratos explícitos</x:v>
      </x:c>
      <x:c r="B1" s="6"/>
      <x:c r="C1" s="6"/>
      <x:c r="D1" s="6"/>
      <x:c r="E1" s="6"/>
      <x:c r="F1" s="6"/>
      <x:c r="G1" s="6"/>
      <x:c r="H1" s="6"/>
      <x:c r="I1" s="6"/>
      <x:c r="J1" s="6"/>
    </x:row>
    <x:row r="2" ht="52" customHeight="1">
      <x:c r="A2" s="8" t="str">
        <x:v>Los valores etiquetados describen testigos sintéticos admitidos. No son enums SV ni certificación automática de la evidencia de origen.</x:v>
      </x:c>
      <x:c r="B2" s="8"/>
      <x:c r="C2" s="8"/>
      <x:c r="D2" s="8"/>
      <x:c r="E2" s="8"/>
      <x:c r="F2" s="8"/>
      <x:c r="G2" s="8"/>
      <x:c r="H2" s="8"/>
      <x:c r="I2" s="8"/>
      <x:c r="J2" s="8"/>
    </x:row>
    <x:row r="3">
      <x:c r="A3" s="4"/>
      <x:c r="B3" s="4"/>
      <x:c r="C3" s="4"/>
      <x:c r="D3" s="4"/>
      <x:c r="E3" s="4"/>
      <x:c r="F3" s="4"/>
      <x:c r="G3" s="4"/>
      <x:c r="H3" s="4"/>
      <x:c r="I3" s="4"/>
      <x:c r="J3" s="4"/>
    </x:row>
    <x:row r="4" ht="42" customHeight="1">
      <x:c r="A4" s="10" t="str">
        <x:v>Parámetro</x:v>
      </x:c>
      <x:c r="B4" s="10" t="str">
        <x:v>Perfil</x:v>
      </x:c>
      <x:c r="C4" s="10" t="str">
        <x:v>Soporte requerido</x:v>
      </x:c>
      <x:c r="D4" s="10" t="str">
        <x:v>Contexto requerido</x:v>
      </x:c>
      <x:c r="E4" s="10" t="str">
        <x:v>Modo</x:v>
      </x:c>
      <x:c r="F4" s="10" t="str">
        <x:v>Positivo 1</x:v>
      </x:c>
      <x:c r="G4" s="10" t="str">
        <x:v>Auxiliar</x:v>
      </x:c>
      <x:c r="H4" s="10" t="str">
        <x:v>Negativo</x:v>
      </x:c>
      <x:c r="I4" s="10" t="str">
        <x:v>Diagnóstico 1</x:v>
      </x:c>
      <x:c r="J4" s="10" t="str">
        <x:v>Diagnóstico 0</x:v>
      </x:c>
    </x:row>
    <x:row r="5" ht="47" customHeight="1">
      <x:c r="A5" s="4" t="str">
        <x:v>PAR-CYB-INSTALACION-EXITO-COMUNICADO-001</x:v>
      </x:c>
      <x:c r="B5" s="4" t="str">
        <x:v>WUA-RESULTADO-INDIVIDUAL-0.1</x:v>
      </x:c>
      <x:c r="C5" s="4" t="str">
        <x:v>RESULTADO_WUA_INDIVIDUAL</x:v>
      </x:c>
      <x:c r="D5" s="4" t="str">
        <x:v>INSTALAR_INDIVIDUAL</x:v>
      </x:c>
      <x:c r="E5" s="4" t="str">
        <x:v>RESULTADO</x:v>
      </x:c>
      <x:c r="F5" s="4" t="str">
        <x:v>orcSucceeded</x:v>
      </x:c>
      <x:c r="G5" s="4" t="str"/>
      <x:c r="H5" s="4" t="str">
        <x:v>orcFailed</x:v>
      </x:c>
      <x:c r="I5" s="4" t="str">
        <x:v>EXITO_COMUNICADO</x:v>
      </x:c>
      <x:c r="J5" s="4" t="str">
        <x:v>NO_EXITO_PLENO</x:v>
      </x:c>
    </x:row>
    <x:row r="6" ht="47" customHeight="1">
      <x:c r="A6" s="4" t="str">
        <x:v>PAR-CYB-REINICIO-SISTEMA-REALIZADO-001</x:v>
      </x:c>
      <x:c r="B6" s="4" t="str">
        <x:v>EVENTO-REINICIO-COMPLETO-0.1</x:v>
      </x:c>
      <x:c r="C6" s="4" t="str">
        <x:v>ARRANQUE_COMPLETO</x:v>
      </x:c>
      <x:c r="D6" s="4" t="str">
        <x:v>ORDEN_ACREDITADO</x:v>
      </x:c>
      <x:c r="E6" s="4" t="str">
        <x:v>EVENTO_BOOT</x:v>
      </x:c>
      <x:c r="F6" s="4" t="str">
        <x:v>REINICIO_COMPLETO</x:v>
      </x:c>
      <x:c r="G6" s="4" t="str"/>
      <x:c r="H6" s="4" t="str">
        <x:v>NINGUNO</x:v>
      </x:c>
      <x:c r="I6" s="4" t="str">
        <x:v>REINICIO_REALIZADO</x:v>
      </x:c>
      <x:c r="J6" s="4" t="str">
        <x:v>SIN_REINICIO_COMPLETO</x:v>
      </x:c>
    </x:row>
    <x:row r="7" ht="47" customHeight="1">
      <x:c r="A7" s="4" t="str">
        <x:v>PAR-CYB-REINICIO-SOFTWARE-REQUERIDO-001</x:v>
      </x:c>
      <x:c r="B7" s="4" t="str">
        <x:v>REQUISITO-SOFTWARE-INDIVIDUAL-0.1</x:v>
      </x:c>
      <x:c r="C7" s="4" t="str">
        <x:v>INSTRUCCION_ESPECIFICA</x:v>
      </x:c>
      <x:c r="D7" s="4" t="str">
        <x:v>UN_SOFTWARE</x:v>
      </x:c>
      <x:c r="E7" s="4" t="str">
        <x:v>REQUISITO_SOFT</x:v>
      </x:c>
      <x:c r="F7" s="4" t="str">
        <x:v>true</x:v>
      </x:c>
      <x:c r="G7" s="4" t="str"/>
      <x:c r="H7" s="4" t="str">
        <x:v>false</x:v>
      </x:c>
      <x:c r="I7" s="4" t="str">
        <x:v>REQUISITO_SOFTWARE_SI</x:v>
      </x:c>
      <x:c r="J7" s="4" t="str">
        <x:v>REQUISITO_SOFTWARE_NO</x:v>
      </x:c>
    </x:row>
    <x:row r="8" ht="47" customHeight="1">
      <x:c r="A8" s="4" t="str">
        <x:v>PAR-CYB-GENERACION-PROCESO-TERMINADA-001</x:v>
      </x:c>
      <x:c r="B8" s="4" t="str">
        <x:v>TERMINACION-GENERACION-PROCESO-0.1</x:v>
      </x:c>
      <x:c r="C8" s="4" t="str">
        <x:v>CICLO_GENERACION</x:v>
      </x:c>
      <x:c r="D8" s="4" t="str">
        <x:v>ORDEN_ACREDITADO</x:v>
      </x:c>
      <x:c r="E8" s="4" t="str">
        <x:v>EVENTO_PROC</x:v>
      </x:c>
      <x:c r="F8" s="4" t="str">
        <x:v>TERMINADA</x:v>
      </x:c>
      <x:c r="G8" s="4" t="str"/>
      <x:c r="H8" s="4" t="str">
        <x:v>NINGUNO</x:v>
      </x:c>
      <x:c r="I8" s="4" t="str">
        <x:v>GENERACION_TERMINADA</x:v>
      </x:c>
      <x:c r="J8" s="4" t="str">
        <x:v>SIN_TERMINACION</x:v>
      </x:c>
    </x:row>
    <x:row r="9" ht="47" customHeight="1">
      <x:c r="A9" s="4" t="str">
        <x:v>PAR-CYB-IMAGEN-OBJETIVO-ACTIVA-001</x:v>
      </x:c>
      <x:c r="B9" s="4" t="str">
        <x:v>IDENTIDAD-IMAGEN-CARGADA-0.1</x:v>
      </x:c>
      <x:c r="C9" s="4" t="str">
        <x:v>IMAGEN_CARGADA</x:v>
      </x:c>
      <x:c r="D9" s="4" t="str">
        <x:v>METODO_ADMITIDO</x:v>
      </x:c>
      <x:c r="E9" s="4" t="str">
        <x:v>IMAGEN</x:v>
      </x:c>
      <x:c r="F9" s="4" t="str">
        <x:v>aaaaaaaaaaaaaaaaaaaaaaaaaaaaaaaaaaaaaaaaaaaaaaaaaaaaaaaaaaaaaaaa</x:v>
      </x:c>
      <x:c r="G9" s="4" t="str">
        <x:v>aaaaaaaaaaaaaaaaaaaaaaaaaaaaaaaaaaaaaaaaaaaaaaaaaaaaaaaaaaaaaaaa</x:v>
      </x:c>
      <x:c r="H9" s="4" t="str">
        <x:v>bbbbbbbbbbbbbbbbbbbbbbbbbbbbbbbbbbbbbbbbbbbbbbbbbbbbbbbbbbbbbbbb</x:v>
      </x:c>
      <x:c r="I9" s="4" t="str">
        <x:v>IMAGEN_OBJETIVO</x:v>
      </x:c>
      <x:c r="J9" s="4" t="str">
        <x:v>OTRA_IMAGEN</x:v>
      </x:c>
    </x:row>
    <x:row r="10" ht="47" customHeight="1">
      <x:c r="A10" s="4" t="str">
        <x:v>PAR-CYB-COMPROBACION-POSITIVA-001</x:v>
      </x:c>
      <x:c r="B10" s="4" t="str">
        <x:v>COMPROBACION-CRITERIO-UNITARIO-0.1</x:v>
      </x:c>
      <x:c r="C10" s="4" t="str">
        <x:v>INFORME_PRUEBA</x:v>
      </x:c>
      <x:c r="D10" s="4" t="str">
        <x:v>ORACULO_UNITARIO</x:v>
      </x:c>
      <x:c r="E10" s="4" t="str">
        <x:v>PRUEBA</x:v>
      </x:c>
      <x:c r="F10" s="4" t="str">
        <x:v>CRITERIO_CUMPLIDO</x:v>
      </x:c>
      <x:c r="G10" s="4" t="str"/>
      <x:c r="H10" s="4" t="str">
        <x:v>CRITERIO_NO_CUMPLIDO</x:v>
      </x:c>
      <x:c r="I10" s="4" t="str">
        <x:v>CRITERIO_POSITIVO</x:v>
      </x:c>
      <x:c r="J10" s="4" t="str">
        <x:v>CRITERIO_NEGATIVO</x:v>
      </x:c>
    </x:row>
    <x:row r="11" ht="47" customHeight="1">
      <x:c r="A11" s="4" t="str">
        <x:v>PAR-CYB-RETIRADA-EXITOSA-COMUNICADA-001</x:v>
      </x:c>
      <x:c r="B11" s="4" t="str">
        <x:v>HISTORIA-RETIRADA-ACTUALIZACION-0.1</x:v>
      </x:c>
      <x:c r="C11" s="4" t="str">
        <x:v>HISTORIA_WUA</x:v>
      </x:c>
      <x:c r="D11" s="4" t="str">
        <x:v>ORDEN_ACREDITADO</x:v>
      </x:c>
      <x:c r="E11" s="4" t="str">
        <x:v>RETIRADA</x:v>
      </x:c>
      <x:c r="F11" s="4" t="str">
        <x:v>uoUninstallation</x:v>
      </x:c>
      <x:c r="G11" s="4" t="str">
        <x:v>orcSucceeded</x:v>
      </x:c>
      <x:c r="H11" s="4" t="str">
        <x:v>NINGUNO</x:v>
      </x:c>
      <x:c r="I11" s="4" t="str">
        <x:v>RETIRADA_EXITOSA</x:v>
      </x:c>
      <x:c r="J11" s="4" t="str">
        <x:v>SIN_RETIRADA_EXITOSA</x:v>
      </x:c>
    </x:row>
    <x:row r="12" ht="47" customHeight="1">
      <x:c r="A12" s="4" t="str">
        <x:v>PAR-CYB-CAMBIO-COMPONENTE-POSTERIOR-001</x:v>
      </x:c>
      <x:c r="B12" s="4" t="str">
        <x:v>HISTORIA-CAMBIO-COMPONENTE-0.1</x:v>
      </x:c>
      <x:c r="C12" s="4" t="str">
        <x:v>HISTORIA_BINARIA</x:v>
      </x:c>
      <x:c r="D12" s="4" t="str">
        <x:v>ORDEN_ACREDITADO</x:v>
      </x:c>
      <x:c r="E12" s="4" t="str">
        <x:v>CAMBIO</x:v>
      </x:c>
      <x:c r="F12" s="4" t="str">
        <x:v>CAMBIO</x:v>
      </x:c>
      <x:c r="G12" s="4" t="str"/>
      <x:c r="H12" s="4" t="str">
        <x:v>NINGUNO</x:v>
      </x:c>
      <x:c r="I12" s="4" t="str">
        <x:v>CAMBIO_POSTERIOR</x:v>
      </x:c>
      <x:c r="J12" s="4" t="str">
        <x:v>SIN_CAMBIO_ACREDITADO</x:v>
      </x:c>
    </x:row>
    <x:row r="13" ht="47" customHeight="1">
      <x:c r="A13" s="4" t="str">
        <x:v>PAR-CYB-RESTAURACION-PREVIA-COMUNICADA-001</x:v>
      </x:c>
      <x:c r="B13" s="4" t="str">
        <x:v>HISTORIA-RESTAURACION-PREVIA-0.1</x:v>
      </x:c>
      <x:c r="C13" s="4" t="str">
        <x:v>TRABAJO_RESTAURACION</x:v>
      </x:c>
      <x:c r="D13" s="4" t="str">
        <x:v>ORDEN_ACREDITADO</x:v>
      </x:c>
      <x:c r="E13" s="4" t="str">
        <x:v>RESTAURACION</x:v>
      </x:c>
      <x:c r="F13" s="4" t="str">
        <x:v>RESTAURACION_PREVIA</x:v>
      </x:c>
      <x:c r="G13" s="4" t="str"/>
      <x:c r="H13" s="4" t="str">
        <x:v>NINGUNO</x:v>
      </x:c>
      <x:c r="I13" s="4" t="str">
        <x:v>RESTAURACION_PREVIA</x:v>
      </x:c>
      <x:c r="J13" s="4" t="str">
        <x:v>SIN_RESTAURACION_PREVIA</x:v>
      </x:c>
    </x:row>
  </x:sheetData>
  <x:mergeCells>
    <x:mergeCell ref="A1:D1"/>
    <x:mergeCell ref="A2:F2"/>
  </x:mergeCells>
  <x:pageMargins left="0.7" right="0.7" top="0.75" bottom="0.75" header="0.3" footer="0.3"/>
  <x:tableParts count="1">
    <x:tablePart xmlns:r="http://schemas.openxmlformats.org/officeDocument/2006/relationships" r:id="R29e99d2f761548bf"/>
  </x:tableParts>
</x:worksheet>
</file>

<file path=xl/worksheets/sheet5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0" hidden="0" customWidth="1"/>
    <x:col min="2" max="2" width="66" hidden="0" customWidth="1"/>
    <x:col min="3" max="3" width="91" hidden="0" customWidth="1"/>
    <x:col min="4" max="4" width="91" hidden="0" customWidth="1"/>
  </x:cols>
  <x:sheetData>
    <x:row r="1" ht="34" customHeight="1">
      <x:c r="A1" s="23" t="str">
        <x:v>OP-CYB-001 · dictamen del recorrido</x:v>
      </x:c>
      <x:c r="B1" s="23"/>
      <x:c r="C1" s="23"/>
      <x:c r="D1" s="23"/>
    </x:row>
    <x:row r="2" ht="57" customHeight="1">
      <x:c r="A2" s="24" t="str">
        <x:v>09-09-2026. Q0 v0.1: nueve raíces y 31 distinciones. Inventario tratado; suficiencia operacional no acreditada.</x:v>
      </x:c>
      <x:c r="B2" s="24"/>
      <x:c r="C2" s="24"/>
      <x:c r="D2" s="24"/>
    </x:row>
    <x:row r="3">
      <x:c r="A3" s="21"/>
      <x:c r="B3" s="21"/>
      <x:c r="C3" s="21"/>
      <x:c r="D3" s="21"/>
    </x:row>
    <x:row r="4" ht="48" customHeight="1">
      <x:c r="A4" s="26" t="str">
        <x:v>Cuestión</x:v>
      </x:c>
      <x:c r="B4" s="26" t="str">
        <x:v>Resultado</x:v>
      </x:c>
      <x:c r="C4" s="26" t="str">
        <x:v>Fundamento</x:v>
      </x:c>
      <x:c r="D4" s="26" t="str">
        <x:v>Límite o siguiente responsable</x:v>
      </x:c>
    </x:row>
    <x:row r="5" ht="44" customHeight="1">
      <x:c r="A5" s="21" t="str">
        <x:v>Encargo</x:v>
      </x:c>
      <x:c r="B5" s="21" t="str">
        <x:v>Continuar hasta agotar el primer universo</x:v>
      </x:c>
      <x:c r="C5" s="21" t="str">
        <x:v>Mandato humano de 09-09-2026; continuidad sobre ffbf579094f7608ebf568ed1aa51c318cfc4ab3f</x:v>
      </x:c>
      <x:c r="D5" s="21" t="str">
        <x:v>No modifica retrospectivamente acta/manifiesto de 08-09-2026.</x:v>
      </x:c>
    </x:row>
    <x:row r="6" ht="43" customHeight="1">
      <x:c r="A6" s="21" t="str">
        <x:v>Inventario paramétrico</x:v>
      </x:c>
      <x:c r="B6" s="21" t="str">
        <x:v>15 definiciones documentales en sus perfiles</x:v>
      </x:c>
      <x:c r="C6" s="21" t="str">
        <x:v>Diez conservadas y cinco adicionales; no se fuerza un tamaño geométrico</x:v>
      </x:c>
      <x:c r="D6" s="21" t="str">
        <x:v>Cinco nuevas sujetas a adopción constitutiva humana.</x:v>
      </x:c>
    </x:row>
    <x:row r="7" ht="43" customHeight="1">
      <x:c r="A7" s="21" t="str">
        <x:v>Cobertura Q0</x:v>
      </x:c>
      <x:c r="B7" s="21" t="str">
        <x:v>31/31 distinciones tratadas en contrato</x:v>
      </x:c>
      <x:c r="C7" s="21" t="str">
        <x:v>59 conserva la correspondencia completa y las dependencias bloqueadas</x:v>
      </x:c>
      <x:c r="D7" s="21" t="str">
        <x:v>Tratada no significa satisfecha en un sistema ni puerta superada.</x:v>
      </x:c>
    </x:row>
    <x:row r="8" ht="44" customHeight="1">
      <x:c r="A8" s="21" t="str">
        <x:v>Conocimiento enlazado</x:v>
      </x:c>
      <x:c r="B8" s="21" t="str">
        <x:v>Estado activo, persistencia, generaciones, requisitos y cambios separados</x:v>
      </x:c>
      <x:c r="C8" s="21" t="str">
        <x:v>Las hojas 60 y 61 contienen catorce controles y dieciséis relaciones del consejo</x:v>
      </x:c>
      <x:c r="D8" s="21" t="str">
        <x:v>Fuentes generales no son observaciones del episodio.</x:v>
      </x:c>
    </x:row>
    <x:row r="9" ht="43" customHeight="1">
      <x:c r="A9" s="21" t="str">
        <x:v>G6 y propiedad</x:v>
      </x:c>
      <x:c r="B9" s="21" t="str">
        <x:v>NO ACREDITADA</x:v>
      </x:c>
      <x:c r="C9" s="21" t="str">
        <x:v>Recuento de definiciones no determina los sujetos ni la geometría de sus estados</x:v>
      </x:c>
      <x:c r="D9" s="21" t="str">
        <x:v>No hay células, rutas SV ni Frames CYB constituidos. D-CYB-02.</x:v>
      </x:c>
    </x:row>
    <x:row r="10" ht="43" customHeight="1">
      <x:c r="A10" s="21" t="str">
        <x:v>Contraste nativo</x:v>
      </x:c>
      <x:c r="B10" s="21" t="str">
        <x:v>Transporte nominal y unicidad contrastados</x:v>
      </x:c>
      <x:c r="C10" s="21" t="str">
        <x:v>Tres casos, dos ejecuciones cada uno; E115 en mapping repetido</x:v>
      </x:c>
      <x:c r="D10" s="21" t="str">
        <x:v>Totalidad no alcanzada sin asociación; no ejecuta Q0.</x:v>
      </x:c>
    </x:row>
    <x:row r="11" ht="43" customHeight="1">
      <x:c r="A11" s="21" t="str">
        <x:v>Ensayos documentales</x:v>
      </x:c>
      <x:c r="B11" s="21" t="str">
        <x:v>65 casos de cinco candidatos y 51 controles</x:v>
      </x:c>
      <x:c r="C11" s="21" t="str">
        <x:v>Oráculos previos, cinco ablaciones y tres mutantes de sensibilidad detectados</x:v>
      </x:c>
      <x:c r="D11" s="21" t="str">
        <x:v>No Windows real, reinicios, despliegues ni vulnerabilidad material.</x:v>
      </x:c>
    </x:row>
    <x:row r="12" ht="44" customHeight="1">
      <x:c r="A12" s="21" t="str">
        <x:v>Autoridad</x:v>
      </x:c>
      <x:c r="B12" s="21" t="str">
        <x:v>IA consejera; experto destinatario y permisos concretos diferenciados</x:v>
      </x:c>
      <x:c r="C12" s="21" t="str">
        <x:v>C11 y C14; nuevas reglas antes de adopción por Dirección</x:v>
      </x:c>
      <x:c r="D12" s="21" t="str">
        <x:v>No firma humana inventada ni actualización automática de conocimiento.</x:v>
      </x:c>
    </x:row>
    <x:row r="13" ht="43" customHeight="1">
      <x:c r="A13" s="21" t="str">
        <x:v>Conclusión</x:v>
      </x:c>
      <x:c r="B13" s="21" t="str">
        <x:v>TERMINACIÓN DOCUMENTAL CON INSUFICIENCIAS ATRIBUIDAS</x:v>
      </x:c>
      <x:c r="C13" s="21" t="str">
        <x:v>El inventario de este corte no mantiene candidatos sin estatuto</x:v>
      </x:c>
      <x:c r="D13" s="21" t="str">
        <x:v>No se declara universo operacional agotado ni fila 8 superada.</x:v>
      </x:c>
    </x:row>
    <x:row r="14" ht="43" customHeight="1">
      <x:c r="A14" s="21" t="str">
        <x:v>Continuación necesaria</x:v>
      </x:c>
      <x:c r="B14" s="21" t="str">
        <x:v>Resolver D-CYB-01/02 en CYB y D-CYB-03 con Lenguaje</x:v>
      </x:c>
      <x:c r="C14" s="21" t="str">
        <x:v>Contrato y deuda preparados en el paquete único</x:v>
      </x:c>
      <x:c r="D14" s="21" t="str">
        <x:v>No se abre otro universo. La finitud no elimina dependencias indispensables.</x:v>
      </x:c>
    </x:row>
    <x:row r="15" ht="44" customHeight="1">
      <x:c r="A15" s="21" t="str">
        <x:v>Catálogo principal</x:v>
      </x:c>
      <x:c r="B15" s="21" t="str">
        <x:v>Excel v0.6; v0.5 histórico íntegro salvo portada de navegación</x:v>
      </x:c>
      <x:c r="C15" s="21" t="str">
        <x:v>57–65 contienen el corte actual; hojas anteriores conservan fechas y estados históricos</x:v>
      </x:c>
      <x:c r="D15" s="21" t="str">
        <x:v>El dominio internacional sigue abierto; no se emite proyección final del catálogo.</x:v>
      </x:c>
    </x:row>
  </x:sheetData>
  <x:mergeCells>
    <x:mergeCell ref="A1:D1"/>
    <x:mergeCell ref="A2:D2"/>
  </x:mergeCells>
  <x:pageMargins left="0.7" right="0.7" top="0.75" bottom="0.75" header="0.3" footer="0.3"/>
  <x:tableParts count="1">
    <x:tablePart xmlns:r="http://schemas.openxmlformats.org/officeDocument/2006/relationships" r:id="R9ae9440fa5194950"/>
  </x:tableParts>
</x:worksheet>
</file>

<file path=xl/worksheets/sheet5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3" hidden="0" customWidth="1"/>
    <x:col min="3" max="3" width="49" hidden="0" customWidth="1"/>
    <x:col min="4" max="4" width="22" hidden="0" customWidth="1"/>
    <x:col min="5" max="5" width="104" hidden="0" customWidth="1"/>
    <x:col min="6" max="6" width="57" hidden="0" customWidth="1"/>
    <x:col min="7" max="7" width="60" hidden="0" customWidth="1"/>
    <x:col min="8" max="8" width="94" hidden="0" customWidth="1"/>
  </x:cols>
  <x:sheetData>
    <x:row r="1" ht="34" customHeight="1">
      <x:c r="A1" s="23" t="str">
        <x:v>QUINCE DEFINICIONES · identidad y estatuto</x:v>
      </x:c>
      <x:c r="B1" s="23"/>
      <x:c r="C1" s="23"/>
      <x:c r="D1" s="23"/>
      <x:c r="E1" s="23"/>
      <x:c r="F1" s="23"/>
      <x:c r="G1" s="23"/>
      <x:c r="H1" s="23"/>
    </x:row>
    <x:row r="2" ht="57" customHeight="1">
      <x:c r="A2" s="24" t="str">
        <x:v>Una definición no es automáticamente una posición matricial. Sujetos simultáneos independientes no comparten un valor.</x:v>
      </x:c>
      <x:c r="B2" s="24"/>
      <x:c r="C2" s="24"/>
      <x:c r="D2" s="24"/>
      <x:c r="E2" s="24"/>
      <x:c r="F2" s="24"/>
      <x:c r="G2" s="24"/>
      <x:c r="H2" s="24"/>
    </x:row>
    <x:row r="3">
      <x:c r="A3" s="21"/>
      <x:c r="B3" s="21"/>
      <x:c r="C3" s="21"/>
      <x:c r="D3" s="21"/>
      <x:c r="E3" s="21"/>
      <x:c r="F3" s="21"/>
      <x:c r="G3" s="21"/>
      <x:c r="H3" s="21"/>
    </x:row>
    <x:row r="4" ht="48" customHeight="1">
      <x:c r="A4" s="26" t="str">
        <x:v>Alias</x:v>
      </x:c>
      <x:c r="B4" s="26" t="str">
        <x:v>Identidad canónica</x:v>
      </x:c>
      <x:c r="C4" s="26" t="str">
        <x:v>Nombre</x:v>
      </x:c>
      <x:c r="D4" s="26" t="str">
        <x:v>Q0</x:v>
      </x:c>
      <x:c r="E4" s="26" t="str">
        <x:v>Proposición única</x:v>
      </x:c>
      <x:c r="F4" s="26" t="str">
        <x:v>Estatuto vigente</x:v>
      </x:c>
      <x:c r="G4" s="26" t="str">
        <x:v>Perfil / contrato</x:v>
      </x:c>
      <x:c r="H4" s="26" t="str">
        <x:v>Límite</x:v>
      </x:c>
    </x:row>
    <x:row r="5" ht="44" customHeight="1">
      <x:c r="A5" s="21" t="str">
        <x:v>P01</x:v>
      </x:c>
      <x:c r="B5" s="21" t="str">
        <x:v>PAR-CYB-REINICIO-SISTEMA-REQUERIDO-001</x:v>
      </x:c>
      <x:c r="C5" s="21" t="str">
        <x:v>Reinicio del sistema requerido</x:v>
      </x:c>
      <x:c r="D5" s="21" t="str">
        <x:v>QCY-04-D1</x:v>
      </x:c>
      <x:c r="E5" s="21" t="str">
        <x:v>Al terminar la instalación individual identificada, era necesario reiniciar el sistema anfitrión para completarla.</x:v>
      </x:c>
      <x:c r="F5" s="21" t="str">
        <x:v>ADOPTADO P01 / CONFORMIDAD GENERAL LOTE P02–P10</x:v>
      </x:c>
      <x:c r="G5" s="21" t="str">
        <x:v>Perfil y contrato conservados en 36–55.</x:v>
      </x:c>
      <x:c r="H5" s="21" t="str">
        <x:v>No se reescribe el estatuto histórico de la entrega anterior.</x:v>
      </x:c>
    </x:row>
    <x:row r="6" ht="44" customHeight="1">
      <x:c r="A6" s="21" t="str">
        <x:v>P02</x:v>
      </x:c>
      <x:c r="B6" s="21" t="str">
        <x:v>PAR-CYB-INSTALACION-EXITO-COMUNICADO-001</x:v>
      </x:c>
      <x:c r="C6" s="21" t="str">
        <x:v>Éxito comunicado de instalación</x:v>
      </x:c>
      <x:c r="D6" s="21" t="str">
        <x:v>QCY-03-D2</x:v>
      </x:c>
      <x:c r="E6" s="21" t="str">
        <x:v>La operación individual de instalación identificada comunicó terminación satisfactoria sin el calificador de errores del emisor.</x:v>
      </x:c>
      <x:c r="F6" s="21" t="str">
        <x:v>ADOPTADO P01 / CONFORMIDAD GENERAL LOTE P02–P10</x:v>
      </x:c>
      <x:c r="G6" s="21" t="str">
        <x:v>Perfil y contrato conservados en 36–55.</x:v>
      </x:c>
      <x:c r="H6" s="21" t="str">
        <x:v>No se reescribe el estatuto histórico de la entrega anterior.</x:v>
      </x:c>
    </x:row>
    <x:row r="7" ht="44" customHeight="1">
      <x:c r="A7" s="21" t="str">
        <x:v>P03</x:v>
      </x:c>
      <x:c r="B7" s="21" t="str">
        <x:v>PAR-CYB-REINICIO-SISTEMA-REALIZADO-001</x:v>
      </x:c>
      <x:c r="C7" s="21" t="str">
        <x:v>Reinicio completo realizado</x:v>
      </x:c>
      <x:c r="D7" s="21" t="str">
        <x:v>QCY-04-D2</x:v>
      </x:c>
      <x:c r="E7" s="21" t="str">
        <x:v>Se completó al menos un reinicio íntegro del sistema anfitrión después del resultado de instalación y no después del corte.</x:v>
      </x:c>
      <x:c r="F7" s="21" t="str">
        <x:v>ADOPTADO P01 / CONFORMIDAD GENERAL LOTE P02–P10</x:v>
      </x:c>
      <x:c r="G7" s="21" t="str">
        <x:v>Perfil y contrato conservados en 36–55.</x:v>
      </x:c>
      <x:c r="H7" s="21" t="str">
        <x:v>No se reescribe el estatuto histórico de la entrega anterior.</x:v>
      </x:c>
    </x:row>
    <x:row r="8" ht="44" customHeight="1">
      <x:c r="A8" s="21" t="str">
        <x:v>P04</x:v>
      </x:c>
      <x:c r="B8" s="21" t="str">
        <x:v>PAR-CYB-REINICIO-SOFTWARE-REQUERIDO-001</x:v>
      </x:c>
      <x:c r="C8" s="21" t="str">
        <x:v>Reinicio de software requerido</x:v>
      </x:c>
      <x:c r="D8" s="21" t="str">
        <x:v>QCY-04-D3</x:v>
      </x:c>
      <x:c r="E8" s="21" t="str">
        <x:v>La instrucción específica admitida para completar esta instalación exigía reiniciar el software identificado.</x:v>
      </x:c>
      <x:c r="F8" s="21" t="str">
        <x:v>ADOPTADO P01 / CONFORMIDAD GENERAL LOTE P02–P10</x:v>
      </x:c>
      <x:c r="G8" s="21" t="str">
        <x:v>Perfil y contrato conservados en 36–55.</x:v>
      </x:c>
      <x:c r="H8" s="21" t="str">
        <x:v>No se reescribe el estatuto histórico de la entrega anterior.</x:v>
      </x:c>
    </x:row>
    <x:row r="9" ht="44" customHeight="1">
      <x:c r="A9" s="21" t="str">
        <x:v>P05</x:v>
      </x:c>
      <x:c r="B9" s="21" t="str">
        <x:v>PAR-CYB-GENERACION-PROCESO-TERMINADA-001</x:v>
      </x:c>
      <x:c r="C9" s="21" t="str">
        <x:v>Generación previa de proceso terminada</x:v>
      </x:c>
      <x:c r="D9" s="21" t="str">
        <x:v>QCY-04-D4</x:v>
      </x:c>
      <x:c r="E9" s="21" t="str">
        <x:v>Terminó la ejecución de la generación de proceso identificada después del ancla de instalación y no después del corte.</x:v>
      </x:c>
      <x:c r="F9" s="21" t="str">
        <x:v>ADOPTADO P01 / CONFORMIDAD GENERAL LOTE P02–P10</x:v>
      </x:c>
      <x:c r="G9" s="21" t="str">
        <x:v>Perfil y contrato conservados en 36–55.</x:v>
      </x:c>
      <x:c r="H9" s="21" t="str">
        <x:v>No se reescribe el estatuto histórico de la entrega anterior.</x:v>
      </x:c>
    </x:row>
    <x:row r="10" ht="44" customHeight="1">
      <x:c r="A10" s="21" t="str">
        <x:v>P06</x:v>
      </x:c>
      <x:c r="B10" s="21" t="str">
        <x:v>PAR-CYB-IMAGEN-OBJETIVO-ACTIVA-001</x:v>
      </x:c>
      <x:c r="C10" s="21" t="str">
        <x:v>Imagen objetivo activa</x:v>
      </x:c>
      <x:c r="D10" s="21" t="str">
        <x:v>QCY-05-D2</x:v>
      </x:c>
      <x:c r="E10" s="21" t="str">
        <x:v>La imagen del componente cargada en la instancia evaluada al corte coincide con la imagen objetivo previamente fijada.</x:v>
      </x:c>
      <x:c r="F10" s="21" t="str">
        <x:v>ADOPTADO P01 / CONFORMIDAD GENERAL LOTE P02–P10</x:v>
      </x:c>
      <x:c r="G10" s="21" t="str">
        <x:v>Perfil y contrato conservados en 36–55.</x:v>
      </x:c>
      <x:c r="H10" s="21" t="str">
        <x:v>No se reescribe el estatuto histórico de la entrega anterior.</x:v>
      </x:c>
    </x:row>
    <x:row r="11" ht="44" customHeight="1">
      <x:c r="A11" s="21" t="str">
        <x:v>P07</x:v>
      </x:c>
      <x:c r="B11" s="21" t="str">
        <x:v>PAR-CYB-COMPROBACION-POSITIVA-001</x:v>
      </x:c>
      <x:c r="C11" s="21" t="str">
        <x:v>Resultado positivo de comprobación</x:v>
      </x:c>
      <x:c r="D11" s="21" t="str">
        <x:v>QCY-05-D3</x:v>
      </x:c>
      <x:c r="E11" s="21" t="str">
        <x:v>La comprobación individual identificada satisfizo el único criterio de aceptación previamente fijado para ella.</x:v>
      </x:c>
      <x:c r="F11" s="21" t="str">
        <x:v>ADOPTADO P01 / CONFORMIDAD GENERAL LOTE P02–P10</x:v>
      </x:c>
      <x:c r="G11" s="21" t="str">
        <x:v>Perfil y contrato conservados en 36–55.</x:v>
      </x:c>
      <x:c r="H11" s="21" t="str">
        <x:v>No se reescribe el estatuto histórico de la entrega anterior.</x:v>
      </x:c>
    </x:row>
    <x:row r="12" ht="44" customHeight="1">
      <x:c r="A12" s="21" t="str">
        <x:v>P08</x:v>
      </x:c>
      <x:c r="B12" s="21" t="str">
        <x:v>PAR-CYB-RETIRADA-EXITOSA-COMUNICADA-001</x:v>
      </x:c>
      <x:c r="C12" s="21" t="str">
        <x:v>Retirada exitosa comunicada</x:v>
      </x:c>
      <x:c r="D12" s="21" t="str">
        <x:v>QCY-08-D1</x:v>
      </x:c>
      <x:c r="E12" s="21" t="str">
        <x:v>Existe después de la instalación y hasta el corte una operación de retirada de esa actualización que comunica éxito.</x:v>
      </x:c>
      <x:c r="F12" s="21" t="str">
        <x:v>ADOPTADO P01 / CONFORMIDAD GENERAL LOTE P02–P10</x:v>
      </x:c>
      <x:c r="G12" s="21" t="str">
        <x:v>Perfil y contrato conservados en 36–55.</x:v>
      </x:c>
      <x:c r="H12" s="21" t="str">
        <x:v>No se reescribe el estatuto histórico de la entrega anterior.</x:v>
      </x:c>
    </x:row>
    <x:row r="13" ht="44" customHeight="1">
      <x:c r="A13" s="21" t="str">
        <x:v>P09</x:v>
      </x:c>
      <x:c r="B13" s="21" t="str">
        <x:v>PAR-CYB-CAMBIO-COMPONENTE-POSTERIOR-001</x:v>
      </x:c>
      <x:c r="C13" s="21" t="str">
        <x:v>Cambio posterior del componente</x:v>
      </x:c>
      <x:c r="D13" s="21" t="str">
        <x:v>QCY-08-D2</x:v>
      </x:c>
      <x:c r="E13" s="21" t="str">
        <x:v>Ocurrió al menos un cambio de identidad binaria del componente desde la comprobación de referencia hasta el corte.</x:v>
      </x:c>
      <x:c r="F13" s="21" t="str">
        <x:v>ADOPTADO P01 / CONFORMIDAD GENERAL LOTE P02–P10</x:v>
      </x:c>
      <x:c r="G13" s="21" t="str">
        <x:v>Perfil y contrato conservados en 36–55.</x:v>
      </x:c>
      <x:c r="H13" s="21" t="str">
        <x:v>No se reescribe el estatuto histórico de la entrega anterior.</x:v>
      </x:c>
    </x:row>
    <x:row r="14" ht="44" customHeight="1">
      <x:c r="A14" s="21" t="str">
        <x:v>P10</x:v>
      </x:c>
      <x:c r="B14" s="21" t="str">
        <x:v>PAR-CYB-RESTAURACION-PREVIA-COMUNICADA-001</x:v>
      </x:c>
      <x:c r="C14" s="21" t="str">
        <x:v>Restauración desde estado anterior comunicada</x:v>
      </x:c>
      <x:c r="D14" s="21" t="str">
        <x:v>QCY-08-D3</x:v>
      </x:c>
      <x:c r="E14" s="21" t="str">
        <x:v>Se comunicó la terminación satisfactoria de una restauración cuyo punto de origen fue capturado antes de la instalación evaluada.</x:v>
      </x:c>
      <x:c r="F14" s="21" t="str">
        <x:v>ADOPTADO P01 / CONFORMIDAD GENERAL LOTE P02–P10</x:v>
      </x:c>
      <x:c r="G14" s="21" t="str">
        <x:v>Perfil y contrato conservados en 36–55.</x:v>
      </x:c>
      <x:c r="H14" s="21" t="str">
        <x:v>No se reescribe el estatuto histórico de la entrega anterior.</x:v>
      </x:c>
    </x:row>
    <x:row r="15" ht="59" customHeight="1">
      <x:c r="A15" s="21" t="str">
        <x:v>P11</x:v>
      </x:c>
      <x:c r="B15" s="21" t="str">
        <x:v>PAR-CYB-GENERACION-PROCESO-CREADA-001</x:v>
      </x:c>
      <x:c r="C15" s="21" t="str">
        <x:v>Generación de proceso creada después de instalar</x:v>
      </x:c>
      <x:c r="D15" s="21" t="str">
        <x:v>QCY-04-D4</x:v>
      </x:c>
      <x:c r="E15" s="21" t="str">
        <x:v>La generación identificada del proceso fue creada después del ancla de instalación y no después del corte.</x:v>
      </x:c>
      <x:c r="F15" s="21" t="str">
        <x:v>NUEVO DICTAMEN DE UNIDAD; ADOPCIÓN PENDIENTE</x:v>
      </x:c>
      <x:c r="G15" s="21" t="str">
        <x:v>CREACION-GENERACION-0.1</x:v>
      </x:c>
      <x:c r="H15" s="21" t="str">
        <x:v>Perfil Win32 documental. No confundir el éxito de CreateProcessW con inicialización. No concluye vida actual, salud, terminación de hijos ni cierre de recursos compartidos.</x:v>
      </x:c>
    </x:row>
    <x:row r="16" ht="44" customHeight="1">
      <x:c r="A16" s="21" t="str">
        <x:v>P12</x:v>
      </x:c>
      <x:c r="B16" s="21" t="str">
        <x:v>PAR-CYB-VALOR-CONFIGURACION-EFECTIVO-OBJETIVO-001</x:v>
      </x:c>
      <x:c r="C16" s="21" t="str">
        <x:v>Valor efectivo de configuración igual al objetivo</x:v>
      </x:c>
      <x:c r="D16" s="21" t="str">
        <x:v>QCY-05-D2</x:v>
      </x:c>
      <x:c r="E16" s="21" t="str">
        <x:v>El valor efectivo de una única clave de configuración en el consumidor identificado coincide con el valor objetivo previamente admitido.</x:v>
      </x:c>
      <x:c r="F16" s="21" t="str">
        <x:v>NUEVO DICTAMEN DE UNIDAD; ADOPCIÓN PENDIENTE</x:v>
      </x:c>
      <x:c r="G16" s="21" t="str">
        <x:v>CONFIGURACION-CLAVE-EFECTIVA-0.1</x:v>
      </x:c>
      <x:c r="H16" s="21" t="str">
        <x:v>El método efectivo de cada producto no se inventa. El contrato se prueba sobre observaciones sintéticas ya tipadas; captura real pendiente D-CYB-01.</x:v>
      </x:c>
    </x:row>
    <x:row r="17" ht="44" customHeight="1">
      <x:c r="A17" s="21" t="str">
        <x:v>P13</x:v>
      </x:c>
      <x:c r="B17" s="21" t="str">
        <x:v>PAR-CYB-ARTEFACTO-PERSISTENTE-OBJETIVO-001</x:v>
      </x:c>
      <x:c r="C17" s="21" t="str">
        <x:v>Artefacto persistente igual al objetivo</x:v>
      </x:c>
      <x:c r="D17" s="21" t="str">
        <x:v>QCY-05-D2</x:v>
      </x:c>
      <x:c r="E17" s="21" t="str">
        <x:v>Los bytes del artefacto binario persistente identificado coinciden con el artefacto objetivo admitido, según el método de identidad fijado.</x:v>
      </x:c>
      <x:c r="F17" s="21" t="str">
        <x:v>NUEVO DICTAMEN DE UNIDAD; ADOPCIÓN PENDIENTE</x:v>
      </x:c>
      <x:c r="G17" s="21" t="str">
        <x:v>IDENTIDAD-ARTEFACTO-PERSISTENTE-0.1</x:v>
      </x:c>
      <x:c r="H17" s="21" t="str">
        <x:v>Perfil de fichero binario completo. No extiende una lectura de fichero a firmware activo, cachés, JIT o memoria. Comparación con hash de memoria cruda no autorizada.</x:v>
      </x:c>
    </x:row>
    <x:row r="18" ht="44" customHeight="1">
      <x:c r="A18" s="21" t="str">
        <x:v>P14</x:v>
      </x:c>
      <x:c r="B18" s="21" t="str">
        <x:v>PAR-CYB-CAMBIO-CONFIGURACION-POSTERIOR-001</x:v>
      </x:c>
      <x:c r="C18" s="21" t="str">
        <x:v>Cambio posterior de un valor de configuración</x:v>
      </x:c>
      <x:c r="D18" s="21" t="str">
        <x:v>QCY-08-D2</x:v>
      </x:c>
      <x:c r="E18" s="21" t="str">
        <x:v>Se produjo al menos una transición del valor de la clave de configuración identificada entre la comprobación de referencia y el corte.</x:v>
      </x:c>
      <x:c r="F18" s="21" t="str">
        <x:v>NUEVO DICTAMEN DE UNIDAD; ADOPCIÓN PENDIENTE</x:v>
      </x:c>
      <x:c r="G18" s="21" t="str">
        <x:v>HISTORIA-CLAVE-CONFIGURACION-0.1</x:v>
      </x:c>
      <x:c r="H18" s="21" t="str">
        <x:v>No deduce transición de dos extremos iguales. No presupone que toda restauración cambie esa clave. Captura continua completa no acreditada en sistemas reales.</x:v>
      </x:c>
    </x:row>
    <x:row r="19" ht="44" customHeight="1">
      <x:c r="A19" s="21" t="str">
        <x:v>P15</x:v>
      </x:c>
      <x:c r="B19" s="21" t="str">
        <x:v>PAR-CYB-OTRO-CAMBIO-UNITARIO-REQUERIDO-001</x:v>
      </x:c>
      <x:c r="C19" s="21" t="str">
        <x:v>Otro cambio unitario requerido para completar</x:v>
      </x:c>
      <x:c r="D19" s="21" t="str">
        <x:v>QCY-04-D3</x:v>
      </x:c>
      <x:c r="E19" s="21" t="str">
        <x:v>La regla específica admitida exige el cambio unitario identificado para completar esta instalación en su contexto aplicable.</x:v>
      </x:c>
      <x:c r="F19" s="21" t="str">
        <x:v>NUEVO DICTAMEN DE UNIDAD; ADOPCIÓN PENDIENTE</x:v>
      </x:c>
      <x:c r="G19" s="21" t="str">
        <x:v>REQUISITO-CAMBIO-UNITARIO-0.1</x:v>
      </x:c>
      <x:c r="H19" s="21" t="str">
        <x:v>No convierte un verbo genérico en átomo de ejecución. P15 sólo requisito; el cumplimiento se reconstruye con testigos de estado y P07 para cada criterio unitario.</x:v>
      </x:c>
    </x:row>
  </x:sheetData>
  <x:mergeCells>
    <x:mergeCell ref="A1:D1"/>
    <x:mergeCell ref="A2:F2"/>
  </x:mergeCells>
  <x:pageMargins left="0.7" right="0.7" top="0.75" bottom="0.75" header="0.3" footer="0.3"/>
  <x:tableParts count="1">
    <x:tablePart xmlns:r="http://schemas.openxmlformats.org/officeDocument/2006/relationships" r:id="Rde7b519aafa74366"/>
  </x:tableParts>
</x:worksheet>
</file>

<file path=xl/worksheets/sheet5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6" hidden="0" customWidth="1"/>
    <x:col min="3" max="3" width="27" hidden="0" customWidth="1"/>
    <x:col min="4" max="4" width="153" hidden="0" customWidth="1"/>
  </x:cols>
  <x:sheetData>
    <x:row r="1" ht="34" customHeight="1">
      <x:c r="A1" s="23" t="str">
        <x:v>CINCO CONTRATOS · observables y atomicidad</x:v>
      </x:c>
      <x:c r="B1" s="23"/>
      <x:c r="C1" s="23"/>
      <x:c r="D1" s="23"/>
    </x:row>
    <x:row r="2" ht="57" customHeight="1">
      <x:c r="A2" s="24" t="str">
        <x:v>Las consecuencias preceden al dictamen. El perfil de lectura se distingue de su ejecución real.</x:v>
      </x:c>
      <x:c r="B2" s="24"/>
      <x:c r="C2" s="24"/>
      <x:c r="D2" s="24"/>
    </x:row>
    <x:row r="3">
      <x:c r="A3" s="21"/>
      <x:c r="B3" s="21"/>
      <x:c r="C3" s="21"/>
      <x:c r="D3" s="21"/>
    </x:row>
    <x:row r="4" ht="48" customHeight="1">
      <x:c r="A4" s="26" t="str">
        <x:v>Alias</x:v>
      </x:c>
      <x:c r="B4" s="26" t="str">
        <x:v>Identidad</x:v>
      </x:c>
      <x:c r="C4" s="26" t="str">
        <x:v>Componente contractual</x:v>
      </x:c>
      <x:c r="D4" s="26" t="str">
        <x:v>Contenido</x:v>
      </x:c>
    </x:row>
    <x:row r="5" ht="43" customHeight="1">
      <x:c r="A5" s="21" t="str">
        <x:v>P11</x:v>
      </x:c>
      <x:c r="B5" s="21" t="str">
        <x:v>PAR-CYB-GENERACION-PROCESO-CREADA-001</x:v>
      </x:c>
      <x:c r="C5" s="21" t="str">
        <x:v>predicado</x:v>
      </x:c>
      <x:c r="D5" s="21" t="str">
        <x:v>La generación identificada del proceso fue creada después del ancla de instalación y no después del corte.</x:v>
      </x:c>
    </x:row>
    <x:row r="6" ht="43" customHeight="1">
      <x:c r="A6" s="21" t="str">
        <x:v>P11</x:v>
      </x:c>
      <x:c r="B6" s="21" t="str">
        <x:v>PAR-CYB-GENERACION-PROCESO-CREADA-001</x:v>
      </x:c>
      <x:c r="C6" s="21" t="str">
        <x:v>perfil</x:v>
      </x:c>
      <x:c r="D6" s="21" t="str">
        <x:v>CREACION-GENERACION-0.1</x:v>
      </x:c>
    </x:row>
    <x:row r="7" ht="44" customHeight="1">
      <x:c r="A7" s="21" t="str">
        <x:v>P11</x:v>
      </x:c>
      <x:c r="B7" s="21" t="str">
        <x:v>PAR-CYB-GENERACION-PROCESO-CREADA-001</x:v>
      </x:c>
      <x:c r="C7" s="21" t="str">
        <x:v>observables</x:v>
      </x:c>
      <x:c r="D7" s="21" t="str">
        <x:v>Activo, PID y tiempo de creación exacto, época de arranque si procede, ancla, corte y orden temporal acreditado; registro de creación o prueba explícita de creación fuera del intervalo.</x:v>
      </x:c>
    </x:row>
    <x:row r="8" ht="44" customHeight="1">
      <x:c r="A8" s="21" t="str">
        <x:v>P11</x:v>
      </x:c>
      <x:c r="B8" s="21" t="str">
        <x:v>PAR-CYB-GENERACION-PROCESO-CREADA-001</x:v>
      </x:c>
      <x:c r="C8" s="21" t="str">
        <x:v>regla</x:v>
      </x:c>
      <x:c r="D8" s="21" t="str">
        <x:v>Creación en (ancla,corte] → 1. Creación acreditada anterior o igual al ancla → 0. Sin observación concluyente → U. Un instante posterior al corte es evidencia ajena al corte, no un 0.</x:v>
      </x:c>
    </x:row>
    <x:row r="9" ht="43" customHeight="1">
      <x:c r="A9" s="21" t="str">
        <x:v>P11</x:v>
      </x:c>
      <x:c r="B9" s="21" t="str">
        <x:v>PAR-CYB-GENERACION-PROCESO-CREADA-001</x:v>
      </x:c>
      <x:c r="C9" s="21" t="str">
        <x:v>causas_u</x:v>
      </x:c>
      <x:c r="D9" s="21" t="str">
        <x:v>U_CREACION_NO_OBSERVADA; U_ORDEN_TEMPORAL; U_CONFLICTO. PID sin generación no se admite. Un error del capturador no produce Tri.</x:v>
      </x:c>
    </x:row>
    <x:row r="10" ht="44" customHeight="1">
      <x:c r="A10" s="21" t="str">
        <x:v>P11</x:v>
      </x:c>
      <x:c r="B10" s="21" t="str">
        <x:v>PAR-CYB-GENERACION-PROCESO-CREADA-001</x:v>
      </x:c>
      <x:c r="C10" s="21" t="str">
        <x:v>consecuencia</x:v>
      </x:c>
      <x:c r="D10" s="21" t="str">
        <x:v>C11: P05=1 no prueba que exista sustituto. Omitir creación puede hacer aconsejar cerrar cuando sólo se detuvo el proceso anterior, con servicio todavía ausente si dependía del sustituto.</x:v>
      </x:c>
    </x:row>
    <x:row r="11" ht="44" customHeight="1">
      <x:c r="A11" s="21" t="str">
        <x:v>P11</x:v>
      </x:c>
      <x:c r="B11" s="21" t="str">
        <x:v>PAR-CYB-GENERACION-PROCESO-CREADA-001</x:v>
      </x:c>
      <x:c r="C11" s="21" t="str">
        <x:v>exceso</x:v>
      </x:c>
      <x:c r="D11" s="21" t="str">
        <x:v>No exige reiniciar de nuevo una generación ya creada. Creación no acredita inicialización ni servicio útil: P07 se usa con criterio de disponibilidad separado.</x:v>
      </x:c>
    </x:row>
    <x:row r="12" ht="44" customHeight="1">
      <x:c r="A12" s="21" t="str">
        <x:v>P11</x:v>
      </x:c>
      <x:c r="B12" s="21" t="str">
        <x:v>PAR-CYB-GENERACION-PROCESO-CREADA-001</x:v>
      </x:c>
      <x:c r="C12" s="21" t="str">
        <x:v>independencia</x:v>
      </x:c>
      <x:c r="D12" s="21" t="str">
        <x:v>P05=1 tanto con sustituto creado como sin él. P11=1 puede coexistir con fallo de inicialización. P06 distingue imagen de la generación y no fecha de creación.</x:v>
      </x:c>
    </x:row>
    <x:row r="13" ht="43" customHeight="1">
      <x:c r="A13" s="21" t="str">
        <x:v>P11</x:v>
      </x:c>
      <x:c r="B13" s="21" t="str">
        <x:v>PAR-CYB-GENERACION-PROCESO-CREADA-001</x:v>
      </x:c>
      <x:c r="C13" s="21" t="str">
        <x:v>particion</x:v>
      </x:c>
      <x:c r="D13" s="21" t="str">
        <x:v>PID/tiempo son identidad y orden, no dos estados profesionales. Creado, inicializado y útil sí se separan; sólo creado pertenece a P11.</x:v>
      </x:c>
    </x:row>
    <x:row r="14" ht="43" customHeight="1">
      <x:c r="A14" s="21" t="str">
        <x:v>P11</x:v>
      </x:c>
      <x:c r="B14" s="21" t="str">
        <x:v>PAR-CYB-GENERACION-PROCESO-CREADA-001</x:v>
      </x:c>
      <x:c r="C14" s="21" t="str">
        <x:v>fuentes</x:v>
      </x:c>
      <x:c r="D14" s="21" t="str">
        <x:v>R025 IV.4; T014 introducción/Members; T015 Return value; T016 procesos hijos</x:v>
      </x:c>
    </x:row>
    <x:row r="15" ht="44" customHeight="1">
      <x:c r="A15" s="21" t="str">
        <x:v>P11</x:v>
      </x:c>
      <x:c r="B15" s="21" t="str">
        <x:v>PAR-CYB-GENERACION-PROCESO-CREADA-001</x:v>
      </x:c>
      <x:c r="C15" s="21" t="str">
        <x:v>limite</x:v>
      </x:c>
      <x:c r="D15" s="21" t="str">
        <x:v>Perfil Win32 documental. No confundir el éxito de CreateProcessW con inicialización. No concluye vida actual, salud, terminación de hijos ni cierre de recursos compartidos.</x:v>
      </x:c>
    </x:row>
    <x:row r="16" ht="43" customHeight="1">
      <x:c r="A16" s="21" t="str">
        <x:v>P12</x:v>
      </x:c>
      <x:c r="B16" s="21" t="str">
        <x:v>PAR-CYB-VALOR-CONFIGURACION-EFECTIVO-OBJETIVO-001</x:v>
      </x:c>
      <x:c r="C16" s="21" t="str">
        <x:v>predicado</x:v>
      </x:c>
      <x:c r="D16" s="21" t="str">
        <x:v>El valor efectivo de una única clave de configuración en el consumidor identificado coincide con el valor objetivo previamente admitido.</x:v>
      </x:c>
    </x:row>
    <x:row r="17" ht="43" customHeight="1">
      <x:c r="A17" s="21" t="str">
        <x:v>P12</x:v>
      </x:c>
      <x:c r="B17" s="21" t="str">
        <x:v>PAR-CYB-VALOR-CONFIGURACION-EFECTIVO-OBJETIVO-001</x:v>
      </x:c>
      <x:c r="C17" s="21" t="str">
        <x:v>perfil</x:v>
      </x:c>
      <x:c r="D17" s="21" t="str">
        <x:v>CONFIGURACION-CLAVE-EFECTIVA-0.1</x:v>
      </x:c>
    </x:row>
    <x:row r="18" ht="44" customHeight="1">
      <x:c r="A18" s="21" t="str">
        <x:v>P12</x:v>
      </x:c>
      <x:c r="B18" s="21" t="str">
        <x:v>PAR-CYB-VALOR-CONFIGURACION-EFECTIVO-OBJETIVO-001</x:v>
      </x:c>
      <x:c r="C18" s="21" t="str">
        <x:v>observables</x:v>
      </x:c>
      <x:c r="D18" s="21" t="str">
        <x:v>Consumidor/generación, clave, tipo, valor efectivo al corte, objetivo, método de lectura y equivalencia tipada admitidos; valor persistido conservado separadamente.</x:v>
      </x:c>
    </x:row>
    <x:row r="19" ht="44" customHeight="1">
      <x:c r="A19" s="21" t="str">
        <x:v>P12</x:v>
      </x:c>
      <x:c r="B19" s="21" t="str">
        <x:v>PAR-CYB-VALOR-CONFIGURACION-EFECTIVO-OBJETIVO-001</x:v>
      </x:c>
      <x:c r="C19" s="21" t="str">
        <x:v>regla</x:v>
      </x:c>
      <x:c r="D19" s="21" t="str">
        <x:v>Mismo tipo y valor efectivo igual al objetivo → 1; mismo tipo y valor diferente → 0; lectura efectiva desconocida o contradictoria → U. La inexistencia es un valor sólo cuando el esquema la define explícitamente.</x:v>
      </x:c>
    </x:row>
    <x:row r="20" ht="44" customHeight="1">
      <x:c r="A20" s="21" t="str">
        <x:v>P12</x:v>
      </x:c>
      <x:c r="B20" s="21" t="str">
        <x:v>PAR-CYB-VALOR-CONFIGURACION-EFECTIVO-OBJETIVO-001</x:v>
      </x:c>
      <x:c r="C20" s="21" t="str">
        <x:v>causas_u</x:v>
      </x:c>
      <x:c r="D20" s="21" t="str">
        <x:v>U_VALOR_EFECTIVO; U_CONFLICTO; U_CORTE. Método o equivalencia no fijados: configuración pendiente. Valor del fichero de configuración no basta.</x:v>
      </x:c>
    </x:row>
    <x:row r="21" ht="44" customHeight="1">
      <x:c r="A21" s="21" t="str">
        <x:v>P12</x:v>
      </x:c>
      <x:c r="B21" s="21" t="str">
        <x:v>PAR-CYB-VALOR-CONFIGURACION-EFECTIVO-OBJETIVO-001</x:v>
      </x:c>
      <x:c r="C21" s="21" t="str">
        <x:v>consecuencia</x:v>
      </x:c>
      <x:c r="D21" s="21" t="str">
        <x:v>C12: binario actualizado y configuración guardada pueden coexistir con consumidor que conserva el valor anterior. Omitir carga efectiva permite atribuir efecto corrector no comprobado.</x:v>
      </x:c>
    </x:row>
    <x:row r="22" ht="44" customHeight="1">
      <x:c r="A22" s="21" t="str">
        <x:v>P12</x:v>
      </x:c>
      <x:c r="B22" s="21" t="str">
        <x:v>PAR-CYB-VALOR-CONFIGURACION-EFECTIVO-OBJETIVO-001</x:v>
      </x:c>
      <x:c r="C22" s="21" t="str">
        <x:v>exceso</x:v>
      </x:c>
      <x:c r="D22" s="21" t="str">
        <x:v>Un valor diferente puede ser otra configuración admitida: 0 no prueba vulnerabilidad. No se fuerza una clave que no exige la regla aplicable.</x:v>
      </x:c>
    </x:row>
    <x:row r="23" ht="44" customHeight="1">
      <x:c r="A23" s="21" t="str">
        <x:v>P12</x:v>
      </x:c>
      <x:c r="B23" s="21" t="str">
        <x:v>PAR-CYB-VALOR-CONFIGURACION-EFECTIVO-OBJETIVO-001</x:v>
      </x:c>
      <x:c r="C23" s="21" t="str">
        <x:v>independencia</x:v>
      </x:c>
      <x:c r="D23" s="21" t="str">
        <x:v>Misma imagen P06=1 con valores efectivos distintos; mismo fichero guardado con lectura efectiva antigua o nueva; P07 es resultado comunicado de prueba, no este valor.</x:v>
      </x:c>
    </x:row>
    <x:row r="24" ht="44" customHeight="1">
      <x:c r="A24" s="21" t="str">
        <x:v>P12</x:v>
      </x:c>
      <x:c r="B24" s="21" t="str">
        <x:v>PAR-CYB-VALOR-CONFIGURACION-EFECTIVO-OBJETIVO-001</x:v>
      </x:c>
      <x:c r="C24" s="21" t="str">
        <x:v>particion</x:v>
      </x:c>
      <x:c r="D24" s="21" t="str">
        <x:v>Una clave escalar y un consumidor. Un objeto con varias claves independientes se rechaza como compuesto; sus campos no se empaquetan para obtener un átomo.</x:v>
      </x:c>
    </x:row>
    <x:row r="25" ht="43" customHeight="1">
      <x:c r="A25" s="21" t="str">
        <x:v>P12</x:v>
      </x:c>
      <x:c r="B25" s="21" t="str">
        <x:v>PAR-CYB-VALOR-CONFIGURACION-EFECTIVO-OBJETIVO-001</x:v>
      </x:c>
      <x:c r="C25" s="21" t="str">
        <x:v>fuentes</x:v>
      </x:c>
      <x:c r="D25" s="21" t="str">
        <x:v>R025 IV.2/4/5; T001 §2.2 y §2.3.2; F018 §3.4</x:v>
      </x:c>
    </x:row>
    <x:row r="26" ht="44" customHeight="1">
      <x:c r="A26" s="21" t="str">
        <x:v>P12</x:v>
      </x:c>
      <x:c r="B26" s="21" t="str">
        <x:v>PAR-CYB-VALOR-CONFIGURACION-EFECTIVO-OBJETIVO-001</x:v>
      </x:c>
      <x:c r="C26" s="21" t="str">
        <x:v>limite</x:v>
      </x:c>
      <x:c r="D26" s="21" t="str">
        <x:v>El método efectivo de cada producto no se inventa. El contrato se prueba sobre observaciones sintéticas ya tipadas; captura real pendiente D-CYB-01.</x:v>
      </x:c>
    </x:row>
    <x:row r="27" ht="44" customHeight="1">
      <x:c r="A27" s="21" t="str">
        <x:v>P13</x:v>
      </x:c>
      <x:c r="B27" s="21" t="str">
        <x:v>PAR-CYB-ARTEFACTO-PERSISTENTE-OBJETIVO-001</x:v>
      </x:c>
      <x:c r="C27" s="21" t="str">
        <x:v>predicado</x:v>
      </x:c>
      <x:c r="D27" s="21" t="str">
        <x:v>Los bytes del artefacto binario persistente identificado coinciden con el artefacto objetivo admitido, según el método de identidad fijado.</x:v>
      </x:c>
    </x:row>
    <x:row r="28" ht="43" customHeight="1">
      <x:c r="A28" s="21" t="str">
        <x:v>P13</x:v>
      </x:c>
      <x:c r="B28" s="21" t="str">
        <x:v>PAR-CYB-ARTEFACTO-PERSISTENTE-OBJETIVO-001</x:v>
      </x:c>
      <x:c r="C28" s="21" t="str">
        <x:v>perfil</x:v>
      </x:c>
      <x:c r="D28" s="21" t="str">
        <x:v>IDENTIDAD-ARTEFACTO-PERSISTENTE-0.1</x:v>
      </x:c>
    </x:row>
    <x:row r="29" ht="44" customHeight="1">
      <x:c r="A29" s="21" t="str">
        <x:v>P13</x:v>
      </x:c>
      <x:c r="B29" s="21" t="str">
        <x:v>PAR-CYB-ARTEFACTO-PERSISTENTE-OBJETIVO-001</x:v>
      </x:c>
      <x:c r="C29" s="21" t="str">
        <x:v>observables</x:v>
      </x:c>
      <x:c r="D29" s="21" t="str">
        <x:v>Activo, objeto de almacenamiento, alcance completo, lectura consistente al corte, identidad del método, digest y referencia auténtica del objetivo.</x:v>
      </x:c>
    </x:row>
    <x:row r="30" ht="44" customHeight="1">
      <x:c r="A30" s="21" t="str">
        <x:v>P13</x:v>
      </x:c>
      <x:c r="B30" s="21" t="str">
        <x:v>PAR-CYB-ARTEFACTO-PERSISTENTE-OBJETIVO-001</x:v>
      </x:c>
      <x:c r="C30" s="21" t="str">
        <x:v>regla</x:v>
      </x:c>
      <x:c r="D30" s="21" t="str">
        <x:v>Identidades completas iguales → 1; completas distintas → 0; lectura parcial/inconsistente o ausente → U. El digest identifica bytes; no acredita por sí mismo autoría o corrección.</x:v>
      </x:c>
    </x:row>
    <x:row r="31" ht="44" customHeight="1">
      <x:c r="A31" s="21" t="str">
        <x:v>P13</x:v>
      </x:c>
      <x:c r="B31" s="21" t="str">
        <x:v>PAR-CYB-ARTEFACTO-PERSISTENTE-OBJETIVO-001</x:v>
      </x:c>
      <x:c r="C31" s="21" t="str">
        <x:v>causas_u</x:v>
      </x:c>
      <x:c r="D31" s="21" t="str">
        <x:v>U_LECTURA_PARCIAL; U_CORTE_INCONSISTENTE; U_AUSENCIA; U_CONFLICTO. Referencia sin procedencia admitida: no admisión. Identificador truncado: no admisión.</x:v>
      </x:c>
    </x:row>
    <x:row r="32" ht="44" customHeight="1">
      <x:c r="A32" s="21" t="str">
        <x:v>P13</x:v>
      </x:c>
      <x:c r="B32" s="21" t="str">
        <x:v>PAR-CYB-ARTEFACTO-PERSISTENTE-OBJETIVO-001</x:v>
      </x:c>
      <x:c r="C32" s="21" t="str">
        <x:v>consecuencia</x:v>
      </x:c>
      <x:c r="D32" s="21" t="str">
        <x:v>C13: una imagen corregida puede seguir en memoria aunque en disco haya vuelto una antigua que se cargará después. Omitir el estado persistente oculta esa divergencia y la necesidad de revisarla.</x:v>
      </x:c>
    </x:row>
    <x:row r="33" ht="44" customHeight="1">
      <x:c r="A33" s="21" t="str">
        <x:v>P13</x:v>
      </x:c>
      <x:c r="B33" s="21" t="str">
        <x:v>PAR-CYB-ARTEFACTO-PERSISTENTE-OBJETIVO-001</x:v>
      </x:c>
      <x:c r="C33" s="21" t="str">
        <x:v>exceso</x:v>
      </x:c>
      <x:c r="D33" s="21" t="str">
        <x:v>No se reemplaza una versión diferente sólo porque difiera: puede ser una alternativa correctora. Tampoco se equipara fichero ausente con ausencia completa de la actualización.</x:v>
      </x:c>
    </x:row>
    <x:row r="34" ht="44" customHeight="1">
      <x:c r="A34" s="21" t="str">
        <x:v>P13</x:v>
      </x:c>
      <x:c r="B34" s="21" t="str">
        <x:v>PAR-CYB-ARTEFACTO-PERSISTENTE-OBJETIVO-001</x:v>
      </x:c>
      <x:c r="C34" s="21" t="str">
        <x:v>independencia</x:v>
      </x:c>
      <x:c r="D34" s="21" t="str">
        <x:v>P06=1 mientras P13=0 después de reemplazo en disco. P13=1 mientras P06=0 antes de recarga. P09 habla de historia, no identidad actual del almacenamiento.</x:v>
      </x:c>
    </x:row>
    <x:row r="35" ht="44" customHeight="1">
      <x:c r="A35" s="21" t="str">
        <x:v>P13</x:v>
      </x:c>
      <x:c r="B35" s="21" t="str">
        <x:v>PAR-CYB-ARTEFACTO-PERSISTENTE-OBJETIVO-001</x:v>
      </x:c>
      <x:c r="C35" s="21" t="str">
        <x:v>particion</x:v>
      </x:c>
      <x:c r="D35" s="21" t="str">
        <x:v>Una identidad de contenido completa del objeto. Ruta, tamaño, versión y firma son evidencias/controles, no componentes booleanos a sumar. Conjuntos de ficheros se enumeran, no se comprimen.</x:v>
      </x:c>
    </x:row>
    <x:row r="36" ht="43" customHeight="1">
      <x:c r="A36" s="21" t="str">
        <x:v>P13</x:v>
      </x:c>
      <x:c r="B36" s="21" t="str">
        <x:v>PAR-CYB-ARTEFACTO-PERSISTENTE-OBJETIVO-001</x:v>
      </x:c>
      <x:c r="C36" s="21" t="str">
        <x:v>fuentes</x:v>
      </x:c>
      <x:c r="D36" s="21" t="str">
        <x:v>R025 IV.5/6; T001 §2.3.2–2.3.4; T008 Factors that affect searching</x:v>
      </x:c>
    </x:row>
    <x:row r="37" ht="44" customHeight="1">
      <x:c r="A37" s="21" t="str">
        <x:v>P13</x:v>
      </x:c>
      <x:c r="B37" s="21" t="str">
        <x:v>PAR-CYB-ARTEFACTO-PERSISTENTE-OBJETIVO-001</x:v>
      </x:c>
      <x:c r="C37" s="21" t="str">
        <x:v>limite</x:v>
      </x:c>
      <x:c r="D37" s="21" t="str">
        <x:v>Perfil de fichero binario completo. No extiende una lectura de fichero a firmware activo, cachés, JIT o memoria. Comparación con hash de memoria cruda no autorizada.</x:v>
      </x:c>
    </x:row>
    <x:row r="38" ht="43" customHeight="1">
      <x:c r="A38" s="21" t="str">
        <x:v>P14</x:v>
      </x:c>
      <x:c r="B38" s="21" t="str">
        <x:v>PAR-CYB-CAMBIO-CONFIGURACION-POSTERIOR-001</x:v>
      </x:c>
      <x:c r="C38" s="21" t="str">
        <x:v>predicado</x:v>
      </x:c>
      <x:c r="D38" s="21" t="str">
        <x:v>Se produjo al menos una transición del valor de la clave de configuración identificada entre la comprobación de referencia y el corte.</x:v>
      </x:c>
    </x:row>
    <x:row r="39" ht="43" customHeight="1">
      <x:c r="A39" s="21" t="str">
        <x:v>P14</x:v>
      </x:c>
      <x:c r="B39" s="21" t="str">
        <x:v>PAR-CYB-CAMBIO-CONFIGURACION-POSTERIOR-001</x:v>
      </x:c>
      <x:c r="C39" s="21" t="str">
        <x:v>perfil</x:v>
      </x:c>
      <x:c r="D39" s="21" t="str">
        <x:v>HISTORIA-CLAVE-CONFIGURACION-0.1</x:v>
      </x:c>
    </x:row>
    <x:row r="40" ht="44" customHeight="1">
      <x:c r="A40" s="21" t="str">
        <x:v>P14</x:v>
      </x:c>
      <x:c r="B40" s="21" t="str">
        <x:v>PAR-CYB-CAMBIO-CONFIGURACION-POSTERIOR-001</x:v>
      </x:c>
      <x:c r="C40" s="21" t="str">
        <x:v>observables</x:v>
      </x:c>
      <x:c r="D40" s="21" t="str">
        <x:v>Clave y consumidor, referencia/corte, transiciones identificadas y ordenadas, valores tipados y cobertura del historial para concluir ausencia.</x:v>
      </x:c>
    </x:row>
    <x:row r="41" ht="44" customHeight="1">
      <x:c r="A41" s="21" t="str">
        <x:v>P14</x:v>
      </x:c>
      <x:c r="B41" s="21" t="str">
        <x:v>PAR-CYB-CAMBIO-CONFIGURACION-POSTERIOR-001</x:v>
      </x:c>
      <x:c r="C41" s="21" t="str">
        <x:v>regla</x:v>
      </x:c>
      <x:c r="D41" s="21" t="str">
        <x:v>Transición acreditada dentro del intervalo → 1, incluso con retorno al valor original. Sin transición y con historial completo → 0. Sin transición demostrada pero cobertura parcial → U.</x:v>
      </x:c>
    </x:row>
    <x:row r="42" ht="44" customHeight="1">
      <x:c r="A42" s="21" t="str">
        <x:v>P14</x:v>
      </x:c>
      <x:c r="B42" s="21" t="str">
        <x:v>PAR-CYB-CAMBIO-CONFIGURACION-POSTERIOR-001</x:v>
      </x:c>
      <x:c r="C42" s="21" t="str">
        <x:v>causas_u</x:v>
      </x:c>
      <x:c r="D42" s="21" t="str">
        <x:v>U_COBERTURA; U_ORDEN; U_CONFLICTO. Edición que conserva el mismo valor no prueba transición del valor. Se fija si se observa valor efectivo o persistente; no se mezclan.</x:v>
      </x:c>
    </x:row>
    <x:row r="43" ht="44" customHeight="1">
      <x:c r="A43" s="21" t="str">
        <x:v>P14</x:v>
      </x:c>
      <x:c r="B43" s="21" t="str">
        <x:v>PAR-CYB-CAMBIO-CONFIGURACION-POSTERIOR-001</x:v>
      </x:c>
      <x:c r="C43" s="21" t="str">
        <x:v>consecuencia</x:v>
      </x:c>
      <x:c r="D43" s="21" t="str">
        <x:v>C14: una comprobación anterior puede haber perdido vigencia por cambio de configuración sin cambiar el binario. Omitir esa relación permite reutilizar evidencia fuera de su alcance temporal.</x:v>
      </x:c>
    </x:row>
    <x:row r="44" ht="44" customHeight="1">
      <x:c r="A44" s="21" t="str">
        <x:v>P14</x:v>
      </x:c>
      <x:c r="B44" s="21" t="str">
        <x:v>PAR-CYB-CAMBIO-CONFIGURACION-POSTERIOR-001</x:v>
      </x:c>
      <x:c r="C44" s="21" t="str">
        <x:v>exceso</x:v>
      </x:c>
      <x:c r="D44" s="21" t="str">
        <x:v>Cambio no equivale a fallo ni vulnerabilidad. Se reevalúan sólo criterios que dependen de la clave; no se impone repetir todo por una modificación irrelevante.</x:v>
      </x:c>
    </x:row>
    <x:row r="45" ht="44" customHeight="1">
      <x:c r="A45" s="21" t="str">
        <x:v>P14</x:v>
      </x:c>
      <x:c r="B45" s="21" t="str">
        <x:v>PAR-CYB-CAMBIO-CONFIGURACION-POSTERIOR-001</x:v>
      </x:c>
      <x:c r="C45" s="21" t="str">
        <x:v>independencia</x:v>
      </x:c>
      <x:c r="D45" s="21" t="str">
        <x:v>P09=0 y P14=1 al variar una clave sin variar el binario. P12=1 con cambio y retorno o sin cambio: el estado final no determina la historia.</x:v>
      </x:c>
    </x:row>
    <x:row r="46" ht="44" customHeight="1">
      <x:c r="A46" s="21" t="str">
        <x:v>P14</x:v>
      </x:c>
      <x:c r="B46" s="21" t="str">
        <x:v>PAR-CYB-CAMBIO-CONFIGURACION-POSTERIOR-001</x:v>
      </x:c>
      <x:c r="C46" s="21" t="str">
        <x:v>particion</x:v>
      </x:c>
      <x:c r="D46" s="21" t="str">
        <x:v>Una clave y un ámbito temporal. Existencia de transición es un predicado; número, causa, actor y daños no se agregan. Configuración efectiva y persistente requieren sujetos separados.</x:v>
      </x:c>
    </x:row>
    <x:row r="47" ht="43" customHeight="1">
      <x:c r="A47" s="21" t="str">
        <x:v>P14</x:v>
      </x:c>
      <x:c r="B47" s="21" t="str">
        <x:v>PAR-CYB-CAMBIO-CONFIGURACION-POSTERIOR-001</x:v>
      </x:c>
      <x:c r="C47" s="21" t="str">
        <x:v>fuentes</x:v>
      </x:c>
      <x:c r="D47" s="21" t="str">
        <x:v>R025 IV.2/5; T001 §2.2, §2.3.2 y §2.3.4; F018 §3.4</x:v>
      </x:c>
    </x:row>
    <x:row r="48" ht="44" customHeight="1">
      <x:c r="A48" s="21" t="str">
        <x:v>P14</x:v>
      </x:c>
      <x:c r="B48" s="21" t="str">
        <x:v>PAR-CYB-CAMBIO-CONFIGURACION-POSTERIOR-001</x:v>
      </x:c>
      <x:c r="C48" s="21" t="str">
        <x:v>limite</x:v>
      </x:c>
      <x:c r="D48" s="21" t="str">
        <x:v>No deduce transición de dos extremos iguales. No presupone que toda restauración cambie esa clave. Captura continua completa no acreditada en sistemas reales.</x:v>
      </x:c>
    </x:row>
    <x:row r="49" ht="43" customHeight="1">
      <x:c r="A49" s="21" t="str">
        <x:v>P15</x:v>
      </x:c>
      <x:c r="B49" s="21" t="str">
        <x:v>PAR-CYB-OTRO-CAMBIO-UNITARIO-REQUERIDO-001</x:v>
      </x:c>
      <x:c r="C49" s="21" t="str">
        <x:v>predicado</x:v>
      </x:c>
      <x:c r="D49" s="21" t="str">
        <x:v>La regla específica admitida exige el cambio unitario identificado para completar esta instalación en su contexto aplicable.</x:v>
      </x:c>
    </x:row>
    <x:row r="50" ht="43" customHeight="1">
      <x:c r="A50" s="21" t="str">
        <x:v>P15</x:v>
      </x:c>
      <x:c r="B50" s="21" t="str">
        <x:v>PAR-CYB-OTRO-CAMBIO-UNITARIO-REQUERIDO-001</x:v>
      </x:c>
      <x:c r="C50" s="21" t="str">
        <x:v>perfil</x:v>
      </x:c>
      <x:c r="D50" s="21" t="str">
        <x:v>REQUISITO-CAMBIO-UNITARIO-0.1</x:v>
      </x:c>
    </x:row>
    <x:row r="51" ht="44" customHeight="1">
      <x:c r="A51" s="21" t="str">
        <x:v>P15</x:v>
      </x:c>
      <x:c r="B51" s="21" t="str">
        <x:v>PAR-CYB-OTRO-CAMBIO-UNITARIO-REQUERIDO-001</x:v>
      </x:c>
      <x:c r="C51" s="21" t="str">
        <x:v>observables</x:v>
      </x:c>
      <x:c r="D51" s="21" t="str">
        <x:v>Regla versionada, activo/componente/actualización, condición de aplicación resuelta, acción indivisible con objetivo y criterio terminal; excluye reinicio del sistema y de software ya propiedad de P01/P04.</x:v>
      </x:c>
    </x:row>
    <x:row r="52" ht="44" customHeight="1">
      <x:c r="A52" s="21" t="str">
        <x:v>P15</x:v>
      </x:c>
      <x:c r="B52" s="21" t="str">
        <x:v>PAR-CYB-OTRO-CAMBIO-UNITARIO-REQUERIDO-001</x:v>
      </x:c>
      <x:c r="C52" s="21" t="str">
        <x:v>regla</x:v>
      </x:c>
      <x:c r="D52" s="21" t="str">
        <x:v>Regla aplicable exige acción → 1; declara expresamente que no la exige → 0; evidencia admitida ausente/contradictoria → U. Condición de aplicación no resuelta bloquea el perfil; no equivale a 0.</x:v>
      </x:c>
    </x:row>
    <x:row r="53" ht="44" customHeight="1">
      <x:c r="A53" s="21" t="str">
        <x:v>P15</x:v>
      </x:c>
      <x:c r="B53" s="21" t="str">
        <x:v>PAR-CYB-OTRO-CAMBIO-UNITARIO-REQUERIDO-001</x:v>
      </x:c>
      <x:c r="C53" s="21" t="str">
        <x:v>causas_u</x:v>
      </x:c>
      <x:c r="D53" s="21" t="str">
        <x:v>U_REQUISITO_NO_DOCUMENTADO; U_CONFLICTO. Regla no adoptada: configuración pendiente. Acción con efectos separables sin descomposición: no adjudicada, no Tri.</x:v>
      </x:c>
    </x:row>
    <x:row r="54" ht="44" customHeight="1">
      <x:c r="A54" s="21" t="str">
        <x:v>P15</x:v>
      </x:c>
      <x:c r="B54" s="21" t="str">
        <x:v>PAR-CYB-OTRO-CAMBIO-UNITARIO-REQUERIDO-001</x:v>
      </x:c>
      <x:c r="C54" s="21" t="str">
        <x:v>consecuencia</x:v>
      </x:c>
      <x:c r="D54" s="21" t="str">
        <x:v>C15: un instalador puede exigir configurar, redesplegar o realizar otra acción además del reinicio. Omitir esa obligación puede confundir aplicación del paquete con corrección efectiva.</x:v>
      </x:c>
    </x:row>
    <x:row r="55" ht="43" customHeight="1">
      <x:c r="A55" s="21" t="str">
        <x:v>P15</x:v>
      </x:c>
      <x:c r="B55" s="21" t="str">
        <x:v>PAR-CYB-OTRO-CAMBIO-UNITARIO-REQUERIDO-001</x:v>
      </x:c>
      <x:c r="C55" s="21" t="str">
        <x:v>exceso</x:v>
      </x:c>
      <x:c r="D55" s="21" t="str">
        <x:v>No impone todos los ejemplos de NIST a todas las instalaciones. No realiza el cambio ni autoriza al consejero a ejecutarlo.</x:v>
      </x:c>
    </x:row>
    <x:row r="56" ht="44" customHeight="1">
      <x:c r="A56" s="21" t="str">
        <x:v>P15</x:v>
      </x:c>
      <x:c r="B56" s="21" t="str">
        <x:v>PAR-CYB-OTRO-CAMBIO-UNITARIO-REQUERIDO-001</x:v>
      </x:c>
      <x:c r="C56" s="21" t="str">
        <x:v>independencia</x:v>
      </x:c>
      <x:c r="D56" s="21" t="str">
        <x:v>P01=0/P04=0 tanto con configuración adicional requerida como sin ella; P15 informa obligación, P12/P13/P07 informan estado o comprobación de cumplimiento.</x:v>
      </x:c>
    </x:row>
    <x:row r="57" ht="44" customHeight="1">
      <x:c r="A57" s="21" t="str">
        <x:v>P15</x:v>
      </x:c>
      <x:c r="B57" s="21" t="str">
        <x:v>PAR-CYB-OTRO-CAMBIO-UNITARIO-REQUERIDO-001</x:v>
      </x:c>
      <x:c r="C57" s="21" t="str">
        <x:v>particion</x:v>
      </x:c>
      <x:c r="D57" s="21" t="str">
        <x:v>Esquema de predicado para una acción ya individualizada, no bolsa de acciones. Un redespliegue completo suele ser compuesto: sus requisitos elementales deben enumerarse antes de usar P15.</x:v>
      </x:c>
    </x:row>
    <x:row r="58" ht="43" customHeight="1">
      <x:c r="A58" s="21" t="str">
        <x:v>P15</x:v>
      </x:c>
      <x:c r="B58" s="21" t="str">
        <x:v>PAR-CYB-OTRO-CAMBIO-UNITARIO-REQUERIDO-001</x:v>
      </x:c>
      <x:c r="C58" s="21" t="str">
        <x:v>fuentes</x:v>
      </x:c>
      <x:c r="D58" s="21" t="str">
        <x:v>R025; R028; R035 IV.9; T001 §2.3.2</x:v>
      </x:c>
    </x:row>
    <x:row r="59" ht="44" customHeight="1">
      <x:c r="A59" s="21" t="str">
        <x:v>P15</x:v>
      </x:c>
      <x:c r="B59" s="21" t="str">
        <x:v>PAR-CYB-OTRO-CAMBIO-UNITARIO-REQUERIDO-001</x:v>
      </x:c>
      <x:c r="C59" s="21" t="str">
        <x:v>limite</x:v>
      </x:c>
      <x:c r="D59" s="21" t="str">
        <x:v>No convierte un verbo genérico en átomo de ejecución. P15 sólo requisito; el cumplimiento se reconstruye con testigos de estado y P07 para cada criterio unitario.</x:v>
      </x:c>
    </x:row>
  </x:sheetData>
  <x:mergeCells>
    <x:mergeCell ref="A1:D1"/>
    <x:mergeCell ref="A2:D2"/>
  </x:mergeCells>
  <x:pageMargins left="0.7" right="0.7" top="0.75" bottom="0.75" header="0.3" footer="0.3"/>
  <x:tableParts count="1">
    <x:tablePart xmlns:r="http://schemas.openxmlformats.org/officeDocument/2006/relationships" r:id="Ra708ccd3820a49de"/>
  </x:tableParts>
</x:worksheet>
</file>

<file path=xl/worksheets/sheet6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56" hidden="0" customWidth="1"/>
    <x:col min="3" max="3" width="34" hidden="0" customWidth="1"/>
    <x:col min="4" max="4" width="84" hidden="0" customWidth="1"/>
    <x:col min="5" max="5" width="52" hidden="0" customWidth="1"/>
    <x:col min="6" max="6" width="106" hidden="0" customWidth="1"/>
  </x:cols>
  <x:sheetData>
    <x:row r="1" ht="34" customHeight="1">
      <x:c r="A1" s="23" t="str">
        <x:v>Q0 · correspondencia terminal del inventario</x:v>
      </x:c>
      <x:c r="B1" s="23"/>
      <x:c r="C1" s="23"/>
      <x:c r="D1" s="23"/>
      <x:c r="E1" s="23"/>
      <x:c r="F1" s="23"/>
    </x:row>
    <x:row r="2" ht="57" customHeight="1">
      <x:c r="A2" s="24" t="str">
        <x:v>Nueve raíces / 31 distinciones. Los compuestos se cierran como contratos finitos con límites; no como nuevos átomos.</x:v>
      </x:c>
      <x:c r="B2" s="24"/>
      <x:c r="C2" s="24"/>
      <x:c r="D2" s="24"/>
      <x:c r="E2" s="24"/>
      <x:c r="F2" s="24"/>
    </x:row>
    <x:row r="3">
      <x:c r="A3" s="21"/>
      <x:c r="B3" s="21"/>
      <x:c r="C3" s="21"/>
      <x:c r="D3" s="21"/>
      <x:c r="E3" s="21"/>
      <x:c r="F3" s="21"/>
    </x:row>
    <x:row r="4" ht="48" customHeight="1">
      <x:c r="A4" s="26" t="str">
        <x:v>Distinción</x:v>
      </x:c>
      <x:c r="B4" s="26" t="str">
        <x:v>Referencias</x:v>
      </x:c>
      <x:c r="C4" s="26" t="str">
        <x:v>Estatuto</x:v>
      </x:c>
      <x:c r="D4" s="26" t="str">
        <x:v>Resolución documental</x:v>
      </x:c>
      <x:c r="E4" s="26" t="str">
        <x:v>Terminación</x:v>
      </x:c>
      <x:c r="F4" s="26" t="str">
        <x:v>Dependencia que bloquea capacidad</x:v>
      </x:c>
    </x:row>
    <x:row r="5" ht="44" customHeight="1">
      <x:c r="A5" s="21" t="str">
        <x:v>QCY-01-D1</x:v>
      </x:c>
      <x:c r="B5" s="21" t="str">
        <x:v>C01</x:v>
      </x:c>
      <x:c r="C5" s="21" t="str">
        <x:v>CONTEXTUAL</x:v>
      </x:c>
      <x:c r="D5" s="21" t="str">
        <x:v>Activo y ámbito inequívocos</x:v>
      </x:c>
      <x:c r="E5" s="21" t="str">
        <x:v>TRATADA_EN_CONTRATO_DOCUMENTAL</x:v>
      </x:c>
      <x:c r="F5" s="21" t="str">
        <x:v>D-CYB-01: instanciación y evidencia del episodio; D-CYB-02/03: arquitectura y ejecución SV no acreditadas.</x:v>
      </x:c>
    </x:row>
    <x:row r="6" ht="44" customHeight="1">
      <x:c r="A6" s="21" t="str">
        <x:v>QCY-01-D2</x:v>
      </x:c>
      <x:c r="B6" s="21" t="str">
        <x:v>C01,C05</x:v>
      </x:c>
      <x:c r="C6" s="21" t="str">
        <x:v>CONTEXTUAL</x:v>
      </x:c>
      <x:c r="D6" s="21" t="str">
        <x:v>Componente, configuración y consumidores enumerados</x:v>
      </x:c>
      <x:c r="E6" s="21" t="str">
        <x:v>TRATADA_EN_CONTRATO_DOCUMENTAL</x:v>
      </x:c>
      <x:c r="F6" s="21" t="str">
        <x:v>D-CYB-01: instanciación y evidencia del episodio; D-CYB-02/03: arquitectura y ejecución SV no acreditadas.</x:v>
      </x:c>
    </x:row>
    <x:row r="7" ht="44" customHeight="1">
      <x:c r="A7" s="21" t="str">
        <x:v>QCY-01-D3</x:v>
      </x:c>
      <x:c r="B7" s="21" t="str">
        <x:v>C01,C14</x:v>
      </x:c>
      <x:c r="C7" s="21" t="str">
        <x:v>CONTEXTUAL</x:v>
      </x:c>
      <x:c r="D7" s="21" t="str">
        <x:v>Vulnerabilidad y referencia congelada</x:v>
      </x:c>
      <x:c r="E7" s="21" t="str">
        <x:v>TRATADA_EN_CONTRATO_DOCUMENTAL</x:v>
      </x:c>
      <x:c r="F7" s="21" t="str">
        <x:v>D-CYB-01: instanciación y evidencia del episodio; D-CYB-02/03: arquitectura y ejecución SV no acreditadas.</x:v>
      </x:c>
    </x:row>
    <x:row r="8" ht="44" customHeight="1">
      <x:c r="A8" s="21" t="str">
        <x:v>QCY-01-D4</x:v>
      </x:c>
      <x:c r="B8" s="21" t="str">
        <x:v>C01</x:v>
      </x:c>
      <x:c r="C8" s="21" t="str">
        <x:v>CONTROL_COMPUESTO</x:v>
      </x:c>
      <x:c r="D8" s="21" t="str">
        <x:v>Aplicabilidad resuelta por regla específica</x:v>
      </x:c>
      <x:c r="E8" s="21" t="str">
        <x:v>TRATADA_EN_CONTRATO_DOCUMENTAL</x:v>
      </x:c>
      <x:c r="F8" s="21" t="str">
        <x:v>D-CYB-01: instanciación y evidencia del episodio; D-CYB-02/03: arquitectura y ejecución SV no acreditadas.</x:v>
      </x:c>
    </x:row>
    <x:row r="9" ht="44" customHeight="1">
      <x:c r="A9" s="21" t="str">
        <x:v>QCY-02-D1</x:v>
      </x:c>
      <x:c r="B9" s="21" t="str">
        <x:v>C02,C03</x:v>
      </x:c>
      <x:c r="C9" s="21" t="str">
        <x:v>CONTEXTUAL</x:v>
      </x:c>
      <x:c r="D9" s="21" t="str">
        <x:v>Episodio individual y corte</x:v>
      </x:c>
      <x:c r="E9" s="21" t="str">
        <x:v>TRATADA_EN_CONTRATO_DOCUMENTAL</x:v>
      </x:c>
      <x:c r="F9" s="21" t="str">
        <x:v>D-CYB-01: instanciación y evidencia del episodio; D-CYB-02/03: arquitectura y ejecución SV no acreditadas.</x:v>
      </x:c>
    </x:row>
    <x:row r="10" ht="44" customHeight="1">
      <x:c r="A10" s="21" t="str">
        <x:v>QCY-02-D2</x:v>
      </x:c>
      <x:c r="B10" s="21" t="str">
        <x:v>C02</x:v>
      </x:c>
      <x:c r="C10" s="21" t="str">
        <x:v>CONTROL</x:v>
      </x:c>
      <x:c r="D10" s="21" t="str">
        <x:v>Integridad no sustituye procedencia</x:v>
      </x:c>
      <x:c r="E10" s="21" t="str">
        <x:v>TRATADA_EN_CONTRATO_DOCUMENTAL</x:v>
      </x:c>
      <x:c r="F10" s="21" t="str">
        <x:v>D-CYB-01: instanciación y evidencia del episodio; D-CYB-02/03: arquitectura y ejecución SV no acreditadas.</x:v>
      </x:c>
    </x:row>
    <x:row r="11" ht="44" customHeight="1">
      <x:c r="A11" s="21" t="str">
        <x:v>QCY-02-D3</x:v>
      </x:c>
      <x:c r="B11" s="21" t="str">
        <x:v>C02,C14</x:v>
      </x:c>
      <x:c r="C11" s="21" t="str">
        <x:v>CONTROL</x:v>
      </x:c>
      <x:c r="D11" s="21" t="str">
        <x:v>Admisión humana y de origen diferenciadas</x:v>
      </x:c>
      <x:c r="E11" s="21" t="str">
        <x:v>TRATADA_EN_CONTRATO_DOCUMENTAL</x:v>
      </x:c>
      <x:c r="F11" s="21" t="str">
        <x:v>D-CYB-01: instanciación y evidencia del episodio; D-CYB-02/03: arquitectura y ejecución SV no acreditadas.</x:v>
      </x:c>
    </x:row>
    <x:row r="12" ht="44" customHeight="1">
      <x:c r="A12" s="21" t="str">
        <x:v>QCY-03-D1</x:v>
      </x:c>
      <x:c r="B12" s="21" t="str">
        <x:v>C03</x:v>
      </x:c>
      <x:c r="C12" s="21" t="str">
        <x:v>CONTEXTUAL</x:v>
      </x:c>
      <x:c r="D12" s="21" t="str">
        <x:v>Operación individual conservada</x:v>
      </x:c>
      <x:c r="E12" s="21" t="str">
        <x:v>TRATADA_EN_CONTRATO_DOCUMENTAL</x:v>
      </x:c>
      <x:c r="F12" s="21" t="str">
        <x:v>D-CYB-01: instanciación y evidencia del episodio; D-CYB-02/03: arquitectura y ejecución SV no acreditadas.</x:v>
      </x:c>
    </x:row>
    <x:row r="13" ht="44" customHeight="1">
      <x:c r="A13" s="21" t="str">
        <x:v>QCY-03-D2</x:v>
      </x:c>
      <x:c r="B13" s="21" t="str">
        <x:v>P02,C03</x:v>
      </x:c>
      <x:c r="C13" s="21" t="str">
        <x:v>PARAMETRO</x:v>
      </x:c>
      <x:c r="D13" s="21" t="str">
        <x:v>Éxito comunicado</x:v>
      </x:c>
      <x:c r="E13" s="21" t="str">
        <x:v>TRATADA_EN_CONTRATO_DOCUMENTAL</x:v>
      </x:c>
      <x:c r="F13" s="21" t="str">
        <x:v>D-CYB-01: instanciación y evidencia del episodio; D-CYB-02/03: arquitectura y ejecución SV no acreditadas.</x:v>
      </x:c>
    </x:row>
    <x:row r="14" ht="44" customHeight="1">
      <x:c r="A14" s="21" t="str">
        <x:v>QCY-03-D3</x:v>
      </x:c>
      <x:c r="B14" s="21" t="str">
        <x:v>C03</x:v>
      </x:c>
      <x:c r="C14" s="21" t="str">
        <x:v>CONTEXTUAL</x:v>
      </x:c>
      <x:c r="D14" s="21" t="str">
        <x:v>Errores preservados e interpretables</x:v>
      </x:c>
      <x:c r="E14" s="21" t="str">
        <x:v>TRATADA_EN_CONTRATO_DOCUMENTAL</x:v>
      </x:c>
      <x:c r="F14" s="21" t="str">
        <x:v>D-CYB-01: instanciación y evidencia del episodio; D-CYB-02/03: arquitectura y ejecución SV no acreditadas.</x:v>
      </x:c>
    </x:row>
    <x:row r="15" ht="44" customHeight="1">
      <x:c r="A15" s="21" t="str">
        <x:v>QCY-04-D1</x:v>
      </x:c>
      <x:c r="B15" s="21" t="str">
        <x:v>P01</x:v>
      </x:c>
      <x:c r="C15" s="21" t="str">
        <x:v>PARAMETRO</x:v>
      </x:c>
      <x:c r="D15" s="21" t="str">
        <x:v>Requisito histórico en perfil</x:v>
      </x:c>
      <x:c r="E15" s="21" t="str">
        <x:v>TRATADA_EN_CONTRATO_DOCUMENTAL</x:v>
      </x:c>
      <x:c r="F15" s="21" t="str">
        <x:v>D-CYB-01: instanciación y evidencia del episodio; D-CYB-02/03: arquitectura y ejecución SV no acreditadas.</x:v>
      </x:c>
    </x:row>
    <x:row r="16" ht="44" customHeight="1">
      <x:c r="A16" s="21" t="str">
        <x:v>QCY-04-D2</x:v>
      </x:c>
      <x:c r="B16" s="21" t="str">
        <x:v>P03</x:v>
      </x:c>
      <x:c r="C16" s="21" t="str">
        <x:v>PARAMETRO</x:v>
      </x:c>
      <x:c r="D16" s="21" t="str">
        <x:v>Reinicio íntegro posterior</x:v>
      </x:c>
      <x:c r="E16" s="21" t="str">
        <x:v>TRATADA_EN_CONTRATO_DOCUMENTAL</x:v>
      </x:c>
      <x:c r="F16" s="21" t="str">
        <x:v>D-CYB-01: instanciación y evidencia del episodio; D-CYB-02/03: arquitectura y ejecución SV no acreditadas.</x:v>
      </x:c>
    </x:row>
    <x:row r="17" ht="44" customHeight="1">
      <x:c r="A17" s="21" t="str">
        <x:v>QCY-04-D3</x:v>
      </x:c>
      <x:c r="B17" s="21" t="str">
        <x:v>P04,P15,C04</x:v>
      </x:c>
      <x:c r="C17" s="21" t="str">
        <x:v>COMPUESTO_ACOTADO</x:v>
      </x:c>
      <x:c r="D17" s="21" t="str">
        <x:v>Obligaciones del software y otras individualizadas</x:v>
      </x:c>
      <x:c r="E17" s="21" t="str">
        <x:v>TRATADA_EN_CONTRATO_DOCUMENTAL</x:v>
      </x:c>
      <x:c r="F17" s="21" t="str">
        <x:v>D-CYB-01: instanciación y evidencia del episodio; D-CYB-02/03: arquitectura y ejecución SV no acreditadas.</x:v>
      </x:c>
    </x:row>
    <x:row r="18" ht="44" customHeight="1">
      <x:c r="A18" s="21" t="str">
        <x:v>QCY-04-D4</x:v>
      </x:c>
      <x:c r="B18" s="21" t="str">
        <x:v>P05,P11,P06,P12,P13,P07,C04,C05</x:v>
      </x:c>
      <x:c r="C18" s="21" t="str">
        <x:v>COMPUESTO_ACOTADO</x:v>
      </x:c>
      <x:c r="D18" s="21" t="str">
        <x:v>Cumplimiento por estado, generación y criterio unitario</x:v>
      </x:c>
      <x:c r="E18" s="21" t="str">
        <x:v>TRATADA_EN_CONTRATO_DOCUMENTAL</x:v>
      </x:c>
      <x:c r="F18" s="21" t="str">
        <x:v>D-CYB-01: instanciación y evidencia del episodio; D-CYB-02/03: arquitectura y ejecución SV no acreditadas.</x:v>
      </x:c>
    </x:row>
    <x:row r="19" ht="44" customHeight="1">
      <x:c r="A19" s="21" t="str">
        <x:v>QCY-05-D1</x:v>
      </x:c>
      <x:c r="B19" s="21" t="str">
        <x:v>C06</x:v>
      </x:c>
      <x:c r="C19" s="21" t="str">
        <x:v>CONTROL</x:v>
      </x:c>
      <x:c r="D19" s="21" t="str">
        <x:v>Criterio y sensibilidad propios</x:v>
      </x:c>
      <x:c r="E19" s="21" t="str">
        <x:v>TRATADA_EN_CONTRATO_DOCUMENTAL</x:v>
      </x:c>
      <x:c r="F19" s="21" t="str">
        <x:v>D-CYB-01: instanciación y evidencia del episodio; D-CYB-02/03: arquitectura y ejecución SV no acreditadas.</x:v>
      </x:c>
    </x:row>
    <x:row r="20" ht="44" customHeight="1">
      <x:c r="A20" s="21" t="str">
        <x:v>QCY-05-D2</x:v>
      </x:c>
      <x:c r="B20" s="21" t="str">
        <x:v>P06,P12,P13,C05</x:v>
      </x:c>
      <x:c r="C20" s="21" t="str">
        <x:v>COMPUESTO_ACOTADO</x:v>
      </x:c>
      <x:c r="D20" s="21" t="str">
        <x:v>Memoria, valor efectivo y persistencia separados</x:v>
      </x:c>
      <x:c r="E20" s="21" t="str">
        <x:v>TRATADA_EN_CONTRATO_DOCUMENTAL</x:v>
      </x:c>
      <x:c r="F20" s="21" t="str">
        <x:v>D-CYB-01: instanciación y evidencia del episodio; D-CYB-02/03: arquitectura y ejecución SV no acreditadas.</x:v>
      </x:c>
    </x:row>
    <x:row r="21" ht="44" customHeight="1">
      <x:c r="A21" s="21" t="str">
        <x:v>QCY-05-D3</x:v>
      </x:c>
      <x:c r="B21" s="21" t="str">
        <x:v>P07,C06</x:v>
      </x:c>
      <x:c r="C21" s="21" t="str">
        <x:v>PARAMETRO_Y_CONTROL</x:v>
      </x:c>
      <x:c r="D21" s="21" t="str">
        <x:v>Resultado no sustituye cualificación de la prueba</x:v>
      </x:c>
      <x:c r="E21" s="21" t="str">
        <x:v>TRATADA_EN_CONTRATO_DOCUMENTAL</x:v>
      </x:c>
      <x:c r="F21" s="21" t="str">
        <x:v>D-CYB-01: instanciación y evidencia del episodio; D-CYB-02/03: arquitectura y ejecución SV no acreditadas.</x:v>
      </x:c>
    </x:row>
    <x:row r="22" ht="44" customHeight="1">
      <x:c r="A22" s="21" t="str">
        <x:v>QCY-06-D1</x:v>
      </x:c>
      <x:c r="B22" s="21" t="str">
        <x:v>C05</x:v>
      </x:c>
      <x:c r="C22" s="21" t="str">
        <x:v>CONTEXTUAL</x:v>
      </x:c>
      <x:c r="D22" s="21" t="str">
        <x:v>Servicio y consumidores</x:v>
      </x:c>
      <x:c r="E22" s="21" t="str">
        <x:v>TRATADA_EN_CONTRATO_DOCUMENTAL</x:v>
      </x:c>
      <x:c r="F22" s="21" t="str">
        <x:v>D-CYB-01: instanciación y evidencia del episodio; D-CYB-02/03: arquitectura y ejecución SV no acreditadas.</x:v>
      </x:c>
    </x:row>
    <x:row r="23" ht="44" customHeight="1">
      <x:c r="A23" s="21" t="str">
        <x:v>QCY-06-D2</x:v>
      </x:c>
      <x:c r="B23" s="21" t="str">
        <x:v>C05</x:v>
      </x:c>
      <x:c r="C23" s="21" t="str">
        <x:v>CONTROL</x:v>
      </x:c>
      <x:c r="D23" s="21" t="str">
        <x:v>Cierre de dependencias y fronteras</x:v>
      </x:c>
      <x:c r="E23" s="21" t="str">
        <x:v>TRATADA_EN_CONTRATO_DOCUMENTAL</x:v>
      </x:c>
      <x:c r="F23" s="21" t="str">
        <x:v>D-CYB-01: instanciación y evidencia del episodio; D-CYB-02/03: arquitectura y ejecución SV no acreditadas.</x:v>
      </x:c>
    </x:row>
    <x:row r="24" ht="44" customHeight="1">
      <x:c r="A24" s="21" t="str">
        <x:v>QCY-06-D3</x:v>
      </x:c>
      <x:c r="B24" s="21" t="str">
        <x:v>C08</x:v>
      </x:c>
      <x:c r="C24" s="21" t="str">
        <x:v>CONTEXTO_Y_JUICIO</x:v>
      </x:c>
      <x:c r="D24" s="21" t="str">
        <x:v>Impactos sin falsa cuantificación</x:v>
      </x:c>
      <x:c r="E24" s="21" t="str">
        <x:v>TRATADA_EN_CONTRATO_DOCUMENTAL</x:v>
      </x:c>
      <x:c r="F24" s="21" t="str">
        <x:v>D-CYB-01: instanciación y evidencia del episodio; D-CYB-02/03: arquitectura y ejecución SV no acreditadas.</x:v>
      </x:c>
    </x:row>
    <x:row r="25" ht="44" customHeight="1">
      <x:c r="A25" s="21" t="str">
        <x:v>QCY-07-D1</x:v>
      </x:c>
      <x:c r="B25" s="21" t="str">
        <x:v>C09</x:v>
      </x:c>
      <x:c r="C25" s="21" t="str">
        <x:v>CONTEXTO_Y_JUICIO</x:v>
      </x:c>
      <x:c r="D25" s="21" t="str">
        <x:v>Alternativas sin falsa corrección</x:v>
      </x:c>
      <x:c r="E25" s="21" t="str">
        <x:v>TRATADA_EN_CONTRATO_DOCUMENTAL</x:v>
      </x:c>
      <x:c r="F25" s="21" t="str">
        <x:v>D-CYB-01: instanciación y evidencia del episodio; D-CYB-02/03: arquitectura y ejecución SV no acreditadas.</x:v>
      </x:c>
    </x:row>
    <x:row r="26" ht="44" customHeight="1">
      <x:c r="A26" s="21" t="str">
        <x:v>QCY-07-D2</x:v>
      </x:c>
      <x:c r="B26" s="21" t="str">
        <x:v>C10</x:v>
      </x:c>
      <x:c r="C26" s="21" t="str">
        <x:v>CONTROL</x:v>
      </x:c>
      <x:c r="D26" s="21" t="str">
        <x:v>Ventana, duración y recuperación</x:v>
      </x:c>
      <x:c r="E26" s="21" t="str">
        <x:v>TRATADA_EN_CONTRATO_DOCUMENTAL</x:v>
      </x:c>
      <x:c r="F26" s="21" t="str">
        <x:v>D-CYB-01: instanciación y evidencia del episodio; D-CYB-02/03: arquitectura y ejecución SV no acreditadas.</x:v>
      </x:c>
    </x:row>
    <x:row r="27" ht="44" customHeight="1">
      <x:c r="A27" s="21" t="str">
        <x:v>QCY-07-D3</x:v>
      </x:c>
      <x:c r="B27" s="21" t="str">
        <x:v>C11</x:v>
      </x:c>
      <x:c r="C27" s="21" t="str">
        <x:v>CONTROL_HUMANO</x:v>
      </x:c>
      <x:c r="D27" s="21" t="str">
        <x:v>Permiso concreto independiente del consejo</x:v>
      </x:c>
      <x:c r="E27" s="21" t="str">
        <x:v>TRATADA_EN_CONTRATO_DOCUMENTAL</x:v>
      </x:c>
      <x:c r="F27" s="21" t="str">
        <x:v>D-CYB-01: instanciación y evidencia del episodio; D-CYB-02/03: arquitectura y ejecución SV no acreditadas.</x:v>
      </x:c>
    </x:row>
    <x:row r="28" ht="44" customHeight="1">
      <x:c r="A28" s="21" t="str">
        <x:v>QCY-07-D4</x:v>
      </x:c>
      <x:c r="B28" s="21" t="str">
        <x:v>C12</x:v>
      </x:c>
      <x:c r="C28" s="21" t="str">
        <x:v>CONTEXTO_Y_JUICIO</x:v>
      </x:c>
      <x:c r="D28" s="21" t="str">
        <x:v>Proporcionalidad sobre valor protegido</x:v>
      </x:c>
      <x:c r="E28" s="21" t="str">
        <x:v>TRATADA_EN_CONTRATO_DOCUMENTAL</x:v>
      </x:c>
      <x:c r="F28" s="21" t="str">
        <x:v>D-CYB-01: instanciación y evidencia del episodio; D-CYB-02/03: arquitectura y ejecución SV no acreditadas.</x:v>
      </x:c>
    </x:row>
    <x:row r="29" ht="44" customHeight="1">
      <x:c r="A29" s="21" t="str">
        <x:v>QCY-08-D1</x:v>
      </x:c>
      <x:c r="B29" s="21" t="str">
        <x:v>P08,P06,P12,P13,C07</x:v>
      </x:c>
      <x:c r="C29" s="21" t="str">
        <x:v>COMPUESTO_ACOTADO</x:v>
      </x:c>
      <x:c r="D29" s="21" t="str">
        <x:v>Retirada comunicada y otras reversiones por estado</x:v>
      </x:c>
      <x:c r="E29" s="21" t="str">
        <x:v>TRATADA_EN_CONTRATO_DOCUMENTAL</x:v>
      </x:c>
      <x:c r="F29" s="21" t="str">
        <x:v>D-CYB-01: instanciación y evidencia del episodio; D-CYB-02/03: arquitectura y ejecución SV no acreditadas.</x:v>
      </x:c>
    </x:row>
    <x:row r="30" ht="44" customHeight="1">
      <x:c r="A30" s="21" t="str">
        <x:v>QCY-08-D2</x:v>
      </x:c>
      <x:c r="B30" s="21" t="str">
        <x:v>P09,P14,C07</x:v>
      </x:c>
      <x:c r="C30" s="21" t="str">
        <x:v>COMPUESTO_ACOTADO</x:v>
      </x:c>
      <x:c r="D30" s="21" t="str">
        <x:v>Historia binaria y de configuración</x:v>
      </x:c>
      <x:c r="E30" s="21" t="str">
        <x:v>TRATADA_EN_CONTRATO_DOCUMENTAL</x:v>
      </x:c>
      <x:c r="F30" s="21" t="str">
        <x:v>D-CYB-01: instanciación y evidencia del episodio; D-CYB-02/03: arquitectura y ejecución SV no acreditadas.</x:v>
      </x:c>
    </x:row>
    <x:row r="31" ht="44" customHeight="1">
      <x:c r="A31" s="21" t="str">
        <x:v>QCY-08-D3</x:v>
      </x:c>
      <x:c r="B31" s="21" t="str">
        <x:v>P10,C07</x:v>
      </x:c>
      <x:c r="C31" s="21" t="str">
        <x:v>PARAMETRO_Y_CONTROL</x:v>
      </x:c>
      <x:c r="D31" s="21" t="str">
        <x:v>Restauración comunicada y alcance afectado</x:v>
      </x:c>
      <x:c r="E31" s="21" t="str">
        <x:v>TRATADA_EN_CONTRATO_DOCUMENTAL</x:v>
      </x:c>
      <x:c r="F31" s="21" t="str">
        <x:v>D-CYB-01: instanciación y evidencia del episodio; D-CYB-02/03: arquitectura y ejecución SV no acreditadas.</x:v>
      </x:c>
    </x:row>
    <x:row r="32" ht="44" customHeight="1">
      <x:c r="A32" s="21" t="str">
        <x:v>QCY-09-D1</x:v>
      </x:c>
      <x:c r="B32" s="21" t="str">
        <x:v>C05</x:v>
      </x:c>
      <x:c r="C32" s="21" t="str">
        <x:v>CONTROL</x:v>
      </x:c>
      <x:c r="D32" s="21" t="str">
        <x:v>Cobertura de sujetos y dependencias</x:v>
      </x:c>
      <x:c r="E32" s="21" t="str">
        <x:v>TRATADA_EN_CONTRATO_DOCUMENTAL</x:v>
      </x:c>
      <x:c r="F32" s="21" t="str">
        <x:v>D-CYB-01: instanciación y evidencia del episodio; D-CYB-02/03: arquitectura y ejecución SV no acreditadas.</x:v>
      </x:c>
    </x:row>
    <x:row r="33" ht="44" customHeight="1">
      <x:c r="A33" s="21" t="str">
        <x:v>QCY-09-D2</x:v>
      </x:c>
      <x:c r="B33" s="21" t="str">
        <x:v>C13</x:v>
      </x:c>
      <x:c r="C33" s="21" t="str">
        <x:v>CONTROL</x:v>
      </x:c>
      <x:c r="D33" s="21" t="str">
        <x:v>Incertidumbres no ocultadas</x:v>
      </x:c>
      <x:c r="E33" s="21" t="str">
        <x:v>TRATADA_EN_CONTRATO_DOCUMENTAL</x:v>
      </x:c>
      <x:c r="F33" s="21" t="str">
        <x:v>D-CYB-01: instanciación y evidencia del episodio; D-CYB-02/03: arquitectura y ejecución SV no acreditadas.</x:v>
      </x:c>
    </x:row>
    <x:row r="34" ht="44" customHeight="1">
      <x:c r="A34" s="21" t="str">
        <x:v>QCY-09-D3</x:v>
      </x:c>
      <x:c r="B34" s="21" t="str">
        <x:v>C13,C14</x:v>
      </x:c>
      <x:c r="C34" s="21" t="str">
        <x:v>CONTROL</x:v>
      </x:c>
      <x:c r="D34" s="21" t="str">
        <x:v>Justificación reproducible y gobernada</x:v>
      </x:c>
      <x:c r="E34" s="21" t="str">
        <x:v>TRATADA_EN_CONTRATO_DOCUMENTAL</x:v>
      </x:c>
      <x:c r="F34" s="21" t="str">
        <x:v>D-CYB-01: instanciación y evidencia del episodio; D-CYB-02/03: arquitectura y ejecución SV no acreditadas.</x:v>
      </x:c>
    </x:row>
    <x:row r="35" ht="44" customHeight="1">
      <x:c r="A35" s="21" t="str">
        <x:v>QCY-09-D4</x:v>
      </x:c>
      <x:c r="B35" s="21" t="str">
        <x:v>C11</x:v>
      </x:c>
      <x:c r="C35" s="21" t="str">
        <x:v>CONTROL_HUMANO</x:v>
      </x:c>
      <x:c r="D35" s="21" t="str">
        <x:v>Destinatario responsable inequívoco</x:v>
      </x:c>
      <x:c r="E35" s="21" t="str">
        <x:v>TRATADA_EN_CONTRATO_DOCUMENTAL</x:v>
      </x:c>
      <x:c r="F35" s="21" t="str">
        <x:v>D-CYB-01: instanciación y evidencia del episodio; D-CYB-02/03: arquitectura y ejecución SV no acreditadas.</x:v>
      </x:c>
    </x:row>
  </x:sheetData>
  <x:mergeCells>
    <x:mergeCell ref="A1:D1"/>
    <x:mergeCell ref="A2:F2"/>
  </x:mergeCells>
  <x:pageMargins left="0.7" right="0.7" top="0.75" bottom="0.75" header="0.3" footer="0.3"/>
  <x:tableParts count="1">
    <x:tablePart xmlns:r="http://schemas.openxmlformats.org/officeDocument/2006/relationships" r:id="R30068b3b112d42dc"/>
  </x:tableParts>
</x:worksheet>
</file>

<file path=xl/worksheets/sheet6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7" hidden="0" customWidth="1"/>
    <x:col min="3" max="3" width="24" hidden="0" customWidth="1"/>
    <x:col min="4" max="4" width="157" hidden="0" customWidth="1"/>
  </x:cols>
  <x:sheetData>
    <x:row r="1" ht="34" customHeight="1">
      <x:c r="A1" s="23" t="str">
        <x:v>IDENTIDAD, EVIDENCIA Y CONSEJO · catorce contratos</x:v>
      </x:c>
      <x:c r="B1" s="23"/>
      <x:c r="C1" s="23"/>
      <x:c r="D1" s="23"/>
    </x:row>
    <x:row r="2" ht="57" customHeight="1">
      <x:c r="A2" s="24" t="str">
        <x:v>Los controles no se convierten en parámetros. Una etiqueta de aprobación no autentica a un productor ni una autoridad.</x:v>
      </x:c>
      <x:c r="B2" s="24"/>
      <x:c r="C2" s="24"/>
      <x:c r="D2" s="24"/>
    </x:row>
    <x:row r="3">
      <x:c r="A3" s="21"/>
      <x:c r="B3" s="21"/>
      <x:c r="C3" s="21"/>
      <x:c r="D3" s="21"/>
    </x:row>
    <x:row r="4" ht="48" customHeight="1">
      <x:c r="A4" s="26" t="str">
        <x:v>Control</x:v>
      </x:c>
      <x:c r="B4" s="26" t="str">
        <x:v>Nombre</x:v>
      </x:c>
      <x:c r="C4" s="26" t="str">
        <x:v>Apartado</x:v>
      </x:c>
      <x:c r="D4" s="26" t="str">
        <x:v>Contrato y consecuencia</x:v>
      </x:c>
    </x:row>
    <x:row r="5" ht="43" customHeight="1">
      <x:c r="A5" s="21" t="str">
        <x:v>C01</x:v>
      </x:c>
      <x:c r="B5" s="21" t="str">
        <x:v>Identidad y aplicabilidad</x:v>
      </x:c>
      <x:c r="C5" s="21" t="str">
        <x:v>q</x:v>
      </x:c>
      <x:c r="D5" s="21" t="str">
        <x:v>QCY-01-D1,D2,D3,D4</x:v>
      </x:c>
    </x:row>
    <x:row r="6" ht="74" customHeight="1">
      <x:c r="A6" s="21" t="str">
        <x:v>C01</x:v>
      </x:c>
      <x:c r="B6" s="21" t="str">
        <x:v>Identidad y aplicabilidad</x:v>
      </x:c>
      <x:c r="C6" s="21" t="str">
        <x:v>contrato</x:v>
      </x:c>
      <x:c r="D6" s="21" t="str">
        <x:v>Fijar activo estable y entorno/arranque; componente, configuración, vulnerabilidad con estado/versionado, actualización y relación correctora exacta. Evaluar la conjunción de condiciones del aviso del proveedor en este contexto. APLICABLE sólo con todas acreditadas; NO_APLICABLE sólo con refutación suficiente según la lógica de esa regla; desconocido o conflicto → APLICABILIDAD_NO_RESUELTA. Un CVE rechazado activa revisión de referencia, no un valor Tri ni prueba de corrección.</x:v>
      </x:c>
    </x:row>
    <x:row r="7" ht="43" customHeight="1">
      <x:c r="A7" s="21" t="str">
        <x:v>C01</x:v>
      </x:c>
      <x:c r="B7" s="21" t="str">
        <x:v>Identidad y aplicabilidad</x:v>
      </x:c>
      <x:c r="C7" s="21" t="str">
        <x:v>consecuencia</x:v>
      </x:c>
      <x:c r="D7" s="21" t="str">
        <x:v>Identidad nominal o una versión similar puede hacer cerrar el activo equivocado. Sobreincluir exige trabajos sin pertinencia.</x:v>
      </x:c>
    </x:row>
    <x:row r="8" ht="44" customHeight="1">
      <x:c r="A8" s="21" t="str">
        <x:v>C01</x:v>
      </x:c>
      <x:c r="B8" s="21" t="str">
        <x:v>Identidad y aplicabilidad</x:v>
      </x:c>
      <x:c r="C8" s="21" t="str">
        <x:v>prueba</x:v>
      </x:c>
      <x:c r="D8" s="21" t="str">
        <x:v>Mismo nombre con otro activo; aviso para otra arquitectura; condición desconocida; aviso cambiado tras el corte; NO_APLICABLE fundado sin fingir parche aplicado.</x:v>
      </x:c>
    </x:row>
    <x:row r="9" ht="43" customHeight="1">
      <x:c r="A9" s="21" t="str">
        <x:v>C01</x:v>
      </x:c>
      <x:c r="B9" s="21" t="str">
        <x:v>Identidad y aplicabilidad</x:v>
      </x:c>
      <x:c r="C9" s="21" t="str">
        <x:v>fuente</x:v>
      </x:c>
      <x:c r="D9" s="21" t="str">
        <x:v>T001 §2.2/3.2; instrucción §5.4–5.5; R025</x:v>
      </x:c>
    </x:row>
    <x:row r="10" ht="43" customHeight="1">
      <x:c r="A10" s="21" t="str">
        <x:v>C01</x:v>
      </x:c>
      <x:c r="B10" s="21" t="str">
        <x:v>Identidad y aplicabilidad</x:v>
      </x:c>
      <x:c r="C10" s="21" t="str">
        <x:v>responsable</x:v>
      </x:c>
      <x:c r="D10" s="21" t="str">
        <x:v>Experto del activo admite hechos; Dirección admite corte de conocimiento</x:v>
      </x:c>
    </x:row>
    <x:row r="11" ht="43" customHeight="1">
      <x:c r="A11" s="21" t="str">
        <x:v>C02</x:v>
      </x:c>
      <x:c r="B11" s="21" t="str">
        <x:v>Admisión e integridad de evidencia</x:v>
      </x:c>
      <x:c r="C11" s="21" t="str">
        <x:v>q</x:v>
      </x:c>
      <x:c r="D11" s="21" t="str">
        <x:v>QCY-02-D1,D2,D3</x:v>
      </x:c>
    </x:row>
    <x:row r="12" ht="89" customHeight="1">
      <x:c r="A12" s="21" t="str">
        <x:v>C02</x:v>
      </x:c>
      <x:c r="B12" s="21" t="str">
        <x:v>Admisión e integridad de evidencia</x:v>
      </x:c>
      <x:c r="C12" s="21" t="str">
        <x:v>contrato</x:v>
      </x:c>
      <x:c r="D12" s="21" t="str">
        <x:v>Conservar bytes antes de conversión, tamaño y SHA-256; identidad del productor/capturador, método y versión, permisos, activo/episodio, instante y precisión/orden, original y normalización, localizador, custodia y responsable que admite. Comparar hash original/recalculado; comprobar autoridad y ámbito por referencia verificable separada. Digest válido no autentica productor. Claves repetidas, identidades cruzadas, firma no verificada cuando exigida o alteración → NO_ADMITIDA. Captura fallida → FALLO_TECNICO sin salida del dominio. Ausencia declarada dentro de perfil admitido puede dar U.</x:v>
      </x:c>
    </x:row>
    <x:row r="13" ht="43" customHeight="1">
      <x:c r="A13" s="21" t="str">
        <x:v>C02</x:v>
      </x:c>
      <x:c r="B13" s="21" t="str">
        <x:v>Admisión e integridad de evidencia</x:v>
      </x:c>
      <x:c r="C13" s="21" t="str">
        <x:v>consecuencia</x:v>
      </x:c>
      <x:c r="D13" s="21" t="str">
        <x:v>Un fichero íntegro falsamente atribuido puede sustentar un cierre falso; rechazar toda ausencia como fallo oculta incertidumbre válida.</x:v>
      </x:c>
    </x:row>
    <x:row r="14" ht="44" customHeight="1">
      <x:c r="A14" s="21" t="str">
        <x:v>C02</x:v>
      </x:c>
      <x:c r="B14" s="21" t="str">
        <x:v>Admisión e integridad de evidencia</x:v>
      </x:c>
      <x:c r="C14" s="21" t="str">
        <x:v>prueba</x:v>
      </x:c>
      <x:c r="D14" s="21" t="str">
        <x:v>Alteración de un byte; hash rehecho por atacante sin productor autorizado; productor correcto fuera de ámbito; duplicado JSON; entero &gt;2^53 y decimal conservados; fallo no convertido a U.</x:v>
      </x:c>
    </x:row>
    <x:row r="15" ht="43" customHeight="1">
      <x:c r="A15" s="21" t="str">
        <x:v>C02</x:v>
      </x:c>
      <x:c r="B15" s="21" t="str">
        <x:v>Admisión e integridad de evidencia</x:v>
      </x:c>
      <x:c r="C15" s="21" t="str">
        <x:v>fuente</x:v>
      </x:c>
      <x:c r="D15" s="21" t="str">
        <x:v>Instrucción §5.5/7.3/9; T001 §2.3.1; F018 §7.4</x:v>
      </x:c>
    </x:row>
    <x:row r="16" ht="43" customHeight="1">
      <x:c r="A16" s="21" t="str">
        <x:v>C02</x:v>
      </x:c>
      <x:c r="B16" s="21" t="str">
        <x:v>Admisión e integridad de evidencia</x:v>
      </x:c>
      <x:c r="C16" s="21" t="str">
        <x:v>responsable</x:v>
      </x:c>
      <x:c r="D16" s="21" t="str">
        <x:v>Custodio de evidencia y experto; capturador en D-CYB-01</x:v>
      </x:c>
    </x:row>
    <x:row r="17" ht="43" customHeight="1">
      <x:c r="A17" s="21" t="str">
        <x:v>C03</x:v>
      </x:c>
      <x:c r="B17" s="21" t="str">
        <x:v>Operación individual y error</x:v>
      </x:c>
      <x:c r="C17" s="21" t="str">
        <x:v>q</x:v>
      </x:c>
      <x:c r="D17" s="21" t="str">
        <x:v>QCY-03-D1,D3</x:v>
      </x:c>
    </x:row>
    <x:row r="18" ht="59" customHeight="1">
      <x:c r="A18" s="21" t="str">
        <x:v>C03</x:v>
      </x:c>
      <x:c r="B18" s="21" t="str">
        <x:v>Operación individual y error</x:v>
      </x:c>
      <x:c r="C18" s="21" t="str">
        <x:v>contrato</x:v>
      </x:c>
      <x:c r="D18" s="21" t="str">
        <x:v>Preservar colección original de instalación, índice, UpdateIdentity y revisión, host, intento, fin individual, ResultCode y HResult sin colapsarlos. Índice fuera de rango/otra colección → no admisión. Error de instalación es hecho del dominio; error al leer es fallo del observador. P02=0 pide interpretar error y efecto parcial, no afirmar que nada se instaló. No activar P01 fuera de su perfil orcSucceeded.</x:v>
      </x:c>
    </x:row>
    <x:row r="19" ht="43" customHeight="1">
      <x:c r="A19" s="21" t="str">
        <x:v>C03</x:v>
      </x:c>
      <x:c r="B19" s="21" t="str">
        <x:v>Operación individual y error</x:v>
      </x:c>
      <x:c r="C19" s="21" t="str">
        <x:v>consecuencia</x:v>
      </x:c>
      <x:c r="D19" s="21" t="str">
        <x:v>Resultado agregado puede ocultar fallo individual; HResult aislado no sustituye el contrato de resultado.</x:v>
      </x:c>
    </x:row>
    <x:row r="20" ht="43" customHeight="1">
      <x:c r="A20" s="21" t="str">
        <x:v>C03</x:v>
      </x:c>
      <x:c r="B20" s="21" t="str">
        <x:v>Operación individual y error</x:v>
      </x:c>
      <x:c r="C20" s="21" t="str">
        <x:v>prueba</x:v>
      </x:c>
      <x:c r="D20" s="21" t="str">
        <x:v>Colección reordenada; agregado exitoso con elemento fallido; instalación abortada frente a fallo de lectura; P01 fuera de perfil.</x:v>
      </x:c>
    </x:row>
    <x:row r="21" ht="43" customHeight="1">
      <x:c r="A21" s="21" t="str">
        <x:v>C03</x:v>
      </x:c>
      <x:c r="B21" s="21" t="str">
        <x:v>Operación individual y error</x:v>
      </x:c>
      <x:c r="C21" s="21" t="str">
        <x:v>fuente</x:v>
      </x:c>
      <x:c r="D21" s="21" t="str">
        <x:v>T004–T006; R025</x:v>
      </x:c>
    </x:row>
    <x:row r="22" ht="43" customHeight="1">
      <x:c r="A22" s="21" t="str">
        <x:v>C03</x:v>
      </x:c>
      <x:c r="B22" s="21" t="str">
        <x:v>Operación individual y error</x:v>
      </x:c>
      <x:c r="C22" s="21" t="str">
        <x:v>responsable</x:v>
      </x:c>
      <x:c r="D22" s="21" t="str">
        <x:v>Experto de actualización</x:v>
      </x:c>
    </x:row>
    <x:row r="23" ht="43" customHeight="1">
      <x:c r="A23" s="21" t="str">
        <x:v>C04</x:v>
      </x:c>
      <x:c r="B23" s="21" t="str">
        <x:v>Lista finita de requisitos y cumplimiento</x:v>
      </x:c>
      <x:c r="C23" s="21" t="str">
        <x:v>q</x:v>
      </x:c>
      <x:c r="D23" s="21" t="str">
        <x:v>QCY-04-D3,D4</x:v>
      </x:c>
    </x:row>
    <x:row r="24" ht="89" customHeight="1">
      <x:c r="A24" s="21" t="str">
        <x:v>C04</x:v>
      </x:c>
      <x:c r="B24" s="21" t="str">
        <x:v>Lista finita de requisitos y cumplimiento</x:v>
      </x:c>
      <x:c r="C24" s="21" t="str">
        <x:v>contrato</x:v>
      </x:c>
      <x:c r="D24" s="21" t="str">
        <x:v>Antes de dictaminar, enumerar requisitos aplicables desde la regla específica: sistema P01/P03, software P04/P05/P11/P06 y criterio útil P07, otros P15 con obligaciones elementales y sus pruebas. La lista vacía necesita declaración explícita de ausencia de requisitos y cobertura de la instrucción. REQ COMPLETO sólo si cada obligación tiene prueba pertinente y vigente; desconocida mantiene INSUFICIENTE. Redespliegue, cambio de configuración, invalidación de caché o controlador no se equiparan: descomponer por efectos requeridos. Clase no soportada → D-CYB-01, nunca omisión silenciosa.</x:v>
      </x:c>
    </x:row>
    <x:row r="25" ht="44" customHeight="1">
      <x:c r="A25" s="21" t="str">
        <x:v>C04</x:v>
      </x:c>
      <x:c r="B25" s="21" t="str">
        <x:v>Lista finita de requisitos y cumplimiento</x:v>
      </x:c>
      <x:c r="C25" s="21" t="str">
        <x:v>consecuencia</x:v>
      </x:c>
      <x:c r="D25" s="21" t="str">
        <x:v>Terminar padre no termina hijos; crear sustituto no termina inicialización; redesplegar una réplica no actualiza todas. Consejo excesivo: exigir una acción no requerida.</x:v>
      </x:c>
    </x:row>
    <x:row r="26" ht="43" customHeight="1">
      <x:c r="A26" s="21" t="str">
        <x:v>C04</x:v>
      </x:c>
      <x:c r="B26" s="21" t="str">
        <x:v>Lista finita de requisitos y cumplimiento</x:v>
      </x:c>
      <x:c r="C26" s="21" t="str">
        <x:v>prueba</x:v>
      </x:c>
      <x:c r="D26" s="21" t="str">
        <x:v>Padre parado/hijo activo; creación con DLL fallida; dos obligaciones y sólo una satisfecha; lista vacía sin declaración; caché no observada.</x:v>
      </x:c>
    </x:row>
    <x:row r="27" ht="43" customHeight="1">
      <x:c r="A27" s="21" t="str">
        <x:v>C04</x:v>
      </x:c>
      <x:c r="B27" s="21" t="str">
        <x:v>Lista finita de requisitos y cumplimiento</x:v>
      </x:c>
      <x:c r="C27" s="21" t="str">
        <x:v>fuente</x:v>
      </x:c>
      <x:c r="D27" s="21" t="str">
        <x:v>T001 §2.3.2; T009; T014–T016; R025</x:v>
      </x:c>
    </x:row>
    <x:row r="28" ht="43" customHeight="1">
      <x:c r="A28" s="21" t="str">
        <x:v>C04</x:v>
      </x:c>
      <x:c r="B28" s="21" t="str">
        <x:v>Lista finita de requisitos y cumplimiento</x:v>
      </x:c>
      <x:c r="C28" s="21" t="str">
        <x:v>responsable</x:v>
      </x:c>
      <x:c r="D28" s="21" t="str">
        <x:v>Unidad de dominio y experto del producto</x:v>
      </x:c>
    </x:row>
    <x:row r="29" ht="43" customHeight="1">
      <x:c r="A29" s="21" t="str">
        <x:v>C05</x:v>
      </x:c>
      <x:c r="B29" s="21" t="str">
        <x:v>Instancias y dependencias con cierre finito</x:v>
      </x:c>
      <x:c r="C29" s="21" t="str">
        <x:v>q</x:v>
      </x:c>
      <x:c r="D29" s="21" t="str">
        <x:v>QCY-06-D1,D2;QCY-09-D1</x:v>
      </x:c>
    </x:row>
    <x:row r="30" ht="89" customHeight="1">
      <x:c r="A30" s="21" t="str">
        <x:v>C05</x:v>
      </x:c>
      <x:c r="B30" s="21" t="str">
        <x:v>Instancias y dependencias con cierre finito</x:v>
      </x:c>
      <x:c r="C30" s="21" t="str">
        <x:v>contrato</x:v>
      </x:c>
      <x:c r="D30" s="21" t="str">
        <x:v>Manifestar al corte conjuntos finitos de componentes, consumidores/instancias, servicios y enlaces de dependencia, con identidad y método de enumeración. Expansión desde el componente corregido por aristas pertinentes hasta punto fijo; conjunto de visitados evita ciclos. Cada frontera externa necesita responsable, contrato, evidencia o bloqueo; límite de búsqueda agotado no es cobertura. Una instancia excluida exige prueba de no consumo/pertinencia. Inventarios disco/runtime/controlador/caché/configuración distinguidos. Repetir una definición paramétrica para sujetos independientes exige estados y usos separados; no copiar un único valor.</x:v>
      </x:c>
    </x:row>
    <x:row r="31" ht="43" customHeight="1">
      <x:c r="A31" s="21" t="str">
        <x:v>C05</x:v>
      </x:c>
      <x:c r="B31" s="21" t="str">
        <x:v>Instancias y dependencias con cierre finito</x:v>
      </x:c>
      <x:c r="C31" s="21" t="str">
        <x:v>consecuencia</x:v>
      </x:c>
      <x:c r="D31" s="21" t="str">
        <x:v>Una biblioteca correcta en una instancia puede ocultar otra antigua. Omitir un proveedor o dependencia puede ocultar interrupción y arrastre.</x:v>
      </x:c>
    </x:row>
    <x:row r="32" ht="44" customHeight="1">
      <x:c r="A32" s="21" t="str">
        <x:v>C05</x:v>
      </x:c>
      <x:c r="B32" s="21" t="str">
        <x:v>Instancias y dependencias con cierre finito</x:v>
      </x:c>
      <x:c r="C32" s="21" t="str">
        <x:v>prueba</x:v>
      </x:c>
      <x:c r="D32" s="21" t="str">
        <x:v>A→B→A termina sin perder arista; segunda instancia omitida; dependencia externa sin prueba; identidad duplicada; inventario vacío no acreditado.</x:v>
      </x:c>
    </x:row>
    <x:row r="33" ht="43" customHeight="1">
      <x:c r="A33" s="21" t="str">
        <x:v>C05</x:v>
      </x:c>
      <x:c r="B33" s="21" t="str">
        <x:v>Instancias y dependencias con cierre finito</x:v>
      </x:c>
      <x:c r="C33" s="21" t="str">
        <x:v>fuente</x:v>
      </x:c>
      <x:c r="D33" s="21" t="str">
        <x:v>T001 §2.2/3.2; T008; T016; R025/R033/R036</x:v>
      </x:c>
    </x:row>
    <x:row r="34" ht="43" customHeight="1">
      <x:c r="A34" s="21" t="str">
        <x:v>C05</x:v>
      </x:c>
      <x:c r="B34" s="21" t="str">
        <x:v>Instancias y dependencias con cierre finito</x:v>
      </x:c>
      <x:c r="C34" s="21" t="str">
        <x:v>responsable</x:v>
      </x:c>
      <x:c r="D34" s="21" t="str">
        <x:v>Propietario del activo y responsables de servicios; dominio constituye usos</x:v>
      </x:c>
    </x:row>
    <x:row r="35" ht="43" customHeight="1">
      <x:c r="A35" s="21" t="str">
        <x:v>C06</x:v>
      </x:c>
      <x:c r="B35" s="21" t="str">
        <x:v>Criterio y sensibilidad del observador</x:v>
      </x:c>
      <x:c r="C35" s="21" t="str">
        <x:v>q</x:v>
      </x:c>
      <x:c r="D35" s="21" t="str">
        <x:v>QCY-05-D1,D3</x:v>
      </x:c>
    </x:row>
    <x:row r="36" ht="89" customHeight="1">
      <x:c r="A36" s="21" t="str">
        <x:v>C06</x:v>
      </x:c>
      <x:c r="B36" s="21" t="str">
        <x:v>Criterio y sensibilidad del observador</x:v>
      </x:c>
      <x:c r="C36" s="21" t="str">
        <x:v>contrato</x:v>
      </x:c>
      <x:c r="D36" s="21" t="str">
        <x:v>Plan previo: predicado unitario, fuente/regla, condiciones de aplicación, dato observado, método/versiones, cobertura y horizonte, oráculos positivo y negativo independientes del resultado, tolerancias sólo justificadas. Ejecutar observador sobre ambos testigos y mutantes que siempre responden positivo, negativo o ignoran el dato decisivo. Un scanner sin hallazgos con acceso insuficiente no acredita corrección. P07 sólo registra resultado de criterio admisible; la aptitud de la prueba es control externo. Repetir dos veces el mismo núcleo no constituye independencia semántica.</x:v>
      </x:c>
    </x:row>
    <x:row r="37" ht="44" customHeight="1">
      <x:c r="A37" s="21" t="str">
        <x:v>C06</x:v>
      </x:c>
      <x:c r="B37" s="21" t="str">
        <x:v>Criterio y sensibilidad del observador</x:v>
      </x:c>
      <x:c r="C37" s="21" t="str">
        <x:v>consecuencia</x:v>
      </x:c>
      <x:c r="D37" s="21" t="str">
        <x:v>Sin sensibilidad se puede confundir falta de defectos con incapacidad para verlos. Falsos positivos pueden impulsar interrupciones innecesarias.</x:v>
      </x:c>
    </x:row>
    <x:row r="38" ht="44" customHeight="1">
      <x:c r="A38" s="21" t="str">
        <x:v>C06</x:v>
      </x:c>
      <x:c r="B38" s="21" t="str">
        <x:v>Criterio y sensibilidad del observador</x:v>
      </x:c>
      <x:c r="C38" s="21" t="str">
        <x:v>prueba</x:v>
      </x:c>
      <x:c r="D38" s="21" t="str">
        <x:v>Testigo defecto residual; testigo corregido; sensor ciego; acceso insuficiente; objetivo/umbral elegido después de ver resultado; dos herramientas con misma base.</x:v>
      </x:c>
    </x:row>
    <x:row r="39" ht="43" customHeight="1">
      <x:c r="A39" s="21" t="str">
        <x:v>C06</x:v>
      </x:c>
      <x:c r="B39" s="21" t="str">
        <x:v>Criterio y sensibilidad del observador</x:v>
      </x:c>
      <x:c r="C39" s="21" t="str">
        <x:v>fuente</x:v>
      </x:c>
      <x:c r="D39" s="21" t="str">
        <x:v>F018 §4.3 y §7.3; instrucción §9/11; R040</x:v>
      </x:c>
    </x:row>
    <x:row r="40" ht="43" customHeight="1">
      <x:c r="A40" s="21" t="str">
        <x:v>C06</x:v>
      </x:c>
      <x:c r="B40" s="21" t="str">
        <x:v>Criterio y sensibilidad del observador</x:v>
      </x:c>
      <x:c r="C40" s="21" t="str">
        <x:v>responsable</x:v>
      </x:c>
      <x:c r="D40" s="21" t="str">
        <x:v>Responsable de comprobación; revisión del experto</x:v>
      </x:c>
    </x:row>
    <x:row r="41" ht="43" customHeight="1">
      <x:c r="A41" s="21" t="str">
        <x:v>C07</x:v>
      </x:c>
      <x:c r="B41" s="21" t="str">
        <x:v>Vigencia después de cambios</x:v>
      </x:c>
      <x:c r="C41" s="21" t="str">
        <x:v>q</x:v>
      </x:c>
      <x:c r="D41" s="21" t="str">
        <x:v>QCY-08-D1,D2,D3</x:v>
      </x:c>
    </x:row>
    <x:row r="42" ht="74" customHeight="1">
      <x:c r="A42" s="21" t="str">
        <x:v>C07</x:v>
      </x:c>
      <x:c r="B42" s="21" t="str">
        <x:v>Vigencia después de cambios</x:v>
      </x:c>
      <x:c r="C42" s="21" t="str">
        <x:v>contrato</x:v>
      </x:c>
      <x:c r="D42" s="21" t="str">
        <x:v>Relacionar cada evidencia con los componentes/claves/instancias y el horizonte que presupone. P08/P09/P10/P14 activan revisión sólo de dependencias afectadas; P06/P12/P13 describen estado actual. Cambio y retorno no elimina el suceso; igualdad final no renueva una comprobación de comportamiento. Una reversión por mecanismo distinto de desinstalación se evalúa por estado y alcance restaurado, no se fuerza P08. Historia parcial bloquea afirmación de ausencia de cambio.</x:v>
      </x:c>
    </x:row>
    <x:row r="43" ht="44" customHeight="1">
      <x:c r="A43" s="21" t="str">
        <x:v>C07</x:v>
      </x:c>
      <x:c r="B43" s="21" t="str">
        <x:v>Vigencia después de cambios</x:v>
      </x:c>
      <x:c r="C43" s="21" t="str">
        <x:v>consecuencia</x:v>
      </x:c>
      <x:c r="D43" s="21" t="str">
        <x:v>Reutilizar una comprobación tras restauración puede ocultar reversión. Invalidar indiscriminadamente toda evidencia también produce trabajo y coste sin fundamento.</x:v>
      </x:c>
    </x:row>
    <x:row r="44" ht="43" customHeight="1">
      <x:c r="A44" s="21" t="str">
        <x:v>C07</x:v>
      </x:c>
      <x:c r="B44" s="21" t="str">
        <x:v>Vigencia después de cambios</x:v>
      </x:c>
      <x:c r="C44" s="21" t="str">
        <x:v>prueba</x:v>
      </x:c>
      <x:c r="D44" s="21" t="str">
        <x:v>Cambio/retorno; rollback sin desinstalación; configuración restaurada con binario igual; cambio irrelevante no anula criterio independiente.</x:v>
      </x:c>
    </x:row>
    <x:row r="45" ht="43" customHeight="1">
      <x:c r="A45" s="21" t="str">
        <x:v>C07</x:v>
      </x:c>
      <x:c r="B45" s="21" t="str">
        <x:v>Vigencia después de cambios</x:v>
      </x:c>
      <x:c r="C45" s="21" t="str">
        <x:v>fuente</x:v>
      </x:c>
      <x:c r="D45" s="21" t="str">
        <x:v>T001 §2.3.4; T010/11; R025/R033</x:v>
      </x:c>
    </x:row>
    <x:row r="46" ht="43" customHeight="1">
      <x:c r="A46" s="21" t="str">
        <x:v>C07</x:v>
      </x:c>
      <x:c r="B46" s="21" t="str">
        <x:v>Vigencia después de cambios</x:v>
      </x:c>
      <x:c r="C46" s="21" t="str">
        <x:v>responsable</x:v>
      </x:c>
      <x:c r="D46" s="21" t="str">
        <x:v>Experto y custodio del historial</x:v>
      </x:c>
    </x:row>
    <x:row r="47" ht="43" customHeight="1">
      <x:c r="A47" s="21" t="str">
        <x:v>C08</x:v>
      </x:c>
      <x:c r="B47" s="21" t="str">
        <x:v>Impacto y servicio protegido</x:v>
      </x:c>
      <x:c r="C47" s="21" t="str">
        <x:v>q</x:v>
      </x:c>
      <x:c r="D47" s="21" t="str">
        <x:v>QCY-06-D3</x:v>
      </x:c>
    </x:row>
    <x:row r="48" ht="74" customHeight="1">
      <x:c r="A48" s="21" t="str">
        <x:v>C08</x:v>
      </x:c>
      <x:c r="B48" s="21" t="str">
        <x:v>Impacto y servicio protegido</x:v>
      </x:c>
      <x:c r="C48" s="21" t="str">
        <x:v>contrato</x:v>
      </x:c>
      <x:c r="D48" s="21" t="str">
        <x:v>Registrar servicio/función protegida, consumidores, consecuencias de indisponibilidad, degradación, seguridad y datos; duración estimada como intervalo con procedencia, ventana de tolerancia y dependencias de recuperación. Separar hecho medido, hipótesis y juicio humano. Probabilidades y valores no se inventan. Un RTO declarado es objetivo, no observación de recuperación. Impactos no monetizados permanecen explícitos y no se convierten en cero.</x:v>
      </x:c>
    </x:row>
    <x:row r="49" ht="44" customHeight="1">
      <x:c r="A49" s="21" t="str">
        <x:v>C08</x:v>
      </x:c>
      <x:c r="B49" s="21" t="str">
        <x:v>Impacto y servicio protegido</x:v>
      </x:c>
      <x:c r="C49" s="21" t="str">
        <x:v>consecuencia</x:v>
      </x:c>
      <x:c r="D49" s="21" t="str">
        <x:v>Aconsejar reinicio sin dependencia asistencial/negocial puede trasladar un riesgo mayor; sobredimensionar impacto sin fuente paraliza mantenimiento.</x:v>
      </x:c>
    </x:row>
    <x:row r="50" ht="43" customHeight="1">
      <x:c r="A50" s="21" t="str">
        <x:v>C08</x:v>
      </x:c>
      <x:c r="B50" s="21" t="str">
        <x:v>Impacto y servicio protegido</x:v>
      </x:c>
      <x:c r="C50" s="21" t="str">
        <x:v>prueba</x:v>
      </x:c>
      <x:c r="D50" s="21" t="str">
        <x:v>Activo barato/servicio crítico; RTO menor que interrupción prevista; impacto desconocido; doble cómputo de la misma pérdida.</x:v>
      </x:c>
    </x:row>
    <x:row r="51" ht="43" customHeight="1">
      <x:c r="A51" s="21" t="str">
        <x:v>C08</x:v>
      </x:c>
      <x:c r="B51" s="21" t="str">
        <x:v>Impacto y servicio protegido</x:v>
      </x:c>
      <x:c r="C51" s="21" t="str">
        <x:v>fuente</x:v>
      </x:c>
      <x:c r="D51" s="21" t="str">
        <x:v>R033 IV.7; R035 IV.6/9/11; T001 §3.1–3.2</x:v>
      </x:c>
    </x:row>
    <x:row r="52" ht="43" customHeight="1">
      <x:c r="A52" s="21" t="str">
        <x:v>C08</x:v>
      </x:c>
      <x:c r="B52" s="21" t="str">
        <x:v>Impacto y servicio protegido</x:v>
      </x:c>
      <x:c r="C52" s="21" t="str">
        <x:v>responsable</x:v>
      </x:c>
      <x:c r="D52" s="21" t="str">
        <x:v>Propietario del servicio y experto</x:v>
      </x:c>
    </x:row>
    <x:row r="53" ht="43" customHeight="1">
      <x:c r="A53" s="21" t="str">
        <x:v>C09</x:v>
      </x:c>
      <x:c r="B53" s="21" t="str">
        <x:v>Alternativas comparables</x:v>
      </x:c>
      <x:c r="C53" s="21" t="str">
        <x:v>q</x:v>
      </x:c>
      <x:c r="D53" s="21" t="str">
        <x:v>QCY-07-D1</x:v>
      </x:c>
    </x:row>
    <x:row r="54" ht="74" customHeight="1">
      <x:c r="A54" s="21" t="str">
        <x:v>C09</x:v>
      </x:c>
      <x:c r="B54" s="21" t="str">
        <x:v>Alternativas comparables</x:v>
      </x:c>
      <x:c r="C54" s="21" t="str">
        <x:v>contrato</x:v>
      </x:c>
      <x:c r="D54" s="21" t="str">
        <x:v>Conjunto finito pertinente al episodio: completar ahora, completar en ventana, alternativa del proveedor, mitigación temporal, mantener abierto y escalar, o exclusión fundada. Registrar viabilidad, efectos esperados, dependencias, reversibilidad y riesgo residual con fuentes. No acción es alternativa explícita si considerada; no es riesgo cero. Mitigar o aceptar riesgo no significa vulnerabilidad corregida. Una alternativa dominada se descarta sólo bajo dimensiones comparables y evidencia suficiente.</x:v>
      </x:c>
    </x:row>
    <x:row r="55" ht="44" customHeight="1">
      <x:c r="A55" s="21" t="str">
        <x:v>C09</x:v>
      </x:c>
      <x:c r="B55" s="21" t="str">
        <x:v>Alternativas comparables</x:v>
      </x:c>
      <x:c r="C55" s="21" t="str">
        <x:v>consecuencia</x:v>
      </x:c>
      <x:c r="D55" s="21" t="str">
        <x:v>Una falsa dicotomía entre reiniciar ya y cerrar puede omitir continuidad gradual; ofrecer mitigación como corrección falsa cambia indebidamente el producto.</x:v>
      </x:c>
    </x:row>
    <x:row r="56" ht="44" customHeight="1">
      <x:c r="A56" s="21" t="str">
        <x:v>C09</x:v>
      </x:c>
      <x:c r="B56" s="21" t="str">
        <x:v>Alternativas comparables</x:v>
      </x:c>
      <x:c r="C56" s="21" t="str">
        <x:v>prueba</x:v>
      </x:c>
      <x:c r="D56" s="21" t="str">
        <x:v>Mitigación viable deja cierre de corrección insuficiente; alternativa menos disruptiva; alternativa sin soporte; incertidumbre impide ordenar.</x:v>
      </x:c>
    </x:row>
    <x:row r="57" ht="43" customHeight="1">
      <x:c r="A57" s="21" t="str">
        <x:v>C09</x:v>
      </x:c>
      <x:c r="B57" s="21" t="str">
        <x:v>Alternativas comparables</x:v>
      </x:c>
      <x:c r="C57" s="21" t="str">
        <x:v>fuente</x:v>
      </x:c>
      <x:c r="D57" s="21" t="str">
        <x:v>T001 §2.1/3.3/3.5; R035 IV.9</x:v>
      </x:c>
    </x:row>
    <x:row r="58" ht="43" customHeight="1">
      <x:c r="A58" s="21" t="str">
        <x:v>C09</x:v>
      </x:c>
      <x:c r="B58" s="21" t="str">
        <x:v>Alternativas comparables</x:v>
      </x:c>
      <x:c r="C58" s="21" t="str">
        <x:v>responsable</x:v>
      </x:c>
      <x:c r="D58" s="21" t="str">
        <x:v>Experto propone; propietario decide</x:v>
      </x:c>
    </x:row>
    <x:row r="59" ht="43" customHeight="1">
      <x:c r="A59" s="21" t="str">
        <x:v>C10</x:v>
      </x:c>
      <x:c r="B59" s="21" t="str">
        <x:v>Ventana y orden temporal</x:v>
      </x:c>
      <x:c r="C59" s="21" t="str">
        <x:v>q</x:v>
      </x:c>
      <x:c r="D59" s="21" t="str">
        <x:v>QCY-07-D2</x:v>
      </x:c>
    </x:row>
    <x:row r="60" ht="59" customHeight="1">
      <x:c r="A60" s="21" t="str">
        <x:v>C10</x:v>
      </x:c>
      <x:c r="B60" s="21" t="str">
        <x:v>Ventana y orden temporal</x:v>
      </x:c>
      <x:c r="C60" s="21" t="str">
        <x:v>contrato</x:v>
      </x:c>
      <x:c r="D60" s="21" t="str">
        <x:v>Intervalo de actuación permitido [inicio,fin), zona UTC u offset explícito, duración y margen de recuperación justificados, tolerancia de reloj y dependencia previa. La previsión completa debe caber; fin exacto fuera si se inicia una nueva acción. Relojes sin orden fiable → incertidumbre temporal. Ventana disponible no es permiso ni obliga a actuar. No se calcula una ventana con horas de husos mezclados.</x:v>
      </x:c>
    </x:row>
    <x:row r="61" ht="43" customHeight="1">
      <x:c r="A61" s="21" t="str">
        <x:v>C10</x:v>
      </x:c>
      <x:c r="B61" s="21" t="str">
        <x:v>Ventana y orden temporal</x:v>
      </x:c>
      <x:c r="C61" s="21" t="str">
        <x:v>consecuencia</x:v>
      </x:c>
      <x:c r="D61" s="21" t="str">
        <x:v>Ignorar duración/recuperación puede invadir servicio necesario; interpretar huso erróneo puede provocar interrupción fuera de ventana.</x:v>
      </x:c>
    </x:row>
    <x:row r="62" ht="43" customHeight="1">
      <x:c r="A62" s="21" t="str">
        <x:v>C10</x:v>
      </x:c>
      <x:c r="B62" s="21" t="str">
        <x:v>Ventana y orden temporal</x:v>
      </x:c>
      <x:c r="C62" s="21" t="str">
        <x:v>prueba</x:v>
      </x:c>
      <x:c r="D62" s="21" t="str">
        <x:v>Límites iguales; fin exacto; offset incompatible; duración sin margen; incertidumbre de reloj que atraviesa frontera.</x:v>
      </x:c>
    </x:row>
    <x:row r="63" ht="43" customHeight="1">
      <x:c r="A63" s="21" t="str">
        <x:v>C10</x:v>
      </x:c>
      <x:c r="B63" s="21" t="str">
        <x:v>Ventana y orden temporal</x:v>
      </x:c>
      <x:c r="C63" s="21" t="str">
        <x:v>fuente</x:v>
      </x:c>
      <x:c r="D63" s="21" t="str">
        <x:v>T001 §3.2/3.5; R033 IV.7</x:v>
      </x:c>
    </x:row>
    <x:row r="64" ht="43" customHeight="1">
      <x:c r="A64" s="21" t="str">
        <x:v>C10</x:v>
      </x:c>
      <x:c r="B64" s="21" t="str">
        <x:v>Ventana y orden temporal</x:v>
      </x:c>
      <x:c r="C64" s="21" t="str">
        <x:v>responsable</x:v>
      </x:c>
      <x:c r="D64" s="21" t="str">
        <x:v>Responsable de cambio y servicio</x:v>
      </x:c>
    </x:row>
    <x:row r="65" ht="43" customHeight="1">
      <x:c r="A65" s="21" t="str">
        <x:v>C11</x:v>
      </x:c>
      <x:c r="B65" s="21" t="str">
        <x:v>Autoridad concreta y destinatario</x:v>
      </x:c>
      <x:c r="C65" s="21" t="str">
        <x:v>q</x:v>
      </x:c>
      <x:c r="D65" s="21" t="str">
        <x:v>QCY-07-D3;QCY-09-D4</x:v>
      </x:c>
    </x:row>
    <x:row r="66" ht="74" customHeight="1">
      <x:c r="A66" s="21" t="str">
        <x:v>C11</x:v>
      </x:c>
      <x:c r="B66" s="21" t="str">
        <x:v>Autoridad concreta y destinatario</x:v>
      </x:c>
      <x:c r="C66" s="21" t="str">
        <x:v>contrato</x:v>
      </x:c>
      <x:c r="D66" s="21" t="str">
        <x:v>Registrar Director del dominio, experto destinatario, propietario del activo/servicio y ejecutor autorizado como funciones separadas, pudiendo coincidir personas si acreditado. Evidencia de delegación, acción y activo permitidos, vigencia, límites y responsable de cierre. La facultad de investigar o proponer no permite reiniciar/desplegar. La IA redacta consejo, no firma decisiones humanas ni asume autenticación por un nombre en Excel.</x:v>
      </x:c>
    </x:row>
    <x:row r="67" ht="44" customHeight="1">
      <x:c r="A67" s="21" t="str">
        <x:v>C11</x:v>
      </x:c>
      <x:c r="B67" s="21" t="str">
        <x:v>Autoridad concreta y destinatario</x:v>
      </x:c>
      <x:c r="C67" s="21" t="str">
        <x:v>consecuencia</x:v>
      </x:c>
      <x:c r="D67" s="21" t="str">
        <x:v>Consejo técnicamente plausible sin permiso puede provocar intervención indebida; no identificar destinatario responsable deja incertidumbres sin resolver.</x:v>
      </x:c>
    </x:row>
    <x:row r="68" ht="43" customHeight="1">
      <x:c r="A68" s="21" t="str">
        <x:v>C11</x:v>
      </x:c>
      <x:c r="B68" s="21" t="str">
        <x:v>Autoridad concreta y destinatario</x:v>
      </x:c>
      <x:c r="C68" s="21" t="str">
        <x:v>prueba</x:v>
      </x:c>
      <x:c r="D68" s="21" t="str">
        <x:v>Firma válida para otro activo; autorización caducada; Director del catálogo sin permiso del cliente; orden de IA tomada por autorización.</x:v>
      </x:c>
    </x:row>
    <x:row r="69" ht="43" customHeight="1">
      <x:c r="A69" s="21" t="str">
        <x:v>C11</x:v>
      </x:c>
      <x:c r="B69" s="21" t="str">
        <x:v>Autoridad concreta y destinatario</x:v>
      </x:c>
      <x:c r="C69" s="21" t="str">
        <x:v>fuente</x:v>
      </x:c>
      <x:c r="D69" s="21" t="str">
        <x:v>Instrucción §8; F018 §6.5/Apéndice B; R035 IV.11</x:v>
      </x:c>
    </x:row>
    <x:row r="70" ht="43" customHeight="1">
      <x:c r="A70" s="21" t="str">
        <x:v>C11</x:v>
      </x:c>
      <x:c r="B70" s="21" t="str">
        <x:v>Autoridad concreta y destinatario</x:v>
      </x:c>
      <x:c r="C70" s="21" t="str">
        <x:v>responsable</x:v>
      </x:c>
      <x:c r="D70" s="21" t="str">
        <x:v>Sede organizativa del activo; Dirección sólo constitución</x:v>
      </x:c>
    </x:row>
    <x:row r="71" ht="43" customHeight="1">
      <x:c r="A71" s="21" t="str">
        <x:v>C12</x:v>
      </x:c>
      <x:c r="B71" s="21" t="str">
        <x:v>Balance exacto de coste y valor</x:v>
      </x:c>
      <x:c r="C71" s="21" t="str">
        <x:v>q</x:v>
      </x:c>
      <x:c r="D71" s="21" t="str">
        <x:v>QCY-07-D4</x:v>
      </x:c>
    </x:row>
    <x:row r="72" ht="89" customHeight="1">
      <x:c r="A72" s="21" t="str">
        <x:v>C12</x:v>
      </x:c>
      <x:c r="B72" s="21" t="str">
        <x:v>Balance exacto de coste y valor</x:v>
      </x:c>
      <x:c r="C72" s="21" t="str">
        <x:v>contrato</x:v>
      </x:c>
      <x:c r="D72" s="21" t="str">
        <x:v>Aplicar el principio humano de proporcionalidad sobre el valor protegido completo y el mismo horizonte. Conservar originales decimales/unidad/moneda/base y método; separar coste directo, interrupción, verificación, recuperación y riesgo residual sin doble conteo. Para intervalos comparables: coste mínimo &gt; valor máximo demuestra exceso; coste máximo ≤ valor mínimo sólo supera esta comparación, no acredita conveniencia total; solapamiento o no monetizables → juicio no resuelto. No convertir datos desconocidos en cero ni compensar informalmente restricciones humanas. No calcular ROI con denominador desconocido.</x:v>
      </x:c>
    </x:row>
    <x:row r="73" ht="44" customHeight="1">
      <x:c r="A73" s="21" t="str">
        <x:v>C12</x:v>
      </x:c>
      <x:c r="B73" s="21" t="str">
        <x:v>Balance exacto de coste y valor</x:v>
      </x:c>
      <x:c r="C73" s="21" t="str">
        <x:v>consecuencia</x:v>
      </x:c>
      <x:c r="D73" s="21" t="str">
        <x:v>Precio de compra subestima valor del servicio; falsa precisión puede justificar gasto superior a lo protegido o descartar una protección necesaria.</x:v>
      </x:c>
    </x:row>
    <x:row r="74" ht="43" customHeight="1">
      <x:c r="A74" s="21" t="str">
        <x:v>C12</x:v>
      </x:c>
      <x:c r="B74" s="21" t="str">
        <x:v>Balance exacto de coste y valor</x:v>
      </x:c>
      <x:c r="C74" s="21" t="str">
        <x:v>prueba</x:v>
      </x:c>
      <x:c r="D74" s="21" t="str">
        <x:v>7.50 exacto; 9007199254740993 conservado; distintas monedas; coste mínimo superior; intervalos solapados; valor no monetizado.</x:v>
      </x:c>
    </x:row>
    <x:row r="75" ht="43" customHeight="1">
      <x:c r="A75" s="21" t="str">
        <x:v>C12</x:v>
      </x:c>
      <x:c r="B75" s="21" t="str">
        <x:v>Balance exacto de coste y valor</x:v>
      </x:c>
      <x:c r="C75" s="21" t="str">
        <x:v>fuente</x:v>
      </x:c>
      <x:c r="D75" s="21" t="str">
        <x:v>Mandato humano de proporcionalidad; R035 IV.6/9/11; T001 §3; instrucción §7.3</x:v>
      </x:c>
    </x:row>
    <x:row r="76" ht="43" customHeight="1">
      <x:c r="A76" s="21" t="str">
        <x:v>C12</x:v>
      </x:c>
      <x:c r="B76" s="21" t="str">
        <x:v>Balance exacto de coste y valor</x:v>
      </x:c>
      <x:c r="C76" s="21" t="str">
        <x:v>responsable</x:v>
      </x:c>
      <x:c r="D76" s="21" t="str">
        <x:v>Propietario del servicio y experto; Dirección no sustituye valoración del cliente</x:v>
      </x:c>
    </x:row>
    <x:row r="77" ht="43" customHeight="1">
      <x:c r="A77" s="21" t="str">
        <x:v>C13</x:v>
      </x:c>
      <x:c r="B77" s="21" t="str">
        <x:v>Explicación y producto profesional</x:v>
      </x:c>
      <x:c r="C77" s="21" t="str">
        <x:v>q</x:v>
      </x:c>
      <x:c r="D77" s="21" t="str">
        <x:v>QCY-09-D2,D3</x:v>
      </x:c>
    </x:row>
    <x:row r="78" ht="74" customHeight="1">
      <x:c r="A78" s="21" t="str">
        <x:v>C13</x:v>
      </x:c>
      <x:c r="B78" s="21" t="str">
        <x:v>Explicación y producto profesional</x:v>
      </x:c>
      <x:c r="C78" s="21" t="str">
        <x:v>contrato</x:v>
      </x:c>
      <x:c r="D78" s="21" t="str">
        <x:v>Expediente de consejo con identidad/corte, fuentes admitidas, observables, estados por sujeto, reglas y relaciones utilizadas, incertidumbres y bloqueos, consecuencias condicionadas, alternativas, autoridad destinataria y alcance. SUFICIENTE sólo para la afirmación concreta con todas sus obligaciones cubiertas; INSUFICIENTE si falta una indispensable; EXCLUSION_FUNDADA si la operación no aplica con prueba. Fallo técnico carece de producto del dominio. La plantilla y los ensayos son explicación documental, no Frame SV.</x:v>
      </x:c>
    </x:row>
    <x:row r="79" ht="43" customHeight="1">
      <x:c r="A79" s="21" t="str">
        <x:v>C13</x:v>
      </x:c>
      <x:c r="B79" s="21" t="str">
        <x:v>Explicación y producto profesional</x:v>
      </x:c>
      <x:c r="C79" s="21" t="str">
        <x:v>consecuencia</x:v>
      </x:c>
      <x:c r="D79" s="21" t="str">
        <x:v>Una respuesta sin relaciones puede ser correcta por azar e imposible de auditar; mezclar mitigación con corrección encubre riesgo residual.</x:v>
      </x:c>
    </x:row>
    <x:row r="80" ht="44" customHeight="1">
      <x:c r="A80" s="21" t="str">
        <x:v>C13</x:v>
      </x:c>
      <x:c r="B80" s="21" t="str">
        <x:v>Explicación y producto profesional</x:v>
      </x:c>
      <x:c r="C80" s="21" t="str">
        <x:v>prueba</x:v>
      </x:c>
      <x:c r="D80" s="21" t="str">
        <x:v>Mismos bytes de identidad completa → mismos bytes documentales; omitir una dependencia altera dictamen; fallo no genera salida alternativa; incertidumbre relevante visible.</x:v>
      </x:c>
    </x:row>
    <x:row r="81" ht="43" customHeight="1">
      <x:c r="A81" s="21" t="str">
        <x:v>C13</x:v>
      </x:c>
      <x:c r="B81" s="21" t="str">
        <x:v>Explicación y producto profesional</x:v>
      </x:c>
      <x:c r="C81" s="21" t="str">
        <x:v>fuente</x:v>
      </x:c>
      <x:c r="D81" s="21" t="str">
        <x:v>Instrucción §8/9/11; pilares; T001 §2.3.3</x:v>
      </x:c>
    </x:row>
    <x:row r="82" ht="43" customHeight="1">
      <x:c r="A82" s="21" t="str">
        <x:v>C13</x:v>
      </x:c>
      <x:c r="B82" s="21" t="str">
        <x:v>Explicación y producto profesional</x:v>
      </x:c>
      <x:c r="C82" s="21" t="str">
        <x:v>responsable</x:v>
      </x:c>
      <x:c r="D82" s="21" t="str">
        <x:v>IA propone explicación; experto juzga y decide</x:v>
      </x:c>
    </x:row>
    <x:row r="83" ht="43" customHeight="1">
      <x:c r="A83" s="21" t="str">
        <x:v>C14</x:v>
      </x:c>
      <x:c r="B83" s="21" t="str">
        <x:v>Congelado y reevaluación gobernada</x:v>
      </x:c>
      <x:c r="C83" s="21" t="str">
        <x:v>q</x:v>
      </x:c>
      <x:c r="D83" s="21" t="str">
        <x:v>QCY-02-D3;QCY-09-D3</x:v>
      </x:c>
    </x:row>
    <x:row r="84" ht="74" customHeight="1">
      <x:c r="A84" s="21" t="str">
        <x:v>C14</x:v>
      </x:c>
      <x:c r="B84" s="21" t="str">
        <x:v>Congelado y reevaluación gobernada</x:v>
      </x:c>
      <x:c r="C84" s="21" t="str">
        <x:v>contrato</x:v>
      </x:c>
      <x:c r="D84" s="21" t="str">
        <x:v>Separar adquisición de fuentes candidatas, admisión del corte de conocimiento por Dirección y recepción de nuevos hechos del episodio. Conservar versión anterior, impactos y decisión prospectiva. No consultar latest durante evaluación. Un cambio de catálogo no reescribe la historia; la nueva referencia requiere evaluación y aptitud humana antes de uso. Identidad completa incluye todos los bytes/cortes de reglas, datos y realizador realmente usados.</x:v>
      </x:c>
    </x:row>
    <x:row r="85" ht="44" customHeight="1">
      <x:c r="A85" s="21" t="str">
        <x:v>C14</x:v>
      </x:c>
      <x:c r="B85" s="21" t="str">
        <x:v>Congelado y reevaluación gobernada</x:v>
      </x:c>
      <x:c r="C85" s="21" t="str">
        <x:v>consecuencia</x:v>
      </x:c>
      <x:c r="D85" s="21" t="str">
        <x:v>Una evaluación aparentemente idéntica puede cambiar al consultar fuentes vivas; congelar hechos para siempre impediría advertir nuevos cambios reales.</x:v>
      </x:c>
    </x:row>
    <x:row r="86" ht="44" customHeight="1">
      <x:c r="A86" s="21" t="str">
        <x:v>C14</x:v>
      </x:c>
      <x:c r="B86" s="21" t="str">
        <x:v>Congelado y reevaluación gobernada</x:v>
      </x:c>
      <x:c r="C86" s="21" t="str">
        <x:v>prueba</x:v>
      </x:c>
      <x:c r="D86" s="21" t="str">
        <x:v>Catálogo cambia con mismo nombre; nueva observación sin nueva regla; sustitución automática de dependencia; cambio de regla produce identidad distinta.</x:v>
      </x:c>
    </x:row>
    <x:row r="87" ht="43" customHeight="1">
      <x:c r="A87" s="21" t="str">
        <x:v>C14</x:v>
      </x:c>
      <x:c r="B87" s="21" t="str">
        <x:v>Congelado y reevaluación gobernada</x:v>
      </x:c>
      <x:c r="C87" s="21" t="str">
        <x:v>fuente</x:v>
      </x:c>
      <x:c r="D87" s="21" t="str">
        <x:v>Instrucción §5.4–5.5/8/9; mandato humano</x:v>
      </x:c>
    </x:row>
    <x:row r="88" ht="43" customHeight="1">
      <x:c r="A88" s="21" t="str">
        <x:v>C14</x:v>
      </x:c>
      <x:c r="B88" s="21" t="str">
        <x:v>Congelado y reevaluación gobernada</x:v>
      </x:c>
      <x:c r="C88" s="21" t="str">
        <x:v>responsable</x:v>
      </x:c>
      <x:c r="D88" s="21" t="str">
        <x:v>Dirección adopta conocimiento; experto/custodio reciben hechos</x:v>
      </x:c>
    </x:row>
  </x:sheetData>
  <x:mergeCells>
    <x:mergeCell ref="A1:D1"/>
    <x:mergeCell ref="A2:D2"/>
  </x:mergeCells>
  <x:pageMargins left="0.7" right="0.7" top="0.75" bottom="0.75" header="0.3" footer="0.3"/>
  <x:tableParts count="1">
    <x:tablePart xmlns:r="http://schemas.openxmlformats.org/officeDocument/2006/relationships" r:id="R4165337b7279452d"/>
  </x:tableParts>
</x:worksheet>
</file>

<file path=xl/worksheets/sheet6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44" hidden="0" customWidth="1"/>
    <x:col min="3" max="3" width="51" hidden="0" customWidth="1"/>
    <x:col min="4" max="4" width="109" hidden="0" customWidth="1"/>
    <x:col min="5" max="5" width="107" hidden="0" customWidth="1"/>
    <x:col min="6" max="6" width="29" hidden="0" customWidth="1"/>
  </x:cols>
  <x:sheetData>
    <x:row r="1" ht="34" customHeight="1">
      <x:c r="A1" s="23" t="str">
        <x:v>RELACIONES PROFESIONALES · qué exige qué</x:v>
      </x:c>
      <x:c r="B1" s="23"/>
      <x:c r="C1" s="23"/>
      <x:c r="D1" s="23"/>
      <x:c r="E1" s="23"/>
      <x:c r="F1" s="23"/>
    </x:row>
    <x:row r="2" ht="57" customHeight="1">
      <x:c r="A2" s="24" t="str">
        <x:v>Mapa de dependencia del consejo; no constituye rutas SV, criticidades computadas ni Frame.</x:v>
      </x:c>
      <x:c r="B2" s="24"/>
      <x:c r="C2" s="24"/>
      <x:c r="D2" s="24"/>
      <x:c r="E2" s="24"/>
      <x:c r="F2" s="24"/>
    </x:row>
    <x:row r="3">
      <x:c r="A3" s="21"/>
      <x:c r="B3" s="21"/>
      <x:c r="C3" s="21"/>
      <x:c r="D3" s="21"/>
      <x:c r="E3" s="21"/>
      <x:c r="F3" s="21"/>
    </x:row>
    <x:row r="4" ht="48" customHeight="1">
      <x:c r="A4" s="26" t="str">
        <x:v>Relación</x:v>
      </x:c>
      <x:c r="B4" s="26" t="str">
        <x:v>Antecedente</x:v>
      </x:c>
      <x:c r="C4" s="26" t="str">
        <x:v>Consecuente</x:v>
      </x:c>
      <x:c r="D4" s="26" t="str">
        <x:v>Relación / condición</x:v>
      </x:c>
      <x:c r="E4" s="26" t="str">
        <x:v>Consecuencia de omisión</x:v>
      </x:c>
      <x:c r="F4" s="26" t="str">
        <x:v>Q0</x:v>
      </x:c>
    </x:row>
    <x:row r="5" ht="43" customHeight="1">
      <x:c r="A5" s="21" t="str">
        <x:v>R01</x:v>
      </x:c>
      <x:c r="B5" s="21" t="str">
        <x:v>C01,C02,C03</x:v>
      </x:c>
      <x:c r="C5" s="21" t="str">
        <x:v>P01–P15</x:v>
      </x:c>
      <x:c r="D5" s="21" t="str">
        <x:v>Admitir sujeto, episodio, regla y observación antes de transducir</x:v>
      </x:c>
      <x:c r="E5" s="21" t="str">
        <x:v>No usar Tri de un objeto ajeno o de una captura fallida</x:v>
      </x:c>
      <x:c r="F5" s="21" t="str">
        <x:v>QCY-01/02/03</x:v>
      </x:c>
    </x:row>
    <x:row r="6" ht="43" customHeight="1">
      <x:c r="A6" s="21" t="str">
        <x:v>R02</x:v>
      </x:c>
      <x:c r="B6" s="21" t="str">
        <x:v>P01</x:v>
      </x:c>
      <x:c r="C6" s="21" t="str">
        <x:v>P03</x:v>
      </x:c>
      <x:c r="D6" s="21" t="str">
        <x:v>Si el requisito histórico es 1, exigir reinicio íntegro posterior</x:v>
      </x:c>
      <x:c r="E6" s="21" t="str">
        <x:v>Éxito comunicado no prueba completitud del sistema</x:v>
      </x:c>
      <x:c r="F6" s="21" t="str">
        <x:v>QCY-04-D1/D2</x:v>
      </x:c>
    </x:row>
    <x:row r="7" ht="43" customHeight="1">
      <x:c r="A7" s="21" t="str">
        <x:v>R03</x:v>
      </x:c>
      <x:c r="B7" s="21" t="str">
        <x:v>P04</x:v>
      </x:c>
      <x:c r="C7" s="21" t="str">
        <x:v>P05,P11</x:v>
      </x:c>
      <x:c r="D7" s="21" t="str">
        <x:v>Si el software exige reinicio, separar término de generación previa y creación posterior</x:v>
      </x:c>
      <x:c r="E7" s="21" t="str">
        <x:v>No equiparar detención con sustitución</x:v>
      </x:c>
      <x:c r="F7" s="21" t="str">
        <x:v>QCY-04-D3/D4</x:v>
      </x:c>
    </x:row>
    <x:row r="8" ht="43" customHeight="1">
      <x:c r="A8" s="21" t="str">
        <x:v>R04</x:v>
      </x:c>
      <x:c r="B8" s="21" t="str">
        <x:v>P11</x:v>
      </x:c>
      <x:c r="C8" s="21" t="str">
        <x:v>P06,P07</x:v>
      </x:c>
      <x:c r="D8" s="21" t="str">
        <x:v>Creación posterior no prueba imagen correcta ni servicio útil</x:v>
      </x:c>
      <x:c r="E8" s="21" t="str">
        <x:v>DLL ausente puede terminar inicialización tras CreateProcess exitoso</x:v>
      </x:c>
      <x:c r="F8" s="21" t="str">
        <x:v>QCY-04/05</x:v>
      </x:c>
    </x:row>
    <x:row r="9" ht="43" customHeight="1">
      <x:c r="A9" s="21" t="str">
        <x:v>R05</x:v>
      </x:c>
      <x:c r="B9" s="21" t="str">
        <x:v>P05,C05</x:v>
      </x:c>
      <x:c r="C9" s="21" t="str">
        <x:v>P05 por cada hijo/consumidor pertinente</x:v>
      </x:c>
      <x:c r="D9" s="21" t="str">
        <x:v>Un padre terminado no termina automáticamente hijos ni todos los usos de objetos compartidos</x:v>
      </x:c>
      <x:c r="E9" s="21" t="str">
        <x:v>No presumir liberación total a partir de una instancia</x:v>
      </x:c>
      <x:c r="F9" s="21" t="str">
        <x:v>QCY-04/06/09</x:v>
      </x:c>
    </x:row>
    <x:row r="10" ht="43" customHeight="1">
      <x:c r="A10" s="21" t="str">
        <x:v>R06</x:v>
      </x:c>
      <x:c r="B10" s="21" t="str">
        <x:v>P06,P13</x:v>
      </x:c>
      <x:c r="C10" s="21" t="str">
        <x:v>C06</x:v>
      </x:c>
      <x:c r="D10" s="21" t="str">
        <x:v>Comparar imagen activa y artefacto persistente sin equipararlos</x:v>
      </x:c>
      <x:c r="E10" s="21" t="str">
        <x:v>Una corrección puede no estar cargada o no persistir para carga futura</x:v>
      </x:c>
      <x:c r="F10" s="21" t="str">
        <x:v>QCY-05-D2</x:v>
      </x:c>
    </x:row>
    <x:row r="11" ht="43" customHeight="1">
      <x:c r="A11" s="21" t="str">
        <x:v>R07</x:v>
      </x:c>
      <x:c r="B11" s="21" t="str">
        <x:v>P12</x:v>
      </x:c>
      <x:c r="C11" s="21" t="str">
        <x:v>P07</x:v>
      </x:c>
      <x:c r="D11" s="21" t="str">
        <x:v>Valor efectivo objetivo distinto de fichero escrito y distinto de prueba funcional</x:v>
      </x:c>
      <x:c r="E11" s="21" t="str">
        <x:v>No atribuir efecto corrector sólo por haber guardado configuración</x:v>
      </x:c>
      <x:c r="F11" s="21" t="str">
        <x:v>QCY-05</x:v>
      </x:c>
    </x:row>
    <x:row r="12" ht="43" customHeight="1">
      <x:c r="A12" s="21" t="str">
        <x:v>R08</x:v>
      </x:c>
      <x:c r="B12" s="21" t="str">
        <x:v>P15,C04</x:v>
      </x:c>
      <x:c r="C12" s="21" t="str">
        <x:v>P07 y estados pertinentes</x:v>
      </x:c>
      <x:c r="D12" s="21" t="str">
        <x:v>Cada obligación unitaria tiene prueba y criterio terminal propio</x:v>
      </x:c>
      <x:c r="E12" s="21" t="str">
        <x:v>Una tarea agregada no acredita todos sus efectos</x:v>
      </x:c>
      <x:c r="F12" s="21" t="str">
        <x:v>QCY-04-D3/D4</x:v>
      </x:c>
    </x:row>
    <x:row r="13" ht="43" customHeight="1">
      <x:c r="A13" s="21" t="str">
        <x:v>R09</x:v>
      </x:c>
      <x:c r="B13" s="21" t="str">
        <x:v>P08,P09,P10,P14</x:v>
      </x:c>
      <x:c r="C13" s="21" t="str">
        <x:v>C07</x:v>
      </x:c>
      <x:c r="D13" s="21" t="str">
        <x:v>Revisar vigencia de evidencia que dependa del objeto cambiado</x:v>
      </x:c>
      <x:c r="E13" s="21" t="str">
        <x:v>Cambio y retorno no borran historia ni renuevan la comprobación</x:v>
      </x:c>
      <x:c r="F13" s="21" t="str">
        <x:v>QCY-08</x:v>
      </x:c>
    </x:row>
    <x:row r="14" ht="43" customHeight="1">
      <x:c r="A14" s="21" t="str">
        <x:v>R10</x:v>
      </x:c>
      <x:c r="B14" s="21" t="str">
        <x:v>C05</x:v>
      </x:c>
      <x:c r="C14" s="21" t="str">
        <x:v>C06,C13</x:v>
      </x:c>
      <x:c r="D14" s="21" t="str">
        <x:v>Cubrir todas las instancias declaradas y fronteras antes del consejo de cierre</x:v>
      </x:c>
      <x:c r="E14" s="21" t="str">
        <x:v>Una instancia positiva no representa el conjunto</x:v>
      </x:c>
      <x:c r="F14" s="21" t="str">
        <x:v>QCY-09-D1</x:v>
      </x:c>
    </x:row>
    <x:row r="15" ht="43" customHeight="1">
      <x:c r="A15" s="21" t="str">
        <x:v>R11</x:v>
      </x:c>
      <x:c r="B15" s="21" t="str">
        <x:v>C06</x:v>
      </x:c>
      <x:c r="C15" s="21" t="str">
        <x:v>P07</x:v>
      </x:c>
      <x:c r="D15" s="21" t="str">
        <x:v>Criterio previo con sensibilidad y acceso adecuados</x:v>
      </x:c>
      <x:c r="E15" s="21" t="str">
        <x:v>Sin hallazgos puede ser ceguera del observador</x:v>
      </x:c>
      <x:c r="F15" s="21" t="str">
        <x:v>QCY-05-D1/D3</x:v>
      </x:c>
    </x:row>
    <x:row r="16" ht="44" customHeight="1">
      <x:c r="A16" s="21" t="str">
        <x:v>R12</x:v>
      </x:c>
      <x:c r="B16" s="21" t="str">
        <x:v>C08,C09</x:v>
      </x:c>
      <x:c r="C16" s="21" t="str">
        <x:v>C10,C11,C12</x:v>
      </x:c>
      <x:c r="D16" s="21" t="str">
        <x:v>Si se aconseja acción pendiente, valorar impactos, alternativas, ventana, permiso y proporcionalidad</x:v>
      </x:c>
      <x:c r="E16" s="21" t="str">
        <x:v>No se ordena reinicio sólo porque una obligación esté pendiente</x:v>
      </x:c>
      <x:c r="F16" s="21" t="str">
        <x:v>QCY-06/07</x:v>
      </x:c>
    </x:row>
    <x:row r="17" ht="43" customHeight="1">
      <x:c r="A17" s="21" t="str">
        <x:v>R13</x:v>
      </x:c>
      <x:c r="B17" s="21" t="str">
        <x:v>C10</x:v>
      </x:c>
      <x:c r="C17" s="21" t="str">
        <x:v>C11</x:v>
      </x:c>
      <x:c r="D17" s="21" t="str">
        <x:v>Cabida temporal y autorización son condiciones distintas</x:v>
      </x:c>
      <x:c r="E17" s="21" t="str">
        <x:v>Una ventana abierta no da permiso</x:v>
      </x:c>
      <x:c r="F17" s="21" t="str">
        <x:v>QCY-07-D2/D3</x:v>
      </x:c>
    </x:row>
    <x:row r="18" ht="43" customHeight="1">
      <x:c r="A18" s="21" t="str">
        <x:v>R14</x:v>
      </x:c>
      <x:c r="B18" s="21" t="str">
        <x:v>C12</x:v>
      </x:c>
      <x:c r="C18" s="21" t="str">
        <x:v>C09,C13</x:v>
      </x:c>
      <x:c r="D18" s="21" t="str">
        <x:v>Exceso probado descarta proporcionalidad de esa alternativa; incertidumbre conserva juicio abierto</x:v>
      </x:c>
      <x:c r="E18" s="21" t="str">
        <x:v>Coste del activo no agota valor del servicio; mitigación no es corrección</x:v>
      </x:c>
      <x:c r="F18" s="21" t="str">
        <x:v>QCY-07-D4</x:v>
      </x:c>
    </x:row>
    <x:row r="19" ht="43" customHeight="1">
      <x:c r="A19" s="21" t="str">
        <x:v>R15</x:v>
      </x:c>
      <x:c r="B19" s="21" t="str">
        <x:v>C01–C14 y parámetros aplicables</x:v>
      </x:c>
      <x:c r="C19" s="21" t="str">
        <x:v>C13</x:v>
      </x:c>
      <x:c r="D19" s="21" t="str">
        <x:v>Explicar datos, reglas, U, consecuencias y bloqueos del alcance</x:v>
      </x:c>
      <x:c r="E19" s="21" t="str">
        <x:v>No ocultar deuda bajo una conclusión global favorable</x:v>
      </x:c>
      <x:c r="F19" s="21" t="str">
        <x:v>QCY-09</x:v>
      </x:c>
    </x:row>
    <x:row r="20" ht="43" customHeight="1">
      <x:c r="A20" s="21" t="str">
        <x:v>R16</x:v>
      </x:c>
      <x:c r="B20" s="21" t="str">
        <x:v>C14</x:v>
      </x:c>
      <x:c r="C20" s="21" t="str">
        <x:v>Todos los contratos</x:v>
      </x:c>
      <x:c r="D20" s="21" t="str">
        <x:v>Nuevos hechos reevalúan; nuevo conocimiento requiere admisión humana previa</x:v>
      </x:c>
      <x:c r="E20" s="21" t="str">
        <x:v>Identidad completa y cortes congelados para repetición</x:v>
      </x:c>
      <x:c r="F20" s="21" t="str">
        <x:v>QCY-02/09</x:v>
      </x:c>
    </x:row>
  </x:sheetData>
  <x:mergeCells>
    <x:mergeCell ref="A1:D1"/>
    <x:mergeCell ref="A2:F2"/>
  </x:mergeCells>
  <x:pageMargins left="0.7" right="0.7" top="0.75" bottom="0.75" header="0.3" footer="0.3"/>
  <x:tableParts count="1">
    <x:tablePart xmlns:r="http://schemas.openxmlformats.org/officeDocument/2006/relationships" r:id="Re0ee511dcd42410e"/>
  </x:tableParts>
</x:worksheet>
</file>

<file path=xl/worksheets/sheet6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15" hidden="0" customWidth="1"/>
    <x:col min="3" max="3" width="69" hidden="0" customWidth="1"/>
    <x:col min="4" max="4" width="24" hidden="0" customWidth="1"/>
    <x:col min="5" max="5" width="25" hidden="0" customWidth="1"/>
    <x:col min="6" max="6" width="24" hidden="0" customWidth="1"/>
    <x:col min="7" max="7" width="26" hidden="0" customWidth="1"/>
    <x:col min="8" max="8" width="19" hidden="0" customWidth="1"/>
    <x:col min="9" max="9" width="22" hidden="0" customWidth="1"/>
    <x:col min="10" max="10" width="22" hidden="0" customWidth="1"/>
    <x:col min="11" max="11" width="70" hidden="0" customWidth="1"/>
    <x:col min="12" max="12" width="70" hidden="0" customWidth="1"/>
    <x:col min="13" max="13" width="30" hidden="0" customWidth="1"/>
    <x:col min="14" max="14" width="30" hidden="0" customWidth="1"/>
    <x:col min="15" max="15" width="25" hidden="0" customWidth="1"/>
    <x:col min="16" max="16" width="39" hidden="0" customWidth="1"/>
    <x:col min="17" max="17" width="39" hidden="0" customWidth="1"/>
    <x:col min="18" max="18" width="27" hidden="0" customWidth="1"/>
    <x:col min="19" max="19" width="115" hidden="0" customWidth="1"/>
  </x:cols>
  <x:sheetData>
    <x:row r="1" ht="34" customHeight="1">
      <x:c r="A1" s="23" t="str">
        <x:v>TESTIGOS · cinco candidatos</x:v>
      </x:c>
      <x:c r="B1" s="23"/>
      <x:c r="C1" s="23"/>
      <x:c r="D1" s="23"/>
      <x:c r="E1" s="23"/>
      <x:c r="F1" s="23"/>
      <x:c r="G1" s="23"/>
      <x:c r="H1" s="23"/>
      <x:c r="I1" s="23"/>
      <x:c r="J1" s="23"/>
      <x:c r="K1" s="23"/>
      <x:c r="L1" s="23"/>
      <x:c r="M1" s="23"/>
      <x:c r="N1" s="23"/>
      <x:c r="O1" s="23"/>
      <x:c r="P1" s="23"/>
      <x:c r="Q1" s="23"/>
      <x:c r="R1" s="23"/>
      <x:c r="S1" s="23"/>
    </x:row>
    <x:row r="2" ht="57" customHeight="1">
      <x:c r="A2" s="24" t="str">
        <x:v>Esperados previos, resultados del observador documental y control Excel de concordancia. Enteros y huellas exactos como texto.</x:v>
      </x:c>
      <x:c r="B2" s="24"/>
      <x:c r="C2" s="24"/>
      <x:c r="D2" s="24"/>
      <x:c r="E2" s="24"/>
      <x:c r="F2" s="24"/>
      <x:c r="G2" s="24"/>
      <x:c r="H2" s="24"/>
      <x:c r="I2" s="24"/>
      <x:c r="J2" s="24"/>
      <x:c r="K2" s="24"/>
      <x:c r="L2" s="24"/>
      <x:c r="M2" s="24"/>
      <x:c r="N2" s="24"/>
      <x:c r="O2" s="24"/>
      <x:c r="P2" s="24"/>
      <x:c r="Q2" s="24"/>
      <x:c r="R2" s="24"/>
      <x:c r="S2" s="24"/>
    </x:row>
    <x:row r="3">
      <x:c r="A3" s="21"/>
      <x:c r="B3" s="21"/>
      <x:c r="C3" s="21"/>
      <x:c r="D3" s="21"/>
      <x:c r="E3" s="21"/>
      <x:c r="F3" s="21"/>
      <x:c r="G3" s="21"/>
      <x:c r="H3" s="21"/>
      <x:c r="I3" s="21"/>
      <x:c r="J3" s="21"/>
      <x:c r="K3" s="21"/>
      <x:c r="L3" s="21"/>
      <x:c r="M3" s="21"/>
      <x:c r="N3" s="21"/>
      <x:c r="O3" s="21"/>
      <x:c r="P3" s="21"/>
      <x:c r="Q3" s="21"/>
      <x:c r="R3" s="21"/>
      <x:c r="S3" s="21"/>
    </x:row>
    <x:row r="4" ht="48" customHeight="1">
      <x:c r="A4" s="26" t="str">
        <x:v>Caso</x:v>
      </x:c>
      <x:c r="B4" s="26" t="str">
        <x:v>Parámetro</x:v>
      </x:c>
      <x:c r="C4" s="26" t="str">
        <x:v>Ataque</x:v>
      </x:c>
      <x:c r="D4" s="26" t="str">
        <x:v>Recepción</x:v>
      </x:c>
      <x:c r="E4" s="26" t="str">
        <x:v>Perfil</x:v>
      </x:c>
      <x:c r="F4" s="26" t="str">
        <x:v>Pertinencia</x:v>
      </x:c>
      <x:c r="G4" s="26" t="str">
        <x:v>Observación</x:v>
      </x:c>
      <x:c r="H4" s="26" t="str">
        <x:v>Conflicto</x:v>
      </x:c>
      <x:c r="I4" s="26" t="str">
        <x:v>Tipo</x:v>
      </x:c>
      <x:c r="J4" s="26" t="str">
        <x:v>Tipo objetivo</x:v>
      </x:c>
      <x:c r="K4" s="26" t="str">
        <x:v>Valor</x:v>
      </x:c>
      <x:c r="L4" s="26" t="str">
        <x:v>Objetivo</x:v>
      </x:c>
      <x:c r="M4" s="26" t="str">
        <x:v>Ancla exacta</x:v>
      </x:c>
      <x:c r="N4" s="26" t="str">
        <x:v>Corte exacto</x:v>
      </x:c>
      <x:c r="O4" s="26" t="str">
        <x:v>Cobertura</x:v>
      </x:c>
      <x:c r="P4" s="26" t="str">
        <x:v>Esperado previo</x:v>
      </x:c>
      <x:c r="Q4" s="26" t="str">
        <x:v>Resultado ejecutado</x:v>
      </x:c>
      <x:c r="R4" s="26" t="str">
        <x:v>Concordancia Excel</x:v>
      </x:c>
      <x:c r="S4" s="26" t="str">
        <x:v>Entrada íntegra</x:v>
      </x:c>
    </x:row>
    <x:row r="5" ht="59" customHeight="1">
      <x:c r="A5" s="21" t="str">
        <x:v>TC-001</x:v>
      </x:c>
      <x:c r="B5" s="21" t="str">
        <x:v>P11</x:v>
      </x:c>
      <x:c r="C5" s="21" t="str">
        <x:v>Testigo positivo del predicado</x:v>
      </x:c>
      <x:c r="D5" s="21" t="str">
        <x:v>ADMITIDA</x:v>
      </x:c>
      <x:c r="E5" s="21" t="str">
        <x:v>FIJADO</x:v>
      </x:c>
      <x:c r="F5" s="21" t="str">
        <x:v>SI</x:v>
      </x:c>
      <x:c r="G5" s="21" t="str">
        <x:v>PRESENTE</x:v>
      </x:c>
      <x:c r="H5" s="21" t="str">
        <x:v>NO</x:v>
      </x:c>
      <x:c r="I5" s="21" t="str">
        <x:v>TEXTO</x:v>
      </x:c>
      <x:c r="J5" s="21" t="str">
        <x:v>TEXTO</x:v>
      </x:c>
      <x:c r="K5" s="21" t="str">
        <x:v>150</x:v>
      </x:c>
      <x:c r="L5" s="21" t="str">
        <x:v>objetivo</x:v>
      </x:c>
      <x:c r="M5" s="21" t="str">
        <x:v>100</x:v>
      </x:c>
      <x:c r="N5" s="21" t="str">
        <x:v>200</x:v>
      </x:c>
      <x:c r="O5" s="21" t="str">
        <x:v>COMPLETA</x:v>
      </x:c>
      <x:c r="P5" s="21" t="str">
        <x:v>1</x:v>
      </x:c>
      <x:c r="Q5" s="21" t="str">
        <x:v>1</x:v>
      </x:c>
      <x:c r="R5" s="27" t="str">
        <x:f>IF(EXACT("x"&amp;P5,"x"&amp;Q5),"PASA","DISCORDA")</x:f>
        <x:v>PASA</x:v>
      </x:c>
      <x:c r="S5" s="21" t="str">
        <x:v>{"ancla": "100", "cobertura": "COMPLETA", "conflicto": "NO", "corte": "200", "objetivo": "objetivo", "observacion": "PRESENTE", "parametro": "P11", "perfil": "FIJADO", "pertinencia": "SI", "recepcion": "ADMITIDA", "tipo": "TEXTO", "tipo_objetivo": "TEXTO", "valor": "150"}</x:v>
      </x:c>
    </x:row>
    <x:row r="6" ht="59" customHeight="1">
      <x:c r="A6" s="21" t="str">
        <x:v>TC-002</x:v>
      </x:c>
      <x:c r="B6" s="21" t="str">
        <x:v>P11</x:v>
      </x:c>
      <x:c r="C6" s="21" t="str">
        <x:v>Negación acreditada</x:v>
      </x:c>
      <x:c r="D6" s="21" t="str">
        <x:v>ADMITIDA</x:v>
      </x:c>
      <x:c r="E6" s="21" t="str">
        <x:v>FIJADO</x:v>
      </x:c>
      <x:c r="F6" s="21" t="str">
        <x:v>SI</x:v>
      </x:c>
      <x:c r="G6" s="21" t="str">
        <x:v>PRESENTE</x:v>
      </x:c>
      <x:c r="H6" s="21" t="str">
        <x:v>NO</x:v>
      </x:c>
      <x:c r="I6" s="21" t="str">
        <x:v>TEXTO</x:v>
      </x:c>
      <x:c r="J6" s="21" t="str">
        <x:v>TEXTO</x:v>
      </x:c>
      <x:c r="K6" s="21" t="str">
        <x:v>100</x:v>
      </x:c>
      <x:c r="L6" s="21" t="str">
        <x:v>objetivo</x:v>
      </x:c>
      <x:c r="M6" s="21" t="str">
        <x:v>100</x:v>
      </x:c>
      <x:c r="N6" s="21" t="str">
        <x:v>200</x:v>
      </x:c>
      <x:c r="O6" s="21" t="str">
        <x:v>COMPLETA</x:v>
      </x:c>
      <x:c r="P6" s="21" t="str">
        <x:v>0</x:v>
      </x:c>
      <x:c r="Q6" s="21" t="str">
        <x:v>0</x:v>
      </x:c>
      <x:c r="R6" s="27" t="str">
        <x:f>IF(EXACT("x"&amp;P6,"x"&amp;Q6),"PASA","DISCORDA")</x:f>
        <x:v>PASA</x:v>
      </x:c>
      <x:c r="S6" s="21" t="str">
        <x:v>{"ancla": "100", "cobertura": "COMPLETA", "conflicto": "NO", "corte": "200", "objetivo": "objetivo", "observacion": "PRESENTE", "parametro": "P11", "perfil": "FIJADO", "pertinencia": "SI", "recepcion": "ADMITIDA", "tipo": "TEXTO", "tipo_objetivo": "TEXTO", "valor": "100"}</x:v>
      </x:c>
    </x:row>
    <x:row r="7" ht="59" customHeight="1">
      <x:c r="A7" s="21" t="str">
        <x:v>TC-003</x:v>
      </x:c>
      <x:c r="B7" s="21" t="str">
        <x:v>P11</x:v>
      </x:c>
      <x:c r="C7" s="21" t="str">
        <x:v>Ausencia declarada no es cero</x:v>
      </x:c>
      <x:c r="D7" s="21" t="str">
        <x:v>ADMITIDA</x:v>
      </x:c>
      <x:c r="E7" s="21" t="str">
        <x:v>FIJADO</x:v>
      </x:c>
      <x:c r="F7" s="21" t="str">
        <x:v>SI</x:v>
      </x:c>
      <x:c r="G7" s="21" t="str">
        <x:v>AUSENTE</x:v>
      </x:c>
      <x:c r="H7" s="21" t="str">
        <x:v>NO</x:v>
      </x:c>
      <x:c r="I7" s="21" t="str">
        <x:v>TEXTO</x:v>
      </x:c>
      <x:c r="J7" s="21" t="str">
        <x:v>TEXTO</x:v>
      </x:c>
      <x:c r="K7" s="21" t="str">
        <x:v>150</x:v>
      </x:c>
      <x:c r="L7" s="21" t="str">
        <x:v>objetivo</x:v>
      </x:c>
      <x:c r="M7" s="21" t="str">
        <x:v>100</x:v>
      </x:c>
      <x:c r="N7" s="21" t="str">
        <x:v>200</x:v>
      </x:c>
      <x:c r="O7" s="21" t="str">
        <x:v>COMPLETA</x:v>
      </x:c>
      <x:c r="P7" s="21" t="str">
        <x:v>U</x:v>
      </x:c>
      <x:c r="Q7" s="21" t="str">
        <x:v>U</x:v>
      </x:c>
      <x:c r="R7" s="27" t="str">
        <x:f>IF(EXACT("x"&amp;P7,"x"&amp;Q7),"PASA","DISCORDA")</x:f>
        <x:v>PASA</x:v>
      </x:c>
      <x:c r="S7" s="21" t="str">
        <x:v>{"ancla": "100", "cobertura": "COMPLETA", "conflicto": "NO", "corte": "200", "objetivo": "objetivo", "observacion": "AUSENTE", "parametro": "P11", "perfil": "FIJADO", "pertinencia": "SI", "recepcion": "ADMITIDA", "tipo": "TEXTO", "tipo_objetivo": "TEXTO", "valor": "150"}</x:v>
      </x:c>
    </x:row>
    <x:row r="8" ht="59" customHeight="1">
      <x:c r="A8" s="21" t="str">
        <x:v>TC-004</x:v>
      </x:c>
      <x:c r="B8" s="21" t="str">
        <x:v>P11</x:v>
      </x:c>
      <x:c r="C8" s="21" t="str">
        <x:v>Conflicto admitido</x:v>
      </x:c>
      <x:c r="D8" s="21" t="str">
        <x:v>ADMITIDA</x:v>
      </x:c>
      <x:c r="E8" s="21" t="str">
        <x:v>FIJADO</x:v>
      </x:c>
      <x:c r="F8" s="21" t="str">
        <x:v>SI</x:v>
      </x:c>
      <x:c r="G8" s="21" t="str">
        <x:v>PRESENTE</x:v>
      </x:c>
      <x:c r="H8" s="21" t="str">
        <x:v>SI</x:v>
      </x:c>
      <x:c r="I8" s="21" t="str">
        <x:v>TEXTO</x:v>
      </x:c>
      <x:c r="J8" s="21" t="str">
        <x:v>TEXTO</x:v>
      </x:c>
      <x:c r="K8" s="21" t="str">
        <x:v>150</x:v>
      </x:c>
      <x:c r="L8" s="21" t="str">
        <x:v>objetivo</x:v>
      </x:c>
      <x:c r="M8" s="21" t="str">
        <x:v>100</x:v>
      </x:c>
      <x:c r="N8" s="21" t="str">
        <x:v>200</x:v>
      </x:c>
      <x:c r="O8" s="21" t="str">
        <x:v>COMPLETA</x:v>
      </x:c>
      <x:c r="P8" s="21" t="str">
        <x:v>U</x:v>
      </x:c>
      <x:c r="Q8" s="21" t="str">
        <x:v>U</x:v>
      </x:c>
      <x:c r="R8" s="27" t="str">
        <x:f>IF(EXACT("x"&amp;P8,"x"&amp;Q8),"PASA","DISCORDA")</x:f>
        <x:v>PASA</x:v>
      </x:c>
      <x:c r="S8" s="21" t="str">
        <x:v>{"ancla": "100", "cobertura": "COMPLETA", "conflicto": "SI", "corte": "200", "objetivo": "objetivo", "observacion": "PRESENTE", "parametro": "P11", "perfil": "FIJADO", "pertinencia": "SI", "recepcion": "ADMITIDA", "tipo": "TEXTO", "tipo_objetivo": "TEXTO", "valor": "150"}</x:v>
      </x:c>
    </x:row>
    <x:row r="9" ht="59" customHeight="1">
      <x:c r="A9" s="21" t="str">
        <x:v>TC-005</x:v>
      </x:c>
      <x:c r="B9" s="21" t="str">
        <x:v>P11</x:v>
      </x:c>
      <x:c r="C9" s="21" t="str">
        <x:v>Fallo de captura sin Tri</x:v>
      </x:c>
      <x:c r="D9" s="21" t="str">
        <x:v>FALLO</x:v>
      </x:c>
      <x:c r="E9" s="21" t="str">
        <x:v>FIJADO</x:v>
      </x:c>
      <x:c r="F9" s="21" t="str">
        <x:v>SI</x:v>
      </x:c>
      <x:c r="G9" s="21" t="str">
        <x:v>PRESENTE</x:v>
      </x:c>
      <x:c r="H9" s="21" t="str">
        <x:v>NO</x:v>
      </x:c>
      <x:c r="I9" s="21" t="str">
        <x:v>TEXTO</x:v>
      </x:c>
      <x:c r="J9" s="21" t="str">
        <x:v>TEXTO</x:v>
      </x:c>
      <x:c r="K9" s="21" t="str">
        <x:v>150</x:v>
      </x:c>
      <x:c r="L9" s="21" t="str">
        <x:v>objetivo</x:v>
      </x:c>
      <x:c r="M9" s="21" t="str">
        <x:v>100</x:v>
      </x:c>
      <x:c r="N9" s="21" t="str">
        <x:v>200</x:v>
      </x:c>
      <x:c r="O9" s="21" t="str">
        <x:v>COMPLETA</x:v>
      </x:c>
      <x:c r="P9" s="21" t="str">
        <x:v>FALLO_TECNICO</x:v>
      </x:c>
      <x:c r="Q9" s="21" t="str">
        <x:v>FALLO_TECNICO</x:v>
      </x:c>
      <x:c r="R9" s="27" t="str">
        <x:f>IF(EXACT("x"&amp;P9,"x"&amp;Q9),"PASA","DISCORDA")</x:f>
        <x:v>PASA</x:v>
      </x:c>
      <x:c r="S9" s="21" t="str">
        <x:v>{"ancla": "100", "cobertura": "COMPLETA", "conflicto": "NO", "corte": "200", "objetivo": "objetivo", "observacion": "PRESENTE", "parametro": "P11", "perfil": "FIJADO", "pertinencia": "SI", "recepcion": "FALLO", "tipo": "TEXTO", "tipo_objetivo": "TEXTO", "valor": "150"}</x:v>
      </x:c>
    </x:row>
    <x:row r="10" ht="59" customHeight="1">
      <x:c r="A10" s="21" t="str">
        <x:v>TC-006</x:v>
      </x:c>
      <x:c r="B10" s="21" t="str">
        <x:v>P11</x:v>
      </x:c>
      <x:c r="C10" s="21" t="str">
        <x:v>Origen no admitido</x:v>
      </x:c>
      <x:c r="D10" s="21" t="str">
        <x:v>RECHAZADA</x:v>
      </x:c>
      <x:c r="E10" s="21" t="str">
        <x:v>FIJADO</x:v>
      </x:c>
      <x:c r="F10" s="21" t="str">
        <x:v>SI</x:v>
      </x:c>
      <x:c r="G10" s="21" t="str">
        <x:v>PRESENTE</x:v>
      </x:c>
      <x:c r="H10" s="21" t="str">
        <x:v>NO</x:v>
      </x:c>
      <x:c r="I10" s="21" t="str">
        <x:v>TEXTO</x:v>
      </x:c>
      <x:c r="J10" s="21" t="str">
        <x:v>TEXTO</x:v>
      </x:c>
      <x:c r="K10" s="21" t="str">
        <x:v>150</x:v>
      </x:c>
      <x:c r="L10" s="21" t="str">
        <x:v>objetivo</x:v>
      </x:c>
      <x:c r="M10" s="21" t="str">
        <x:v>100</x:v>
      </x:c>
      <x:c r="N10" s="21" t="str">
        <x:v>200</x:v>
      </x:c>
      <x:c r="O10" s="21" t="str">
        <x:v>COMPLETA</x:v>
      </x:c>
      <x:c r="P10" s="21" t="str">
        <x:v>NO_ADMITIDA</x:v>
      </x:c>
      <x:c r="Q10" s="21" t="str">
        <x:v>NO_ADMITIDA</x:v>
      </x:c>
      <x:c r="R10" s="27" t="str">
        <x:f>IF(EXACT("x"&amp;P10,"x"&amp;Q10),"PASA","DISCORDA")</x:f>
        <x:v>PASA</x:v>
      </x:c>
      <x:c r="S10" s="21" t="str">
        <x:v>{"ancla": "100", "cobertura": "COMPLETA", "conflicto": "NO", "corte": "200", "objetivo": "objetivo", "observacion": "PRESENTE", "parametro": "P11", "perfil": "FIJADO", "pertinencia": "SI", "recepcion": "RECHAZADA", "tipo": "TEXTO", "tipo_objetivo": "TEXTO", "valor": "150"}</x:v>
      </x:c>
    </x:row>
    <x:row r="11" ht="59" customHeight="1">
      <x:c r="A11" s="21" t="str">
        <x:v>TC-007</x:v>
      </x:c>
      <x:c r="B11" s="21" t="str">
        <x:v>P11</x:v>
      </x:c>
      <x:c r="C11" s="21" t="str">
        <x:v>Perfil sin regla</x:v>
      </x:c>
      <x:c r="D11" s="21" t="str">
        <x:v>ADMITIDA</x:v>
      </x:c>
      <x:c r="E11" s="21" t="str">
        <x:v>PENDIENTE</x:v>
      </x:c>
      <x:c r="F11" s="21" t="str">
        <x:v>SI</x:v>
      </x:c>
      <x:c r="G11" s="21" t="str">
        <x:v>PRESENTE</x:v>
      </x:c>
      <x:c r="H11" s="21" t="str">
        <x:v>NO</x:v>
      </x:c>
      <x:c r="I11" s="21" t="str">
        <x:v>TEXTO</x:v>
      </x:c>
      <x:c r="J11" s="21" t="str">
        <x:v>TEXTO</x:v>
      </x:c>
      <x:c r="K11" s="21" t="str">
        <x:v>150</x:v>
      </x:c>
      <x:c r="L11" s="21" t="str">
        <x:v>objetivo</x:v>
      </x:c>
      <x:c r="M11" s="21" t="str">
        <x:v>100</x:v>
      </x:c>
      <x:c r="N11" s="21" t="str">
        <x:v>200</x:v>
      </x:c>
      <x:c r="O11" s="21" t="str">
        <x:v>COMPLETA</x:v>
      </x:c>
      <x:c r="P11" s="21" t="str">
        <x:v>CONFIGURACION_PENDIENTE</x:v>
      </x:c>
      <x:c r="Q11" s="21" t="str">
        <x:v>CONFIGURACION_PENDIENTE</x:v>
      </x:c>
      <x:c r="R11" s="27" t="str">
        <x:f>IF(EXACT("x"&amp;P11,"x"&amp;Q11),"PASA","DISCORDA")</x:f>
        <x:v>PASA</x:v>
      </x:c>
      <x:c r="S11" s="21" t="str">
        <x:v>{"ancla": "100", "cobertura": "COMPLETA", "conflicto": "NO", "corte": "200", "objetivo": "objetivo", "observacion": "PRESENTE", "parametro": "P11", "perfil": "PENDIENTE", "pertinencia": "SI", "recepcion": "ADMITIDA", "tipo": "TEXTO", "tipo_objetivo": "TEXTO", "valor": "150"}</x:v>
      </x:c>
    </x:row>
    <x:row r="12" ht="59" customHeight="1">
      <x:c r="A12" s="21" t="str">
        <x:v>TC-008</x:v>
      </x:c>
      <x:c r="B12" s="21" t="str">
        <x:v>P11</x:v>
      </x:c>
      <x:c r="C12" s="21" t="str">
        <x:v>Sujeto fuera del perfil</x:v>
      </x:c>
      <x:c r="D12" s="21" t="str">
        <x:v>ADMITIDA</x:v>
      </x:c>
      <x:c r="E12" s="21" t="str">
        <x:v>FIJADO</x:v>
      </x:c>
      <x:c r="F12" s="21" t="str">
        <x:v>NO</x:v>
      </x:c>
      <x:c r="G12" s="21" t="str">
        <x:v>PRESENTE</x:v>
      </x:c>
      <x:c r="H12" s="21" t="str">
        <x:v>NO</x:v>
      </x:c>
      <x:c r="I12" s="21" t="str">
        <x:v>TEXTO</x:v>
      </x:c>
      <x:c r="J12" s="21" t="str">
        <x:v>TEXTO</x:v>
      </x:c>
      <x:c r="K12" s="21" t="str">
        <x:v>150</x:v>
      </x:c>
      <x:c r="L12" s="21" t="str">
        <x:v>objetivo</x:v>
      </x:c>
      <x:c r="M12" s="21" t="str">
        <x:v>100</x:v>
      </x:c>
      <x:c r="N12" s="21" t="str">
        <x:v>200</x:v>
      </x:c>
      <x:c r="O12" s="21" t="str">
        <x:v>COMPLETA</x:v>
      </x:c>
      <x:c r="P12" s="21" t="str">
        <x:v>FUERA_DE_PERFIL</x:v>
      </x:c>
      <x:c r="Q12" s="21" t="str">
        <x:v>FUERA_DE_PERFIL</x:v>
      </x:c>
      <x:c r="R12" s="27" t="str">
        <x:f>IF(EXACT("x"&amp;P12,"x"&amp;Q12),"PASA","DISCORDA")</x:f>
        <x:v>PASA</x:v>
      </x:c>
      <x:c r="S12" s="21" t="str">
        <x:v>{"ancla": "100", "cobertura": "COMPLETA", "conflicto": "NO", "corte": "200", "objetivo": "objetivo", "observacion": "PRESENTE", "parametro": "P11", "perfil": "FIJADO", "pertinencia": "NO", "recepcion": "ADMITIDA", "tipo": "TEXTO", "tipo_objetivo": "TEXTO", "valor": "150"}</x:v>
      </x:c>
    </x:row>
    <x:row r="13" ht="59" customHeight="1">
      <x:c r="A13" s="21" t="str">
        <x:v>TC-009</x:v>
      </x:c>
      <x:c r="B13" s="21" t="str">
        <x:v>P12</x:v>
      </x:c>
      <x:c r="C13" s="21" t="str">
        <x:v>Testigo positivo del predicado</x:v>
      </x:c>
      <x:c r="D13" s="21" t="str">
        <x:v>ADMITIDA</x:v>
      </x:c>
      <x:c r="E13" s="21" t="str">
        <x:v>FIJADO</x:v>
      </x:c>
      <x:c r="F13" s="21" t="str">
        <x:v>SI</x:v>
      </x:c>
      <x:c r="G13" s="21" t="str">
        <x:v>PRESENTE</x:v>
      </x:c>
      <x:c r="H13" s="21" t="str">
        <x:v>NO</x:v>
      </x:c>
      <x:c r="I13" s="21" t="str">
        <x:v>TEXTO</x:v>
      </x:c>
      <x:c r="J13" s="21" t="str">
        <x:v>TEXTO</x:v>
      </x:c>
      <x:c r="K13" s="21" t="str">
        <x:v>objetivo</x:v>
      </x:c>
      <x:c r="L13" s="21" t="str">
        <x:v>objetivo</x:v>
      </x:c>
      <x:c r="M13" s="21" t="str">
        <x:v>100</x:v>
      </x:c>
      <x:c r="N13" s="21" t="str">
        <x:v>200</x:v>
      </x:c>
      <x:c r="O13" s="21" t="str">
        <x:v>COMPLETA</x:v>
      </x:c>
      <x:c r="P13" s="21" t="str">
        <x:v>1</x:v>
      </x:c>
      <x:c r="Q13" s="21" t="str">
        <x:v>1</x:v>
      </x:c>
      <x:c r="R13" s="27" t="str">
        <x:f>IF(EXACT("x"&amp;P13,"x"&amp;Q13),"PASA","DISCORDA")</x:f>
        <x:v>PASA</x:v>
      </x:c>
      <x:c r="S13" s="21" t="str">
        <x:v>{"ancla": "100", "cobertura": "COMPLETA", "conflicto": "NO", "corte": "200", "objetivo": "objetivo", "observacion": "PRESENTE", "parametro": "P12", "perfil": "FIJADO", "pertinencia": "SI", "recepcion": "ADMITIDA", "tipo": "TEXTO", "tipo_objetivo": "TEXTO", "valor": "objetivo"}</x:v>
      </x:c>
    </x:row>
    <x:row r="14" ht="59" customHeight="1">
      <x:c r="A14" s="21" t="str">
        <x:v>TC-010</x:v>
      </x:c>
      <x:c r="B14" s="21" t="str">
        <x:v>P12</x:v>
      </x:c>
      <x:c r="C14" s="21" t="str">
        <x:v>Negación acreditada</x:v>
      </x:c>
      <x:c r="D14" s="21" t="str">
        <x:v>ADMITIDA</x:v>
      </x:c>
      <x:c r="E14" s="21" t="str">
        <x:v>FIJADO</x:v>
      </x:c>
      <x:c r="F14" s="21" t="str">
        <x:v>SI</x:v>
      </x:c>
      <x:c r="G14" s="21" t="str">
        <x:v>PRESENTE</x:v>
      </x:c>
      <x:c r="H14" s="21" t="str">
        <x:v>NO</x:v>
      </x:c>
      <x:c r="I14" s="21" t="str">
        <x:v>TEXTO</x:v>
      </x:c>
      <x:c r="J14" s="21" t="str">
        <x:v>TEXTO</x:v>
      </x:c>
      <x:c r="K14" s="21" t="str">
        <x:v>anterior</x:v>
      </x:c>
      <x:c r="L14" s="21" t="str">
        <x:v>objetivo</x:v>
      </x:c>
      <x:c r="M14" s="21" t="str">
        <x:v>100</x:v>
      </x:c>
      <x:c r="N14" s="21" t="str">
        <x:v>200</x:v>
      </x:c>
      <x:c r="O14" s="21" t="str">
        <x:v>COMPLETA</x:v>
      </x:c>
      <x:c r="P14" s="21" t="str">
        <x:v>0</x:v>
      </x:c>
      <x:c r="Q14" s="21" t="str">
        <x:v>0</x:v>
      </x:c>
      <x:c r="R14" s="27" t="str">
        <x:f>IF(EXACT("x"&amp;P14,"x"&amp;Q14),"PASA","DISCORDA")</x:f>
        <x:v>PASA</x:v>
      </x:c>
      <x:c r="S14" s="21" t="str">
        <x:v>{"ancla": "100", "cobertura": "COMPLETA", "conflicto": "NO", "corte": "200", "objetivo": "objetivo", "observacion": "PRESENTE", "parametro": "P12", "perfil": "FIJADO", "pertinencia": "SI", "recepcion": "ADMITIDA", "tipo": "TEXTO", "tipo_objetivo": "TEXTO", "valor": "anterior"}</x:v>
      </x:c>
    </x:row>
    <x:row r="15" ht="59" customHeight="1">
      <x:c r="A15" s="21" t="str">
        <x:v>TC-011</x:v>
      </x:c>
      <x:c r="B15" s="21" t="str">
        <x:v>P12</x:v>
      </x:c>
      <x:c r="C15" s="21" t="str">
        <x:v>Ausencia declarada no es cero</x:v>
      </x:c>
      <x:c r="D15" s="21" t="str">
        <x:v>ADMITIDA</x:v>
      </x:c>
      <x:c r="E15" s="21" t="str">
        <x:v>FIJADO</x:v>
      </x:c>
      <x:c r="F15" s="21" t="str">
        <x:v>SI</x:v>
      </x:c>
      <x:c r="G15" s="21" t="str">
        <x:v>AUSENTE</x:v>
      </x:c>
      <x:c r="H15" s="21" t="str">
        <x:v>NO</x:v>
      </x:c>
      <x:c r="I15" s="21" t="str">
        <x:v>TEXTO</x:v>
      </x:c>
      <x:c r="J15" s="21" t="str">
        <x:v>TEXTO</x:v>
      </x:c>
      <x:c r="K15" s="21" t="str">
        <x:v>objetivo</x:v>
      </x:c>
      <x:c r="L15" s="21" t="str">
        <x:v>objetivo</x:v>
      </x:c>
      <x:c r="M15" s="21" t="str">
        <x:v>100</x:v>
      </x:c>
      <x:c r="N15" s="21" t="str">
        <x:v>200</x:v>
      </x:c>
      <x:c r="O15" s="21" t="str">
        <x:v>COMPLETA</x:v>
      </x:c>
      <x:c r="P15" s="21" t="str">
        <x:v>U</x:v>
      </x:c>
      <x:c r="Q15" s="21" t="str">
        <x:v>U</x:v>
      </x:c>
      <x:c r="R15" s="27" t="str">
        <x:f>IF(EXACT("x"&amp;P15,"x"&amp;Q15),"PASA","DISCORDA")</x:f>
        <x:v>PASA</x:v>
      </x:c>
      <x:c r="S15" s="21" t="str">
        <x:v>{"ancla": "100", "cobertura": "COMPLETA", "conflicto": "NO", "corte": "200", "objetivo": "objetivo", "observacion": "AUSENTE", "parametro": "P12", "perfil": "FIJADO", "pertinencia": "SI", "recepcion": "ADMITIDA", "tipo": "TEXTO", "tipo_objetivo": "TEXTO", "valor": "objetivo"}</x:v>
      </x:c>
    </x:row>
    <x:row r="16" ht="59" customHeight="1">
      <x:c r="A16" s="21" t="str">
        <x:v>TC-012</x:v>
      </x:c>
      <x:c r="B16" s="21" t="str">
        <x:v>P12</x:v>
      </x:c>
      <x:c r="C16" s="21" t="str">
        <x:v>Conflicto admitido</x:v>
      </x:c>
      <x:c r="D16" s="21" t="str">
        <x:v>ADMITIDA</x:v>
      </x:c>
      <x:c r="E16" s="21" t="str">
        <x:v>FIJADO</x:v>
      </x:c>
      <x:c r="F16" s="21" t="str">
        <x:v>SI</x:v>
      </x:c>
      <x:c r="G16" s="21" t="str">
        <x:v>PRESENTE</x:v>
      </x:c>
      <x:c r="H16" s="21" t="str">
        <x:v>SI</x:v>
      </x:c>
      <x:c r="I16" s="21" t="str">
        <x:v>TEXTO</x:v>
      </x:c>
      <x:c r="J16" s="21" t="str">
        <x:v>TEXTO</x:v>
      </x:c>
      <x:c r="K16" s="21" t="str">
        <x:v>objetivo</x:v>
      </x:c>
      <x:c r="L16" s="21" t="str">
        <x:v>objetivo</x:v>
      </x:c>
      <x:c r="M16" s="21" t="str">
        <x:v>100</x:v>
      </x:c>
      <x:c r="N16" s="21" t="str">
        <x:v>200</x:v>
      </x:c>
      <x:c r="O16" s="21" t="str">
        <x:v>COMPLETA</x:v>
      </x:c>
      <x:c r="P16" s="21" t="str">
        <x:v>U</x:v>
      </x:c>
      <x:c r="Q16" s="21" t="str">
        <x:v>U</x:v>
      </x:c>
      <x:c r="R16" s="27" t="str">
        <x:f>IF(EXACT("x"&amp;P16,"x"&amp;Q16),"PASA","DISCORDA")</x:f>
        <x:v>PASA</x:v>
      </x:c>
      <x:c r="S16" s="21" t="str">
        <x:v>{"ancla": "100", "cobertura": "COMPLETA", "conflicto": "SI", "corte": "200", "objetivo": "objetivo", "observacion": "PRESENTE", "parametro": "P12", "perfil": "FIJADO", "pertinencia": "SI", "recepcion": "ADMITIDA", "tipo": "TEXTO", "tipo_objetivo": "TEXTO", "valor": "objetivo"}</x:v>
      </x:c>
    </x:row>
    <x:row r="17" ht="59" customHeight="1">
      <x:c r="A17" s="21" t="str">
        <x:v>TC-013</x:v>
      </x:c>
      <x:c r="B17" s="21" t="str">
        <x:v>P12</x:v>
      </x:c>
      <x:c r="C17" s="21" t="str">
        <x:v>Fallo de captura sin Tri</x:v>
      </x:c>
      <x:c r="D17" s="21" t="str">
        <x:v>FALLO</x:v>
      </x:c>
      <x:c r="E17" s="21" t="str">
        <x:v>FIJADO</x:v>
      </x:c>
      <x:c r="F17" s="21" t="str">
        <x:v>SI</x:v>
      </x:c>
      <x:c r="G17" s="21" t="str">
        <x:v>PRESENTE</x:v>
      </x:c>
      <x:c r="H17" s="21" t="str">
        <x:v>NO</x:v>
      </x:c>
      <x:c r="I17" s="21" t="str">
        <x:v>TEXTO</x:v>
      </x:c>
      <x:c r="J17" s="21" t="str">
        <x:v>TEXTO</x:v>
      </x:c>
      <x:c r="K17" s="21" t="str">
        <x:v>objetivo</x:v>
      </x:c>
      <x:c r="L17" s="21" t="str">
        <x:v>objetivo</x:v>
      </x:c>
      <x:c r="M17" s="21" t="str">
        <x:v>100</x:v>
      </x:c>
      <x:c r="N17" s="21" t="str">
        <x:v>200</x:v>
      </x:c>
      <x:c r="O17" s="21" t="str">
        <x:v>COMPLETA</x:v>
      </x:c>
      <x:c r="P17" s="21" t="str">
        <x:v>FALLO_TECNICO</x:v>
      </x:c>
      <x:c r="Q17" s="21" t="str">
        <x:v>FALLO_TECNICO</x:v>
      </x:c>
      <x:c r="R17" s="27" t="str">
        <x:f>IF(EXACT("x"&amp;P17,"x"&amp;Q17),"PASA","DISCORDA")</x:f>
        <x:v>PASA</x:v>
      </x:c>
      <x:c r="S17" s="21" t="str">
        <x:v>{"ancla": "100", "cobertura": "COMPLETA", "conflicto": "NO", "corte": "200", "objetivo": "objetivo", "observacion": "PRESENTE", "parametro": "P12", "perfil": "FIJADO", "pertinencia": "SI", "recepcion": "FALLO", "tipo": "TEXTO", "tipo_objetivo": "TEXTO", "valor": "objetivo"}</x:v>
      </x:c>
    </x:row>
    <x:row r="18" ht="59" customHeight="1">
      <x:c r="A18" s="21" t="str">
        <x:v>TC-014</x:v>
      </x:c>
      <x:c r="B18" s="21" t="str">
        <x:v>P12</x:v>
      </x:c>
      <x:c r="C18" s="21" t="str">
        <x:v>Origen no admitido</x:v>
      </x:c>
      <x:c r="D18" s="21" t="str">
        <x:v>RECHAZADA</x:v>
      </x:c>
      <x:c r="E18" s="21" t="str">
        <x:v>FIJADO</x:v>
      </x:c>
      <x:c r="F18" s="21" t="str">
        <x:v>SI</x:v>
      </x:c>
      <x:c r="G18" s="21" t="str">
        <x:v>PRESENTE</x:v>
      </x:c>
      <x:c r="H18" s="21" t="str">
        <x:v>NO</x:v>
      </x:c>
      <x:c r="I18" s="21" t="str">
        <x:v>TEXTO</x:v>
      </x:c>
      <x:c r="J18" s="21" t="str">
        <x:v>TEXTO</x:v>
      </x:c>
      <x:c r="K18" s="21" t="str">
        <x:v>objetivo</x:v>
      </x:c>
      <x:c r="L18" s="21" t="str">
        <x:v>objetivo</x:v>
      </x:c>
      <x:c r="M18" s="21" t="str">
        <x:v>100</x:v>
      </x:c>
      <x:c r="N18" s="21" t="str">
        <x:v>200</x:v>
      </x:c>
      <x:c r="O18" s="21" t="str">
        <x:v>COMPLETA</x:v>
      </x:c>
      <x:c r="P18" s="21" t="str">
        <x:v>NO_ADMITIDA</x:v>
      </x:c>
      <x:c r="Q18" s="21" t="str">
        <x:v>NO_ADMITIDA</x:v>
      </x:c>
      <x:c r="R18" s="27" t="str">
        <x:f>IF(EXACT("x"&amp;P18,"x"&amp;Q18),"PASA","DISCORDA")</x:f>
        <x:v>PASA</x:v>
      </x:c>
      <x:c r="S18" s="21" t="str">
        <x:v>{"ancla": "100", "cobertura": "COMPLETA", "conflicto": "NO", "corte": "200", "objetivo": "objetivo", "observacion": "PRESENTE", "parametro": "P12", "perfil": "FIJADO", "pertinencia": "SI", "recepcion": "RECHAZADA", "tipo": "TEXTO", "tipo_objetivo": "TEXTO", "valor": "objetivo"}</x:v>
      </x:c>
    </x:row>
    <x:row r="19" ht="59" customHeight="1">
      <x:c r="A19" s="21" t="str">
        <x:v>TC-015</x:v>
      </x:c>
      <x:c r="B19" s="21" t="str">
        <x:v>P12</x:v>
      </x:c>
      <x:c r="C19" s="21" t="str">
        <x:v>Perfil sin regla</x:v>
      </x:c>
      <x:c r="D19" s="21" t="str">
        <x:v>ADMITIDA</x:v>
      </x:c>
      <x:c r="E19" s="21" t="str">
        <x:v>PENDIENTE</x:v>
      </x:c>
      <x:c r="F19" s="21" t="str">
        <x:v>SI</x:v>
      </x:c>
      <x:c r="G19" s="21" t="str">
        <x:v>PRESENTE</x:v>
      </x:c>
      <x:c r="H19" s="21" t="str">
        <x:v>NO</x:v>
      </x:c>
      <x:c r="I19" s="21" t="str">
        <x:v>TEXTO</x:v>
      </x:c>
      <x:c r="J19" s="21" t="str">
        <x:v>TEXTO</x:v>
      </x:c>
      <x:c r="K19" s="21" t="str">
        <x:v>objetivo</x:v>
      </x:c>
      <x:c r="L19" s="21" t="str">
        <x:v>objetivo</x:v>
      </x:c>
      <x:c r="M19" s="21" t="str">
        <x:v>100</x:v>
      </x:c>
      <x:c r="N19" s="21" t="str">
        <x:v>200</x:v>
      </x:c>
      <x:c r="O19" s="21" t="str">
        <x:v>COMPLETA</x:v>
      </x:c>
      <x:c r="P19" s="21" t="str">
        <x:v>CONFIGURACION_PENDIENTE</x:v>
      </x:c>
      <x:c r="Q19" s="21" t="str">
        <x:v>CONFIGURACION_PENDIENTE</x:v>
      </x:c>
      <x:c r="R19" s="27" t="str">
        <x:f>IF(EXACT("x"&amp;P19,"x"&amp;Q19),"PASA","DISCORDA")</x:f>
        <x:v>PASA</x:v>
      </x:c>
      <x:c r="S19" s="21" t="str">
        <x:v>{"ancla": "100", "cobertura": "COMPLETA", "conflicto": "NO", "corte": "200", "objetivo": "objetivo", "observacion": "PRESENTE", "parametro": "P12", "perfil": "PENDIENTE", "pertinencia": "SI", "recepcion": "ADMITIDA", "tipo": "TEXTO", "tipo_objetivo": "TEXTO", "valor": "objetivo"}</x:v>
      </x:c>
    </x:row>
    <x:row r="20" ht="59" customHeight="1">
      <x:c r="A20" s="21" t="str">
        <x:v>TC-016</x:v>
      </x:c>
      <x:c r="B20" s="21" t="str">
        <x:v>P12</x:v>
      </x:c>
      <x:c r="C20" s="21" t="str">
        <x:v>Sujeto fuera del perfil</x:v>
      </x:c>
      <x:c r="D20" s="21" t="str">
        <x:v>ADMITIDA</x:v>
      </x:c>
      <x:c r="E20" s="21" t="str">
        <x:v>FIJADO</x:v>
      </x:c>
      <x:c r="F20" s="21" t="str">
        <x:v>NO</x:v>
      </x:c>
      <x:c r="G20" s="21" t="str">
        <x:v>PRESENTE</x:v>
      </x:c>
      <x:c r="H20" s="21" t="str">
        <x:v>NO</x:v>
      </x:c>
      <x:c r="I20" s="21" t="str">
        <x:v>TEXTO</x:v>
      </x:c>
      <x:c r="J20" s="21" t="str">
        <x:v>TEXTO</x:v>
      </x:c>
      <x:c r="K20" s="21" t="str">
        <x:v>objetivo</x:v>
      </x:c>
      <x:c r="L20" s="21" t="str">
        <x:v>objetivo</x:v>
      </x:c>
      <x:c r="M20" s="21" t="str">
        <x:v>100</x:v>
      </x:c>
      <x:c r="N20" s="21" t="str">
        <x:v>200</x:v>
      </x:c>
      <x:c r="O20" s="21" t="str">
        <x:v>COMPLETA</x:v>
      </x:c>
      <x:c r="P20" s="21" t="str">
        <x:v>FUERA_DE_PERFIL</x:v>
      </x:c>
      <x:c r="Q20" s="21" t="str">
        <x:v>FUERA_DE_PERFIL</x:v>
      </x:c>
      <x:c r="R20" s="27" t="str">
        <x:f>IF(EXACT("x"&amp;P20,"x"&amp;Q20),"PASA","DISCORDA")</x:f>
        <x:v>PASA</x:v>
      </x:c>
      <x:c r="S20" s="21" t="str">
        <x:v>{"ancla": "100", "cobertura": "COMPLETA", "conflicto": "NO", "corte": "200", "objetivo": "objetivo", "observacion": "PRESENTE", "parametro": "P12", "perfil": "FIJADO", "pertinencia": "NO", "recepcion": "ADMITIDA", "tipo": "TEXTO", "tipo_objetivo": "TEXTO", "valor": "objetivo"}</x:v>
      </x:c>
    </x:row>
    <x:row r="21" ht="74" customHeight="1">
      <x:c r="A21" s="21" t="str">
        <x:v>TC-017</x:v>
      </x:c>
      <x:c r="B21" s="21" t="str">
        <x:v>P13</x:v>
      </x:c>
      <x:c r="C21" s="21" t="str">
        <x:v>Testigo positivo del predicado</x:v>
      </x:c>
      <x:c r="D21" s="21" t="str">
        <x:v>ADMITIDA</x:v>
      </x:c>
      <x:c r="E21" s="21" t="str">
        <x:v>FIJADO</x:v>
      </x:c>
      <x:c r="F21" s="21" t="str">
        <x:v>SI</x:v>
      </x:c>
      <x:c r="G21" s="21" t="str">
        <x:v>PRESENTE</x:v>
      </x:c>
      <x:c r="H21" s="21" t="str">
        <x:v>NO</x:v>
      </x:c>
      <x:c r="I21" s="21" t="str">
        <x:v>TEXTO</x:v>
      </x:c>
      <x:c r="J21" s="21" t="str">
        <x:v>TEXTO</x:v>
      </x:c>
      <x:c r="K21" s="21" t="str">
        <x:v>0000000000000000000000000000000000000000000000000000000000000001</x:v>
      </x:c>
      <x:c r="L21" s="21" t="str">
        <x:v>0000000000000000000000000000000000000000000000000000000000000001</x:v>
      </x:c>
      <x:c r="M21" s="21" t="str">
        <x:v>100</x:v>
      </x:c>
      <x:c r="N21" s="21" t="str">
        <x:v>200</x:v>
      </x:c>
      <x:c r="O21" s="21" t="str">
        <x:v>COMPLETA</x:v>
      </x:c>
      <x:c r="P21" s="21" t="str">
        <x:v>1</x:v>
      </x:c>
      <x:c r="Q21" s="21" t="str">
        <x:v>1</x:v>
      </x:c>
      <x:c r="R21" s="27" t="str">
        <x:f>IF(EXACT("x"&amp;P21,"x"&amp;Q21),"PASA","DISCORDA")</x:f>
        <x:v>PASA</x:v>
      </x:c>
      <x:c r="S21"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2" ht="74" customHeight="1">
      <x:c r="A22" s="21" t="str">
        <x:v>TC-018</x:v>
      </x:c>
      <x:c r="B22" s="21" t="str">
        <x:v>P13</x:v>
      </x:c>
      <x:c r="C22" s="21" t="str">
        <x:v>Negación acreditada</x:v>
      </x:c>
      <x:c r="D22" s="21" t="str">
        <x:v>ADMITIDA</x:v>
      </x:c>
      <x:c r="E22" s="21" t="str">
        <x:v>FIJADO</x:v>
      </x:c>
      <x:c r="F22" s="21" t="str">
        <x:v>SI</x:v>
      </x:c>
      <x:c r="G22" s="21" t="str">
        <x:v>PRESENTE</x:v>
      </x:c>
      <x:c r="H22" s="21" t="str">
        <x:v>NO</x:v>
      </x:c>
      <x:c r="I22" s="21" t="str">
        <x:v>TEXTO</x:v>
      </x:c>
      <x:c r="J22" s="21" t="str">
        <x:v>TEXTO</x:v>
      </x:c>
      <x:c r="K22" s="21" t="str">
        <x:v>0000000000000000000000000000000000000000000000000000000000000002</x:v>
      </x:c>
      <x:c r="L22" s="21" t="str">
        <x:v>0000000000000000000000000000000000000000000000000000000000000001</x:v>
      </x:c>
      <x:c r="M22" s="21" t="str">
        <x:v>100</x:v>
      </x:c>
      <x:c r="N22" s="21" t="str">
        <x:v>200</x:v>
      </x:c>
      <x:c r="O22" s="21" t="str">
        <x:v>COMPLETA</x:v>
      </x:c>
      <x:c r="P22" s="21" t="str">
        <x:v>0</x:v>
      </x:c>
      <x:c r="Q22" s="21" t="str">
        <x:v>0</x:v>
      </x:c>
      <x:c r="R22" s="27" t="str">
        <x:f>IF(EXACT("x"&amp;P22,"x"&amp;Q22),"PASA","DISCORDA")</x:f>
        <x:v>PASA</x:v>
      </x:c>
      <x:c r="S22"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"0000000000000000000000000000000000000000000000000000000000000002"}</x:v>
      </x:c>
    </x:row>
    <x:row r="23" ht="74" customHeight="1">
      <x:c r="A23" s="21" t="str">
        <x:v>TC-019</x:v>
      </x:c>
      <x:c r="B23" s="21" t="str">
        <x:v>P13</x:v>
      </x:c>
      <x:c r="C23" s="21" t="str">
        <x:v>Ausencia declarada no es cero</x:v>
      </x:c>
      <x:c r="D23" s="21" t="str">
        <x:v>ADMITIDA</x:v>
      </x:c>
      <x:c r="E23" s="21" t="str">
        <x:v>FIJADO</x:v>
      </x:c>
      <x:c r="F23" s="21" t="str">
        <x:v>SI</x:v>
      </x:c>
      <x:c r="G23" s="21" t="str">
        <x:v>AUSENTE</x:v>
      </x:c>
      <x:c r="H23" s="21" t="str">
        <x:v>NO</x:v>
      </x:c>
      <x:c r="I23" s="21" t="str">
        <x:v>TEXTO</x:v>
      </x:c>
      <x:c r="J23" s="21" t="str">
        <x:v>TEXTO</x:v>
      </x:c>
      <x:c r="K23" s="21" t="str">
        <x:v>0000000000000000000000000000000000000000000000000000000000000001</x:v>
      </x:c>
      <x:c r="L23" s="21" t="str">
        <x:v>0000000000000000000000000000000000000000000000000000000000000001</x:v>
      </x:c>
      <x:c r="M23" s="21" t="str">
        <x:v>100</x:v>
      </x:c>
      <x:c r="N23" s="21" t="str">
        <x:v>200</x:v>
      </x:c>
      <x:c r="O23" s="21" t="str">
        <x:v>COMPLETA</x:v>
      </x:c>
      <x:c r="P23" s="21" t="str">
        <x:v>U</x:v>
      </x:c>
      <x:c r="Q23" s="21" t="str">
        <x:v>U</x:v>
      </x:c>
      <x:c r="R23" s="27" t="str">
        <x:f>IF(EXACT("x"&amp;P23,"x"&amp;Q23),"PASA","DISCORDA")</x:f>
        <x:v>PASA</x:v>
      </x:c>
      <x:c r="S23" s="21" t="str">
        <x:v>{"ancla": "100", "cobertura": "COMPLETA", "conflicto": "NO", "corte": "200", "objetivo": "0000000000000000000000000000000000000000000000000000000000000001", "observacion": "AUSENTE", "parametro": "P13", "perfil": "FIJADO", "pertinencia": "SI", "recepcion": "ADMITIDA", "tipo": "TEXTO", "tipo_objetivo": "TEXTO", "valor": "0000000000000000000000000000000000000000000000000000000000000001"}</x:v>
      </x:c>
    </x:row>
    <x:row r="24" ht="74" customHeight="1">
      <x:c r="A24" s="21" t="str">
        <x:v>TC-020</x:v>
      </x:c>
      <x:c r="B24" s="21" t="str">
        <x:v>P13</x:v>
      </x:c>
      <x:c r="C24" s="21" t="str">
        <x:v>Conflicto admitido</x:v>
      </x:c>
      <x:c r="D24" s="21" t="str">
        <x:v>ADMITIDA</x:v>
      </x:c>
      <x:c r="E24" s="21" t="str">
        <x:v>FIJADO</x:v>
      </x:c>
      <x:c r="F24" s="21" t="str">
        <x:v>SI</x:v>
      </x:c>
      <x:c r="G24" s="21" t="str">
        <x:v>PRESENTE</x:v>
      </x:c>
      <x:c r="H24" s="21" t="str">
        <x:v>SI</x:v>
      </x:c>
      <x:c r="I24" s="21" t="str">
        <x:v>TEXTO</x:v>
      </x:c>
      <x:c r="J24" s="21" t="str">
        <x:v>TEXTO</x:v>
      </x:c>
      <x:c r="K24" s="21" t="str">
        <x:v>0000000000000000000000000000000000000000000000000000000000000001</x:v>
      </x:c>
      <x:c r="L24" s="21" t="str">
        <x:v>0000000000000000000000000000000000000000000000000000000000000001</x:v>
      </x:c>
      <x:c r="M24" s="21" t="str">
        <x:v>100</x:v>
      </x:c>
      <x:c r="N24" s="21" t="str">
        <x:v>200</x:v>
      </x:c>
      <x:c r="O24" s="21" t="str">
        <x:v>COMPLETA</x:v>
      </x:c>
      <x:c r="P24" s="21" t="str">
        <x:v>U</x:v>
      </x:c>
      <x:c r="Q24" s="21" t="str">
        <x:v>U</x:v>
      </x:c>
      <x:c r="R24" s="27" t="str">
        <x:f>IF(EXACT("x"&amp;P24,"x"&amp;Q24),"PASA","DISCORDA")</x:f>
        <x:v>PASA</x:v>
      </x:c>
      <x:c r="S24" s="21" t="str">
        <x:v>{"ancla": "100", "cobertura": "COMPLETA", "conflicto": "SI",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5" ht="74" customHeight="1">
      <x:c r="A25" s="21" t="str">
        <x:v>TC-021</x:v>
      </x:c>
      <x:c r="B25" s="21" t="str">
        <x:v>P13</x:v>
      </x:c>
      <x:c r="C25" s="21" t="str">
        <x:v>Fallo de captura sin Tri</x:v>
      </x:c>
      <x:c r="D25" s="21" t="str">
        <x:v>FALLO</x:v>
      </x:c>
      <x:c r="E25" s="21" t="str">
        <x:v>FIJADO</x:v>
      </x:c>
      <x:c r="F25" s="21" t="str">
        <x:v>SI</x:v>
      </x:c>
      <x:c r="G25" s="21" t="str">
        <x:v>PRESENTE</x:v>
      </x:c>
      <x:c r="H25" s="21" t="str">
        <x:v>NO</x:v>
      </x:c>
      <x:c r="I25" s="21" t="str">
        <x:v>TEXTO</x:v>
      </x:c>
      <x:c r="J25" s="21" t="str">
        <x:v>TEXTO</x:v>
      </x:c>
      <x:c r="K25" s="21" t="str">
        <x:v>0000000000000000000000000000000000000000000000000000000000000001</x:v>
      </x:c>
      <x:c r="L25" s="21" t="str">
        <x:v>0000000000000000000000000000000000000000000000000000000000000001</x:v>
      </x:c>
      <x:c r="M25" s="21" t="str">
        <x:v>100</x:v>
      </x:c>
      <x:c r="N25" s="21" t="str">
        <x:v>200</x:v>
      </x:c>
      <x:c r="O25" s="21" t="str">
        <x:v>COMPLETA</x:v>
      </x:c>
      <x:c r="P25" s="21" t="str">
        <x:v>FALLO_TECNICO</x:v>
      </x:c>
      <x:c r="Q25" s="21" t="str">
        <x:v>FALLO_TECNICO</x:v>
      </x:c>
      <x:c r="R25" s="27" t="str">
        <x:f>IF(EXACT("x"&amp;P25,"x"&amp;Q25),"PASA","DISCORDA")</x:f>
        <x:v>PASA</x:v>
      </x:c>
      <x:c r="S25" s="21" t="str">
        <x:v>{"ancla": "100", "cobertura": "COMPLETA", "conflicto": "NO", "corte": "200", "objetivo": "0000000000000000000000000000000000000000000000000000000000000001", "observacion": "PRESENTE", "parametro": "P13", "perfil": "FIJADO", "pertinencia": "SI", "recepcion": "FALLO", "tipo": "TEXTO", "tipo_objetivo": "TEXTO", "valor": "0000000000000000000000000000000000000000000000000000000000000001"}</x:v>
      </x:c>
    </x:row>
    <x:row r="26" ht="74" customHeight="1">
      <x:c r="A26" s="21" t="str">
        <x:v>TC-022</x:v>
      </x:c>
      <x:c r="B26" s="21" t="str">
        <x:v>P13</x:v>
      </x:c>
      <x:c r="C26" s="21" t="str">
        <x:v>Origen no admitido</x:v>
      </x:c>
      <x:c r="D26" s="21" t="str">
        <x:v>RECHAZADA</x:v>
      </x:c>
      <x:c r="E26" s="21" t="str">
        <x:v>FIJADO</x:v>
      </x:c>
      <x:c r="F26" s="21" t="str">
        <x:v>SI</x:v>
      </x:c>
      <x:c r="G26" s="21" t="str">
        <x:v>PRESENTE</x:v>
      </x:c>
      <x:c r="H26" s="21" t="str">
        <x:v>NO</x:v>
      </x:c>
      <x:c r="I26" s="21" t="str">
        <x:v>TEXTO</x:v>
      </x:c>
      <x:c r="J26" s="21" t="str">
        <x:v>TEXTO</x:v>
      </x:c>
      <x:c r="K26" s="21" t="str">
        <x:v>0000000000000000000000000000000000000000000000000000000000000001</x:v>
      </x:c>
      <x:c r="L26" s="21" t="str">
        <x:v>0000000000000000000000000000000000000000000000000000000000000001</x:v>
      </x:c>
      <x:c r="M26" s="21" t="str">
        <x:v>100</x:v>
      </x:c>
      <x:c r="N26" s="21" t="str">
        <x:v>200</x:v>
      </x:c>
      <x:c r="O26" s="21" t="str">
        <x:v>COMPLETA</x:v>
      </x:c>
      <x:c r="P26" s="21" t="str">
        <x:v>NO_ADMITIDA</x:v>
      </x:c>
      <x:c r="Q26" s="21" t="str">
        <x:v>NO_ADMITIDA</x:v>
      </x:c>
      <x:c r="R26" s="27" t="str">
        <x:f>IF(EXACT("x"&amp;P26,"x"&amp;Q26),"PASA","DISCORDA")</x:f>
        <x:v>PASA</x:v>
      </x:c>
      <x:c r="S26" s="21" t="str">
        <x:v>{"ancla": "100", "cobertura": "COMPLETA", "conflicto": "NO", "corte": "200", "objetivo": "0000000000000000000000000000000000000000000000000000000000000001", "observacion": "PRESENTE", "parametro": "P13", "perfil": "FIJADO", "pertinencia": "SI", "recepcion": "RECHAZADA", "tipo": "TEXTO", "tipo_objetivo": "TEXTO", "valor": "0000000000000000000000000000000000000000000000000000000000000001"}</x:v>
      </x:c>
    </x:row>
    <x:row r="27" ht="74" customHeight="1">
      <x:c r="A27" s="21" t="str">
        <x:v>TC-023</x:v>
      </x:c>
      <x:c r="B27" s="21" t="str">
        <x:v>P13</x:v>
      </x:c>
      <x:c r="C27" s="21" t="str">
        <x:v>Perfil sin regla</x:v>
      </x:c>
      <x:c r="D27" s="21" t="str">
        <x:v>ADMITIDA</x:v>
      </x:c>
      <x:c r="E27" s="21" t="str">
        <x:v>PENDIENTE</x:v>
      </x:c>
      <x:c r="F27" s="21" t="str">
        <x:v>SI</x:v>
      </x:c>
      <x:c r="G27" s="21" t="str">
        <x:v>PRESENTE</x:v>
      </x:c>
      <x:c r="H27" s="21" t="str">
        <x:v>NO</x:v>
      </x:c>
      <x:c r="I27" s="21" t="str">
        <x:v>TEXTO</x:v>
      </x:c>
      <x:c r="J27" s="21" t="str">
        <x:v>TEXTO</x:v>
      </x:c>
      <x:c r="K27" s="21" t="str">
        <x:v>0000000000000000000000000000000000000000000000000000000000000001</x:v>
      </x:c>
      <x:c r="L27" s="21" t="str">
        <x:v>0000000000000000000000000000000000000000000000000000000000000001</x:v>
      </x:c>
      <x:c r="M27" s="21" t="str">
        <x:v>100</x:v>
      </x:c>
      <x:c r="N27" s="21" t="str">
        <x:v>200</x:v>
      </x:c>
      <x:c r="O27" s="21" t="str">
        <x:v>COMPLETA</x:v>
      </x:c>
      <x:c r="P27" s="21" t="str">
        <x:v>CONFIGURACION_PENDIENTE</x:v>
      </x:c>
      <x:c r="Q27" s="21" t="str">
        <x:v>CONFIGURACION_PENDIENTE</x:v>
      </x:c>
      <x:c r="R27" s="27" t="str">
        <x:f>IF(EXACT("x"&amp;P27,"x"&amp;Q27),"PASA","DISCORDA")</x:f>
        <x:v>PASA</x:v>
      </x:c>
      <x:c r="S27" s="21" t="str">
        <x:v>{"ancla": "100", "cobertura": "COMPLETA", "conflicto": "NO", "corte": "200", "objetivo": "0000000000000000000000000000000000000000000000000000000000000001", "observacion": "PRESENTE", "parametro": "P13", "perfil": "PENDIENTE", "pertinencia": "SI", "recepcion": "ADMITIDA", "tipo": "TEXTO", "tipo_objetivo": "TEXTO", "valor": "0000000000000000000000000000000000000000000000000000000000000001"}</x:v>
      </x:c>
    </x:row>
    <x:row r="28" ht="74" customHeight="1">
      <x:c r="A28" s="21" t="str">
        <x:v>TC-024</x:v>
      </x:c>
      <x:c r="B28" s="21" t="str">
        <x:v>P13</x:v>
      </x:c>
      <x:c r="C28" s="21" t="str">
        <x:v>Sujeto fuera del perfil</x:v>
      </x:c>
      <x:c r="D28" s="21" t="str">
        <x:v>ADMITIDA</x:v>
      </x:c>
      <x:c r="E28" s="21" t="str">
        <x:v>FIJADO</x:v>
      </x:c>
      <x:c r="F28" s="21" t="str">
        <x:v>NO</x:v>
      </x:c>
      <x:c r="G28" s="21" t="str">
        <x:v>PRESENTE</x:v>
      </x:c>
      <x:c r="H28" s="21" t="str">
        <x:v>NO</x:v>
      </x:c>
      <x:c r="I28" s="21" t="str">
        <x:v>TEXTO</x:v>
      </x:c>
      <x:c r="J28" s="21" t="str">
        <x:v>TEXTO</x:v>
      </x:c>
      <x:c r="K28" s="21" t="str">
        <x:v>0000000000000000000000000000000000000000000000000000000000000001</x:v>
      </x:c>
      <x:c r="L28" s="21" t="str">
        <x:v>0000000000000000000000000000000000000000000000000000000000000001</x:v>
      </x:c>
      <x:c r="M28" s="21" t="str">
        <x:v>100</x:v>
      </x:c>
      <x:c r="N28" s="21" t="str">
        <x:v>200</x:v>
      </x:c>
      <x:c r="O28" s="21" t="str">
        <x:v>COMPLETA</x:v>
      </x:c>
      <x:c r="P28" s="21" t="str">
        <x:v>FUERA_DE_PERFIL</x:v>
      </x:c>
      <x:c r="Q28" s="21" t="str">
        <x:v>FUERA_DE_PERFIL</x:v>
      </x:c>
      <x:c r="R28" s="27" t="str">
        <x:f>IF(EXACT("x"&amp;P28,"x"&amp;Q28),"PASA","DISCORDA")</x:f>
        <x:v>PASA</x:v>
      </x:c>
      <x:c r="S28" s="21" t="str">
        <x:v>{"ancla": "100", "cobertura": "COMPLETA", "conflicto": "NO", "corte": "200", "objetivo": "0000000000000000000000000000000000000000000000000000000000000001", "observacion": "PRESENTE", "parametro": "P13", "perfil": "FIJADO", "pertinencia": "NO", "recepcion": "ADMITIDA", "tipo": "TEXTO", "tipo_objetivo": "TEXTO", "valor": "0000000000000000000000000000000000000000000000000000000000000001"}</x:v>
      </x:c>
    </x:row>
    <x:row r="29" ht="59" customHeight="1">
      <x:c r="A29" s="21" t="str">
        <x:v>TC-025</x:v>
      </x:c>
      <x:c r="B29" s="21" t="str">
        <x:v>P14</x:v>
      </x:c>
      <x:c r="C29" s="21" t="str">
        <x:v>Testigo positivo del predicado</x:v>
      </x:c>
      <x:c r="D29" s="21" t="str">
        <x:v>ADMITIDA</x:v>
      </x:c>
      <x:c r="E29" s="21" t="str">
        <x:v>FIJADO</x:v>
      </x:c>
      <x:c r="F29" s="21" t="str">
        <x:v>SI</x:v>
      </x:c>
      <x:c r="G29" s="21" t="str">
        <x:v>PRESENTE</x:v>
      </x:c>
      <x:c r="H29" s="21" t="str">
        <x:v>NO</x:v>
      </x:c>
      <x:c r="I29" s="21" t="str">
        <x:v>TEXTO</x:v>
      </x:c>
      <x:c r="J29" s="21" t="str">
        <x:v>TEXTO</x:v>
      </x:c>
      <x:c r="K29" s="21" t="str">
        <x:v>TRANSICION</x:v>
      </x:c>
      <x:c r="L29" s="21" t="str">
        <x:v>objetivo</x:v>
      </x:c>
      <x:c r="M29" s="21" t="str">
        <x:v>100</x:v>
      </x:c>
      <x:c r="N29" s="21" t="str">
        <x:v>200</x:v>
      </x:c>
      <x:c r="O29" s="21" t="str">
        <x:v>COMPLETA</x:v>
      </x:c>
      <x:c r="P29" s="21" t="str">
        <x:v>1</x:v>
      </x:c>
      <x:c r="Q29" s="21" t="str">
        <x:v>1</x:v>
      </x:c>
      <x:c r="R29" s="27" t="str">
        <x:f>IF(EXACT("x"&amp;P29,"x"&amp;Q29),"PASA","DISCORDA")</x:f>
        <x:v>PASA</x:v>
      </x:c>
      <x:c r="S29" s="21" t="str">
        <x:v>{"ancla": "100", "cobertura": "COMPLETA", "conflicto": "NO", "corte": "200", "objetivo": "objetivo", "observacion": "PRESENTE", "parametro": "P14", "perfil": "FIJADO", "pertinencia": "SI", "recepcion": "ADMITIDA", "tipo": "TEXTO", "tipo_objetivo": "TEXTO", "valor": "TRANSICION"}</x:v>
      </x:c>
    </x:row>
    <x:row r="30" ht="59" customHeight="1">
      <x:c r="A30" s="21" t="str">
        <x:v>TC-026</x:v>
      </x:c>
      <x:c r="B30" s="21" t="str">
        <x:v>P14</x:v>
      </x:c>
      <x:c r="C30" s="21" t="str">
        <x:v>Negación acreditada</x:v>
      </x:c>
      <x:c r="D30" s="21" t="str">
        <x:v>ADMITIDA</x:v>
      </x:c>
      <x:c r="E30" s="21" t="str">
        <x:v>FIJADO</x:v>
      </x:c>
      <x:c r="F30" s="21" t="str">
        <x:v>SI</x:v>
      </x:c>
      <x:c r="G30" s="21" t="str">
        <x:v>PRESENTE</x:v>
      </x:c>
      <x:c r="H30" s="21" t="str">
        <x:v>NO</x:v>
      </x:c>
      <x:c r="I30" s="21" t="str">
        <x:v>TEXTO</x:v>
      </x:c>
      <x:c r="J30" s="21" t="str">
        <x:v>TEXTO</x:v>
      </x:c>
      <x:c r="K30" s="21" t="str">
        <x:v>SIN_TRANSICION</x:v>
      </x:c>
      <x:c r="L30" s="21" t="str">
        <x:v>objetivo</x:v>
      </x:c>
      <x:c r="M30" s="21" t="str">
        <x:v>100</x:v>
      </x:c>
      <x:c r="N30" s="21" t="str">
        <x:v>200</x:v>
      </x:c>
      <x:c r="O30" s="21" t="str">
        <x:v>COMPLETA</x:v>
      </x:c>
      <x:c r="P30" s="21" t="str">
        <x:v>0</x:v>
      </x:c>
      <x:c r="Q30" s="21" t="str">
        <x:v>0</x:v>
      </x:c>
      <x:c r="R30" s="27" t="str">
        <x:f>IF(EXACT("x"&amp;P30,"x"&amp;Q30),"PASA","DISCORDA")</x:f>
        <x:v>PASA</x:v>
      </x:c>
      <x:c r="S30" s="21" t="str">
        <x:v>{"ancla": "100", "cobertura": "COMPLETA", "conflicto": "NO", "corte": "200", "objetivo": "objetivo", "observacion": "PRESENTE", "parametro": "P14", "perfil": "FIJADO", "pertinencia": "SI", "recepcion": "ADMITIDA", "tipo": "TEXTO", "tipo_objetivo": "TEXTO", "valor": "SIN_TRANSICION"}</x:v>
      </x:c>
    </x:row>
    <x:row r="31" ht="59" customHeight="1">
      <x:c r="A31" s="21" t="str">
        <x:v>TC-027</x:v>
      </x:c>
      <x:c r="B31" s="21" t="str">
        <x:v>P14</x:v>
      </x:c>
      <x:c r="C31" s="21" t="str">
        <x:v>Ausencia declarada no es cero</x:v>
      </x:c>
      <x:c r="D31" s="21" t="str">
        <x:v>ADMITIDA</x:v>
      </x:c>
      <x:c r="E31" s="21" t="str">
        <x:v>FIJADO</x:v>
      </x:c>
      <x:c r="F31" s="21" t="str">
        <x:v>SI</x:v>
      </x:c>
      <x:c r="G31" s="21" t="str">
        <x:v>AUSENTE</x:v>
      </x:c>
      <x:c r="H31" s="21" t="str">
        <x:v>NO</x:v>
      </x:c>
      <x:c r="I31" s="21" t="str">
        <x:v>TEXTO</x:v>
      </x:c>
      <x:c r="J31" s="21" t="str">
        <x:v>TEXTO</x:v>
      </x:c>
      <x:c r="K31" s="21" t="str">
        <x:v>TRANSICION</x:v>
      </x:c>
      <x:c r="L31" s="21" t="str">
        <x:v>objetivo</x:v>
      </x:c>
      <x:c r="M31" s="21" t="str">
        <x:v>100</x:v>
      </x:c>
      <x:c r="N31" s="21" t="str">
        <x:v>200</x:v>
      </x:c>
      <x:c r="O31" s="21" t="str">
        <x:v>COMPLETA</x:v>
      </x:c>
      <x:c r="P31" s="21" t="str">
        <x:v>U</x:v>
      </x:c>
      <x:c r="Q31" s="21" t="str">
        <x:v>U</x:v>
      </x:c>
      <x:c r="R31" s="27" t="str">
        <x:f>IF(EXACT("x"&amp;P31,"x"&amp;Q31),"PASA","DISCORDA")</x:f>
        <x:v>PASA</x:v>
      </x:c>
      <x:c r="S31" s="21" t="str">
        <x:v>{"ancla": "100", "cobertura": "COMPLETA", "conflicto": "NO", "corte": "200", "objetivo": "objetivo", "observacion": "AUSENTE", "parametro": "P14", "perfil": "FIJADO", "pertinencia": "SI", "recepcion": "ADMITIDA", "tipo": "TEXTO", "tipo_objetivo": "TEXTO", "valor": "TRANSICION"}</x:v>
      </x:c>
    </x:row>
    <x:row r="32" ht="59" customHeight="1">
      <x:c r="A32" s="21" t="str">
        <x:v>TC-028</x:v>
      </x:c>
      <x:c r="B32" s="21" t="str">
        <x:v>P14</x:v>
      </x:c>
      <x:c r="C32" s="21" t="str">
        <x:v>Conflicto admitido</x:v>
      </x:c>
      <x:c r="D32" s="21" t="str">
        <x:v>ADMITIDA</x:v>
      </x:c>
      <x:c r="E32" s="21" t="str">
        <x:v>FIJADO</x:v>
      </x:c>
      <x:c r="F32" s="21" t="str">
        <x:v>SI</x:v>
      </x:c>
      <x:c r="G32" s="21" t="str">
        <x:v>PRESENTE</x:v>
      </x:c>
      <x:c r="H32" s="21" t="str">
        <x:v>SI</x:v>
      </x:c>
      <x:c r="I32" s="21" t="str">
        <x:v>TEXTO</x:v>
      </x:c>
      <x:c r="J32" s="21" t="str">
        <x:v>TEXTO</x:v>
      </x:c>
      <x:c r="K32" s="21" t="str">
        <x:v>TRANSICION</x:v>
      </x:c>
      <x:c r="L32" s="21" t="str">
        <x:v>objetivo</x:v>
      </x:c>
      <x:c r="M32" s="21" t="str">
        <x:v>100</x:v>
      </x:c>
      <x:c r="N32" s="21" t="str">
        <x:v>200</x:v>
      </x:c>
      <x:c r="O32" s="21" t="str">
        <x:v>COMPLETA</x:v>
      </x:c>
      <x:c r="P32" s="21" t="str">
        <x:v>U</x:v>
      </x:c>
      <x:c r="Q32" s="21" t="str">
        <x:v>U</x:v>
      </x:c>
      <x:c r="R32" s="27" t="str">
        <x:f>IF(EXACT("x"&amp;P32,"x"&amp;Q32),"PASA","DISCORDA")</x:f>
        <x:v>PASA</x:v>
      </x:c>
      <x:c r="S32" s="21" t="str">
        <x:v>{"ancla": "100", "cobertura": "COMPLETA", "conflicto": "SI", "corte": "200", "objetivo": "objetivo", "observacion": "PRESENTE", "parametro": "P14", "perfil": "FIJADO", "pertinencia": "SI", "recepcion": "ADMITIDA", "tipo": "TEXTO", "tipo_objetivo": "TEXTO", "valor": "TRANSICION"}</x:v>
      </x:c>
    </x:row>
    <x:row r="33" ht="59" customHeight="1">
      <x:c r="A33" s="21" t="str">
        <x:v>TC-029</x:v>
      </x:c>
      <x:c r="B33" s="21" t="str">
        <x:v>P14</x:v>
      </x:c>
      <x:c r="C33" s="21" t="str">
        <x:v>Fallo de captura sin Tri</x:v>
      </x:c>
      <x:c r="D33" s="21" t="str">
        <x:v>FALLO</x:v>
      </x:c>
      <x:c r="E33" s="21" t="str">
        <x:v>FIJADO</x:v>
      </x:c>
      <x:c r="F33" s="21" t="str">
        <x:v>SI</x:v>
      </x:c>
      <x:c r="G33" s="21" t="str">
        <x:v>PRESENTE</x:v>
      </x:c>
      <x:c r="H33" s="21" t="str">
        <x:v>NO</x:v>
      </x:c>
      <x:c r="I33" s="21" t="str">
        <x:v>TEXTO</x:v>
      </x:c>
      <x:c r="J33" s="21" t="str">
        <x:v>TEXTO</x:v>
      </x:c>
      <x:c r="K33" s="21" t="str">
        <x:v>TRANSICION</x:v>
      </x:c>
      <x:c r="L33" s="21" t="str">
        <x:v>objetivo</x:v>
      </x:c>
      <x:c r="M33" s="21" t="str">
        <x:v>100</x:v>
      </x:c>
      <x:c r="N33" s="21" t="str">
        <x:v>200</x:v>
      </x:c>
      <x:c r="O33" s="21" t="str">
        <x:v>COMPLETA</x:v>
      </x:c>
      <x:c r="P33" s="21" t="str">
        <x:v>FALLO_TECNICO</x:v>
      </x:c>
      <x:c r="Q33" s="21" t="str">
        <x:v>FALLO_TECNICO</x:v>
      </x:c>
      <x:c r="R33" s="27" t="str">
        <x:f>IF(EXACT("x"&amp;P33,"x"&amp;Q33),"PASA","DISCORDA")</x:f>
        <x:v>PASA</x:v>
      </x:c>
      <x:c r="S33" s="21" t="str">
        <x:v>{"ancla": "100", "cobertura": "COMPLETA", "conflicto": "NO", "corte": "200", "objetivo": "objetivo", "observacion": "PRESENTE", "parametro": "P14", "perfil": "FIJADO", "pertinencia": "SI", "recepcion": "FALLO", "tipo": "TEXTO", "tipo_objetivo": "TEXTO", "valor": "TRANSICION"}</x:v>
      </x:c>
    </x:row>
    <x:row r="34" ht="59" customHeight="1">
      <x:c r="A34" s="21" t="str">
        <x:v>TC-030</x:v>
      </x:c>
      <x:c r="B34" s="21" t="str">
        <x:v>P14</x:v>
      </x:c>
      <x:c r="C34" s="21" t="str">
        <x:v>Origen no admitido</x:v>
      </x:c>
      <x:c r="D34" s="21" t="str">
        <x:v>RECHAZADA</x:v>
      </x:c>
      <x:c r="E34" s="21" t="str">
        <x:v>FIJADO</x:v>
      </x:c>
      <x:c r="F34" s="21" t="str">
        <x:v>SI</x:v>
      </x:c>
      <x:c r="G34" s="21" t="str">
        <x:v>PRESENTE</x:v>
      </x:c>
      <x:c r="H34" s="21" t="str">
        <x:v>NO</x:v>
      </x:c>
      <x:c r="I34" s="21" t="str">
        <x:v>TEXTO</x:v>
      </x:c>
      <x:c r="J34" s="21" t="str">
        <x:v>TEXTO</x:v>
      </x:c>
      <x:c r="K34" s="21" t="str">
        <x:v>TRANSICION</x:v>
      </x:c>
      <x:c r="L34" s="21" t="str">
        <x:v>objetivo</x:v>
      </x:c>
      <x:c r="M34" s="21" t="str">
        <x:v>100</x:v>
      </x:c>
      <x:c r="N34" s="21" t="str">
        <x:v>200</x:v>
      </x:c>
      <x:c r="O34" s="21" t="str">
        <x:v>COMPLETA</x:v>
      </x:c>
      <x:c r="P34" s="21" t="str">
        <x:v>NO_ADMITIDA</x:v>
      </x:c>
      <x:c r="Q34" s="21" t="str">
        <x:v>NO_ADMITIDA</x:v>
      </x:c>
      <x:c r="R34" s="27" t="str">
        <x:f>IF(EXACT("x"&amp;P34,"x"&amp;Q34),"PASA","DISCORDA")</x:f>
        <x:v>PASA</x:v>
      </x:c>
      <x:c r="S34" s="21" t="str">
        <x:v>{"ancla": "100", "cobertura": "COMPLETA", "conflicto": "NO", "corte": "200", "objetivo": "objetivo", "observacion": "PRESENTE", "parametro": "P14", "perfil": "FIJADO", "pertinencia": "SI", "recepcion": "RECHAZADA", "tipo": "TEXTO", "tipo_objetivo": "TEXTO", "valor": "TRANSICION"}</x:v>
      </x:c>
    </x:row>
    <x:row r="35" ht="59" customHeight="1">
      <x:c r="A35" s="21" t="str">
        <x:v>TC-031</x:v>
      </x:c>
      <x:c r="B35" s="21" t="str">
        <x:v>P14</x:v>
      </x:c>
      <x:c r="C35" s="21" t="str">
        <x:v>Perfil sin regla</x:v>
      </x:c>
      <x:c r="D35" s="21" t="str">
        <x:v>ADMITIDA</x:v>
      </x:c>
      <x:c r="E35" s="21" t="str">
        <x:v>PENDIENTE</x:v>
      </x:c>
      <x:c r="F35" s="21" t="str">
        <x:v>SI</x:v>
      </x:c>
      <x:c r="G35" s="21" t="str">
        <x:v>PRESENTE</x:v>
      </x:c>
      <x:c r="H35" s="21" t="str">
        <x:v>NO</x:v>
      </x:c>
      <x:c r="I35" s="21" t="str">
        <x:v>TEXTO</x:v>
      </x:c>
      <x:c r="J35" s="21" t="str">
        <x:v>TEXTO</x:v>
      </x:c>
      <x:c r="K35" s="21" t="str">
        <x:v>TRANSICION</x:v>
      </x:c>
      <x:c r="L35" s="21" t="str">
        <x:v>objetivo</x:v>
      </x:c>
      <x:c r="M35" s="21" t="str">
        <x:v>100</x:v>
      </x:c>
      <x:c r="N35" s="21" t="str">
        <x:v>200</x:v>
      </x:c>
      <x:c r="O35" s="21" t="str">
        <x:v>COMPLETA</x:v>
      </x:c>
      <x:c r="P35" s="21" t="str">
        <x:v>CONFIGURACION_PENDIENTE</x:v>
      </x:c>
      <x:c r="Q35" s="21" t="str">
        <x:v>CONFIGURACION_PENDIENTE</x:v>
      </x:c>
      <x:c r="R35" s="27" t="str">
        <x:f>IF(EXACT("x"&amp;P35,"x"&amp;Q35),"PASA","DISCORDA")</x:f>
        <x:v>PASA</x:v>
      </x:c>
      <x:c r="S35" s="21" t="str">
        <x:v>{"ancla": "100", "cobertura": "COMPLETA", "conflicto": "NO", "corte": "200", "objetivo": "objetivo", "observacion": "PRESENTE", "parametro": "P14", "perfil": "PENDIENTE", "pertinencia": "SI", "recepcion": "ADMITIDA", "tipo": "TEXTO", "tipo_objetivo": "TEXTO", "valor": "TRANSICION"}</x:v>
      </x:c>
    </x:row>
    <x:row r="36" ht="59" customHeight="1">
      <x:c r="A36" s="21" t="str">
        <x:v>TC-032</x:v>
      </x:c>
      <x:c r="B36" s="21" t="str">
        <x:v>P14</x:v>
      </x:c>
      <x:c r="C36" s="21" t="str">
        <x:v>Sujeto fuera del perfil</x:v>
      </x:c>
      <x:c r="D36" s="21" t="str">
        <x:v>ADMITIDA</x:v>
      </x:c>
      <x:c r="E36" s="21" t="str">
        <x:v>FIJADO</x:v>
      </x:c>
      <x:c r="F36" s="21" t="str">
        <x:v>NO</x:v>
      </x:c>
      <x:c r="G36" s="21" t="str">
        <x:v>PRESENTE</x:v>
      </x:c>
      <x:c r="H36" s="21" t="str">
        <x:v>NO</x:v>
      </x:c>
      <x:c r="I36" s="21" t="str">
        <x:v>TEXTO</x:v>
      </x:c>
      <x:c r="J36" s="21" t="str">
        <x:v>TEXTO</x:v>
      </x:c>
      <x:c r="K36" s="21" t="str">
        <x:v>TRANSICION</x:v>
      </x:c>
      <x:c r="L36" s="21" t="str">
        <x:v>objetivo</x:v>
      </x:c>
      <x:c r="M36" s="21" t="str">
        <x:v>100</x:v>
      </x:c>
      <x:c r="N36" s="21" t="str">
        <x:v>200</x:v>
      </x:c>
      <x:c r="O36" s="21" t="str">
        <x:v>COMPLETA</x:v>
      </x:c>
      <x:c r="P36" s="21" t="str">
        <x:v>FUERA_DE_PERFIL</x:v>
      </x:c>
      <x:c r="Q36" s="21" t="str">
        <x:v>FUERA_DE_PERFIL</x:v>
      </x:c>
      <x:c r="R36" s="27" t="str">
        <x:f>IF(EXACT("x"&amp;P36,"x"&amp;Q36),"PASA","DISCORDA")</x:f>
        <x:v>PASA</x:v>
      </x:c>
      <x:c r="S36" s="21" t="str">
        <x:v>{"ancla": "100", "cobertura": "COMPLETA", "conflicto": "NO", "corte": "200", "objetivo": "objetivo", "observacion": "PRESENTE", "parametro": "P14", "perfil": "FIJADO", "pertinencia": "NO", "recepcion": "ADMITIDA", "tipo": "TEXTO", "tipo_objetivo": "TEXTO", "valor": "TRANSICION"}</x:v>
      </x:c>
    </x:row>
    <x:row r="37" ht="59" customHeight="1">
      <x:c r="A37" s="21" t="str">
        <x:v>TC-033</x:v>
      </x:c>
      <x:c r="B37" s="21" t="str">
        <x:v>P15</x:v>
      </x:c>
      <x:c r="C37" s="21" t="str">
        <x:v>Testigo positivo del predicado</x:v>
      </x:c>
      <x:c r="D37" s="21" t="str">
        <x:v>ADMITIDA</x:v>
      </x:c>
      <x:c r="E37" s="21" t="str">
        <x:v>FIJADO</x:v>
      </x:c>
      <x:c r="F37" s="21" t="str">
        <x:v>SI</x:v>
      </x:c>
      <x:c r="G37" s="21" t="str">
        <x:v>PRESENTE</x:v>
      </x:c>
      <x:c r="H37" s="21" t="str">
        <x:v>NO</x:v>
      </x:c>
      <x:c r="I37" s="21" t="str">
        <x:v>TEXTO</x:v>
      </x:c>
      <x:c r="J37" s="21" t="str">
        <x:v>TEXTO</x:v>
      </x:c>
      <x:c r="K37" s="21" t="str">
        <x:v>EXIGE</x:v>
      </x:c>
      <x:c r="L37" s="21" t="str">
        <x:v>objetivo</x:v>
      </x:c>
      <x:c r="M37" s="21" t="str">
        <x:v>100</x:v>
      </x:c>
      <x:c r="N37" s="21" t="str">
        <x:v>200</x:v>
      </x:c>
      <x:c r="O37" s="21" t="str">
        <x:v>COMPLETA</x:v>
      </x:c>
      <x:c r="P37" s="21" t="str">
        <x:v>1</x:v>
      </x:c>
      <x:c r="Q37" s="21" t="str">
        <x:v>1</x:v>
      </x:c>
      <x:c r="R37" s="27" t="str">
        <x:f>IF(EXACT("x"&amp;P37,"x"&amp;Q37),"PASA","DISCORDA")</x:f>
        <x:v>PASA</x:v>
      </x:c>
      <x:c r="S37" s="21" t="str">
        <x:v>{"ancla": "100", "cobertura": "COMPLETA", "conflicto": "NO", "corte": "200", "objetivo": "objetivo", "observacion": "PRESENTE", "parametro": "P15", "perfil": "FIJADO", "pertinencia": "SI", "recepcion": "ADMITIDA", "tipo": "TEXTO", "tipo_objetivo": "TEXTO", "valor": "EXIGE"}</x:v>
      </x:c>
    </x:row>
    <x:row r="38" ht="59" customHeight="1">
      <x:c r="A38" s="21" t="str">
        <x:v>TC-034</x:v>
      </x:c>
      <x:c r="B38" s="21" t="str">
        <x:v>P15</x:v>
      </x:c>
      <x:c r="C38" s="21" t="str">
        <x:v>Negación acreditada</x:v>
      </x:c>
      <x:c r="D38" s="21" t="str">
        <x:v>ADMITIDA</x:v>
      </x:c>
      <x:c r="E38" s="21" t="str">
        <x:v>FIJADO</x:v>
      </x:c>
      <x:c r="F38" s="21" t="str">
        <x:v>SI</x:v>
      </x:c>
      <x:c r="G38" s="21" t="str">
        <x:v>PRESENTE</x:v>
      </x:c>
      <x:c r="H38" s="21" t="str">
        <x:v>NO</x:v>
      </x:c>
      <x:c r="I38" s="21" t="str">
        <x:v>TEXTO</x:v>
      </x:c>
      <x:c r="J38" s="21" t="str">
        <x:v>TEXTO</x:v>
      </x:c>
      <x:c r="K38" s="21" t="str">
        <x:v>NO_EXIGE</x:v>
      </x:c>
      <x:c r="L38" s="21" t="str">
        <x:v>objetivo</x:v>
      </x:c>
      <x:c r="M38" s="21" t="str">
        <x:v>100</x:v>
      </x:c>
      <x:c r="N38" s="21" t="str">
        <x:v>200</x:v>
      </x:c>
      <x:c r="O38" s="21" t="str">
        <x:v>COMPLETA</x:v>
      </x:c>
      <x:c r="P38" s="21" t="str">
        <x:v>0</x:v>
      </x:c>
      <x:c r="Q38" s="21" t="str">
        <x:v>0</x:v>
      </x:c>
      <x:c r="R38" s="27" t="str">
        <x:f>IF(EXACT("x"&amp;P38,"x"&amp;Q38),"PASA","DISCORDA")</x:f>
        <x:v>PASA</x:v>
      </x:c>
      <x:c r="S38" s="21" t="str">
        <x:v>{"ancla": "100", "cobertura": "COMPLETA", "conflicto": "NO", "corte": "200", "objetivo": "objetivo", "observacion": "PRESENTE", "parametro": "P15", "perfil": "FIJADO", "pertinencia": "SI", "recepcion": "ADMITIDA", "tipo": "TEXTO", "tipo_objetivo": "TEXTO", "valor": "NO_EXIGE"}</x:v>
      </x:c>
    </x:row>
    <x:row r="39" ht="59" customHeight="1">
      <x:c r="A39" s="21" t="str">
        <x:v>TC-035</x:v>
      </x:c>
      <x:c r="B39" s="21" t="str">
        <x:v>P15</x:v>
      </x:c>
      <x:c r="C39" s="21" t="str">
        <x:v>Ausencia declarada no es cero</x:v>
      </x:c>
      <x:c r="D39" s="21" t="str">
        <x:v>ADMITIDA</x:v>
      </x:c>
      <x:c r="E39" s="21" t="str">
        <x:v>FIJADO</x:v>
      </x:c>
      <x:c r="F39" s="21" t="str">
        <x:v>SI</x:v>
      </x:c>
      <x:c r="G39" s="21" t="str">
        <x:v>AUSENTE</x:v>
      </x:c>
      <x:c r="H39" s="21" t="str">
        <x:v>NO</x:v>
      </x:c>
      <x:c r="I39" s="21" t="str">
        <x:v>TEXTO</x:v>
      </x:c>
      <x:c r="J39" s="21" t="str">
        <x:v>TEXTO</x:v>
      </x:c>
      <x:c r="K39" s="21" t="str">
        <x:v>EXIGE</x:v>
      </x:c>
      <x:c r="L39" s="21" t="str">
        <x:v>objetivo</x:v>
      </x:c>
      <x:c r="M39" s="21" t="str">
        <x:v>100</x:v>
      </x:c>
      <x:c r="N39" s="21" t="str">
        <x:v>200</x:v>
      </x:c>
      <x:c r="O39" s="21" t="str">
        <x:v>COMPLETA</x:v>
      </x:c>
      <x:c r="P39" s="21" t="str">
        <x:v>U</x:v>
      </x:c>
      <x:c r="Q39" s="21" t="str">
        <x:v>U</x:v>
      </x:c>
      <x:c r="R39" s="27" t="str">
        <x:f>IF(EXACT("x"&amp;P39,"x"&amp;Q39),"PASA","DISCORDA")</x:f>
        <x:v>PASA</x:v>
      </x:c>
      <x:c r="S39" s="21" t="str">
        <x:v>{"ancla": "100", "cobertura": "COMPLETA", "conflicto": "NO", "corte": "200", "objetivo": "objetivo", "observacion": "AUSENTE", "parametro": "P15", "perfil": "FIJADO", "pertinencia": "SI", "recepcion": "ADMITIDA", "tipo": "TEXTO", "tipo_objetivo": "TEXTO", "valor": "EXIGE"}</x:v>
      </x:c>
    </x:row>
    <x:row r="40" ht="59" customHeight="1">
      <x:c r="A40" s="21" t="str">
        <x:v>TC-036</x:v>
      </x:c>
      <x:c r="B40" s="21" t="str">
        <x:v>P15</x:v>
      </x:c>
      <x:c r="C40" s="21" t="str">
        <x:v>Conflicto admitido</x:v>
      </x:c>
      <x:c r="D40" s="21" t="str">
        <x:v>ADMITIDA</x:v>
      </x:c>
      <x:c r="E40" s="21" t="str">
        <x:v>FIJADO</x:v>
      </x:c>
      <x:c r="F40" s="21" t="str">
        <x:v>SI</x:v>
      </x:c>
      <x:c r="G40" s="21" t="str">
        <x:v>PRESENTE</x:v>
      </x:c>
      <x:c r="H40" s="21" t="str">
        <x:v>SI</x:v>
      </x:c>
      <x:c r="I40" s="21" t="str">
        <x:v>TEXTO</x:v>
      </x:c>
      <x:c r="J40" s="21" t="str">
        <x:v>TEXTO</x:v>
      </x:c>
      <x:c r="K40" s="21" t="str">
        <x:v>EXIGE</x:v>
      </x:c>
      <x:c r="L40" s="21" t="str">
        <x:v>objetivo</x:v>
      </x:c>
      <x:c r="M40" s="21" t="str">
        <x:v>100</x:v>
      </x:c>
      <x:c r="N40" s="21" t="str">
        <x:v>200</x:v>
      </x:c>
      <x:c r="O40" s="21" t="str">
        <x:v>COMPLETA</x:v>
      </x:c>
      <x:c r="P40" s="21" t="str">
        <x:v>U</x:v>
      </x:c>
      <x:c r="Q40" s="21" t="str">
        <x:v>U</x:v>
      </x:c>
      <x:c r="R40" s="27" t="str">
        <x:f>IF(EXACT("x"&amp;P40,"x"&amp;Q40),"PASA","DISCORDA")</x:f>
        <x:v>PASA</x:v>
      </x:c>
      <x:c r="S40" s="21" t="str">
        <x:v>{"ancla": "100", "cobertura": "COMPLETA", "conflicto": "SI", "corte": "200", "objetivo": "objetivo", "observacion": "PRESENTE", "parametro": "P15", "perfil": "FIJADO", "pertinencia": "SI", "recepcion": "ADMITIDA", "tipo": "TEXTO", "tipo_objetivo": "TEXTO", "valor": "EXIGE"}</x:v>
      </x:c>
    </x:row>
    <x:row r="41" ht="59" customHeight="1">
      <x:c r="A41" s="21" t="str">
        <x:v>TC-037</x:v>
      </x:c>
      <x:c r="B41" s="21" t="str">
        <x:v>P15</x:v>
      </x:c>
      <x:c r="C41" s="21" t="str">
        <x:v>Fallo de captura sin Tri</x:v>
      </x:c>
      <x:c r="D41" s="21" t="str">
        <x:v>FALLO</x:v>
      </x:c>
      <x:c r="E41" s="21" t="str">
        <x:v>FIJADO</x:v>
      </x:c>
      <x:c r="F41" s="21" t="str">
        <x:v>SI</x:v>
      </x:c>
      <x:c r="G41" s="21" t="str">
        <x:v>PRESENTE</x:v>
      </x:c>
      <x:c r="H41" s="21" t="str">
        <x:v>NO</x:v>
      </x:c>
      <x:c r="I41" s="21" t="str">
        <x:v>TEXTO</x:v>
      </x:c>
      <x:c r="J41" s="21" t="str">
        <x:v>TEXTO</x:v>
      </x:c>
      <x:c r="K41" s="21" t="str">
        <x:v>EXIGE</x:v>
      </x:c>
      <x:c r="L41" s="21" t="str">
        <x:v>objetivo</x:v>
      </x:c>
      <x:c r="M41" s="21" t="str">
        <x:v>100</x:v>
      </x:c>
      <x:c r="N41" s="21" t="str">
        <x:v>200</x:v>
      </x:c>
      <x:c r="O41" s="21" t="str">
        <x:v>COMPLETA</x:v>
      </x:c>
      <x:c r="P41" s="21" t="str">
        <x:v>FALLO_TECNICO</x:v>
      </x:c>
      <x:c r="Q41" s="21" t="str">
        <x:v>FALLO_TECNICO</x:v>
      </x:c>
      <x:c r="R41" s="27" t="str">
        <x:f>IF(EXACT("x"&amp;P41,"x"&amp;Q41),"PASA","DISCORDA")</x:f>
        <x:v>PASA</x:v>
      </x:c>
      <x:c r="S41" s="21" t="str">
        <x:v>{"ancla": "100", "cobertura": "COMPLETA", "conflicto": "NO", "corte": "200", "objetivo": "objetivo", "observacion": "PRESENTE", "parametro": "P15", "perfil": "FIJADO", "pertinencia": "SI", "recepcion": "FALLO", "tipo": "TEXTO", "tipo_objetivo": "TEXTO", "valor": "EXIGE"}</x:v>
      </x:c>
    </x:row>
    <x:row r="42" ht="59" customHeight="1">
      <x:c r="A42" s="21" t="str">
        <x:v>TC-038</x:v>
      </x:c>
      <x:c r="B42" s="21" t="str">
        <x:v>P15</x:v>
      </x:c>
      <x:c r="C42" s="21" t="str">
        <x:v>Origen no admitido</x:v>
      </x:c>
      <x:c r="D42" s="21" t="str">
        <x:v>RECHAZADA</x:v>
      </x:c>
      <x:c r="E42" s="21" t="str">
        <x:v>FIJADO</x:v>
      </x:c>
      <x:c r="F42" s="21" t="str">
        <x:v>SI</x:v>
      </x:c>
      <x:c r="G42" s="21" t="str">
        <x:v>PRESENTE</x:v>
      </x:c>
      <x:c r="H42" s="21" t="str">
        <x:v>NO</x:v>
      </x:c>
      <x:c r="I42" s="21" t="str">
        <x:v>TEXTO</x:v>
      </x:c>
      <x:c r="J42" s="21" t="str">
        <x:v>TEXTO</x:v>
      </x:c>
      <x:c r="K42" s="21" t="str">
        <x:v>EXIGE</x:v>
      </x:c>
      <x:c r="L42" s="21" t="str">
        <x:v>objetivo</x:v>
      </x:c>
      <x:c r="M42" s="21" t="str">
        <x:v>100</x:v>
      </x:c>
      <x:c r="N42" s="21" t="str">
        <x:v>200</x:v>
      </x:c>
      <x:c r="O42" s="21" t="str">
        <x:v>COMPLETA</x:v>
      </x:c>
      <x:c r="P42" s="21" t="str">
        <x:v>NO_ADMITIDA</x:v>
      </x:c>
      <x:c r="Q42" s="21" t="str">
        <x:v>NO_ADMITIDA</x:v>
      </x:c>
      <x:c r="R42" s="27" t="str">
        <x:f>IF(EXACT("x"&amp;P42,"x"&amp;Q42),"PASA","DISCORDA")</x:f>
        <x:v>PASA</x:v>
      </x:c>
      <x:c r="S42" s="21" t="str">
        <x:v>{"ancla": "100", "cobertura": "COMPLETA", "conflicto": "NO", "corte": "200", "objetivo": "objetivo", "observacion": "PRESENTE", "parametro": "P15", "perfil": "FIJADO", "pertinencia": "SI", "recepcion": "RECHAZADA", "tipo": "TEXTO", "tipo_objetivo": "TEXTO", "valor": "EXIGE"}</x:v>
      </x:c>
    </x:row>
    <x:row r="43" ht="59" customHeight="1">
      <x:c r="A43" s="21" t="str">
        <x:v>TC-039</x:v>
      </x:c>
      <x:c r="B43" s="21" t="str">
        <x:v>P15</x:v>
      </x:c>
      <x:c r="C43" s="21" t="str">
        <x:v>Perfil sin regla</x:v>
      </x:c>
      <x:c r="D43" s="21" t="str">
        <x:v>ADMITIDA</x:v>
      </x:c>
      <x:c r="E43" s="21" t="str">
        <x:v>PENDIENTE</x:v>
      </x:c>
      <x:c r="F43" s="21" t="str">
        <x:v>SI</x:v>
      </x:c>
      <x:c r="G43" s="21" t="str">
        <x:v>PRESENTE</x:v>
      </x:c>
      <x:c r="H43" s="21" t="str">
        <x:v>NO</x:v>
      </x:c>
      <x:c r="I43" s="21" t="str">
        <x:v>TEXTO</x:v>
      </x:c>
      <x:c r="J43" s="21" t="str">
        <x:v>TEXTO</x:v>
      </x:c>
      <x:c r="K43" s="21" t="str">
        <x:v>EXIGE</x:v>
      </x:c>
      <x:c r="L43" s="21" t="str">
        <x:v>objetivo</x:v>
      </x:c>
      <x:c r="M43" s="21" t="str">
        <x:v>100</x:v>
      </x:c>
      <x:c r="N43" s="21" t="str">
        <x:v>200</x:v>
      </x:c>
      <x:c r="O43" s="21" t="str">
        <x:v>COMPLETA</x:v>
      </x:c>
      <x:c r="P43" s="21" t="str">
        <x:v>CONFIGURACION_PENDIENTE</x:v>
      </x:c>
      <x:c r="Q43" s="21" t="str">
        <x:v>CONFIGURACION_PENDIENTE</x:v>
      </x:c>
      <x:c r="R43" s="27" t="str">
        <x:f>IF(EXACT("x"&amp;P43,"x"&amp;Q43),"PASA","DISCORDA")</x:f>
        <x:v>PASA</x:v>
      </x:c>
      <x:c r="S43" s="21" t="str">
        <x:v>{"ancla": "100", "cobertura": "COMPLETA", "conflicto": "NO", "corte": "200", "objetivo": "objetivo", "observacion": "PRESENTE", "parametro": "P15", "perfil": "PENDIENTE", "pertinencia": "SI", "recepcion": "ADMITIDA", "tipo": "TEXTO", "tipo_objetivo": "TEXTO", "valor": "EXIGE"}</x:v>
      </x:c>
    </x:row>
    <x:row r="44" ht="59" customHeight="1">
      <x:c r="A44" s="21" t="str">
        <x:v>TC-040</x:v>
      </x:c>
      <x:c r="B44" s="21" t="str">
        <x:v>P15</x:v>
      </x:c>
      <x:c r="C44" s="21" t="str">
        <x:v>Sujeto fuera del perfil</x:v>
      </x:c>
      <x:c r="D44" s="21" t="str">
        <x:v>ADMITIDA</x:v>
      </x:c>
      <x:c r="E44" s="21" t="str">
        <x:v>FIJADO</x:v>
      </x:c>
      <x:c r="F44" s="21" t="str">
        <x:v>NO</x:v>
      </x:c>
      <x:c r="G44" s="21" t="str">
        <x:v>PRESENTE</x:v>
      </x:c>
      <x:c r="H44" s="21" t="str">
        <x:v>NO</x:v>
      </x:c>
      <x:c r="I44" s="21" t="str">
        <x:v>TEXTO</x:v>
      </x:c>
      <x:c r="J44" s="21" t="str">
        <x:v>TEXTO</x:v>
      </x:c>
      <x:c r="K44" s="21" t="str">
        <x:v>EXIGE</x:v>
      </x:c>
      <x:c r="L44" s="21" t="str">
        <x:v>objetivo</x:v>
      </x:c>
      <x:c r="M44" s="21" t="str">
        <x:v>100</x:v>
      </x:c>
      <x:c r="N44" s="21" t="str">
        <x:v>200</x:v>
      </x:c>
      <x:c r="O44" s="21" t="str">
        <x:v>COMPLETA</x:v>
      </x:c>
      <x:c r="P44" s="21" t="str">
        <x:v>FUERA_DE_PERFIL</x:v>
      </x:c>
      <x:c r="Q44" s="21" t="str">
        <x:v>FUERA_DE_PERFIL</x:v>
      </x:c>
      <x:c r="R44" s="27" t="str">
        <x:f>IF(EXACT("x"&amp;P44,"x"&amp;Q44),"PASA","DISCORDA")</x:f>
        <x:v>PASA</x:v>
      </x:c>
      <x:c r="S44" s="21" t="str">
        <x:v>{"ancla": "100", "cobertura": "COMPLETA", "conflicto": "NO", "corte": "200", "objetivo": "objetivo", "observacion": "PRESENTE", "parametro": "P15", "perfil": "FIJADO", "pertinencia": "NO", "recepcion": "ADMITIDA", "tipo": "TEXTO", "tipo_objetivo": "TEXTO", "valor": "EXIGE"}</x:v>
      </x:c>
    </x:row>
    <x:row r="45" ht="59" customHeight="1">
      <x:c r="A45" s="21" t="str">
        <x:v>TC-041</x:v>
      </x:c>
      <x:c r="B45" s="21" t="str">
        <x:v>P11</x:v>
      </x:c>
      <x:c r="C45" s="21" t="str">
        <x:v>Creación exacta al corte incluida</x:v>
      </x:c>
      <x:c r="D45" s="21" t="str">
        <x:v>ADMITIDA</x:v>
      </x:c>
      <x:c r="E45" s="21" t="str">
        <x:v>FIJADO</x:v>
      </x:c>
      <x:c r="F45" s="21" t="str">
        <x:v>SI</x:v>
      </x:c>
      <x:c r="G45" s="21" t="str">
        <x:v>PRESENTE</x:v>
      </x:c>
      <x:c r="H45" s="21" t="str">
        <x:v>NO</x:v>
      </x:c>
      <x:c r="I45" s="21" t="str">
        <x:v>TEXTO</x:v>
      </x:c>
      <x:c r="J45" s="21" t="str">
        <x:v>TEXTO</x:v>
      </x:c>
      <x:c r="K45" s="21" t="str">
        <x:v>200</x:v>
      </x:c>
      <x:c r="L45" s="21" t="str">
        <x:v>objetivo</x:v>
      </x:c>
      <x:c r="M45" s="21" t="str">
        <x:v>100</x:v>
      </x:c>
      <x:c r="N45" s="21" t="str">
        <x:v>200</x:v>
      </x:c>
      <x:c r="O45" s="21" t="str">
        <x:v>COMPLETA</x:v>
      </x:c>
      <x:c r="P45" s="21" t="str">
        <x:v>1</x:v>
      </x:c>
      <x:c r="Q45" s="21" t="str">
        <x:v>1</x:v>
      </x:c>
      <x:c r="R45" s="27" t="str">
        <x:f>IF(EXACT("x"&amp;P45,"x"&amp;Q45),"PASA","DISCORDA")</x:f>
        <x:v>PASA</x:v>
      </x:c>
      <x:c r="S45" s="21" t="str">
        <x:v>{"ancla": "100", "cobertura": "COMPLETA", "conflicto": "NO", "corte": "200", "objetivo": "objetivo", "observacion": "PRESENTE", "parametro": "P11", "perfil": "FIJADO", "pertinencia": "SI", "recepcion": "ADMITIDA", "tipo": "TEXTO", "tipo_objetivo": "TEXTO", "valor": "200"}</x:v>
      </x:c>
    </x:row>
    <x:row r="46" ht="59" customHeight="1">
      <x:c r="A46" s="21" t="str">
        <x:v>TC-042</x:v>
      </x:c>
      <x:c r="B46" s="21" t="str">
        <x:v>P11</x:v>
      </x:c>
      <x:c r="C46" s="21" t="str">
        <x:v>Creación posterior ajena al corte</x:v>
      </x:c>
      <x:c r="D46" s="21" t="str">
        <x:v>ADMITIDA</x:v>
      </x:c>
      <x:c r="E46" s="21" t="str">
        <x:v>FIJADO</x:v>
      </x:c>
      <x:c r="F46" s="21" t="str">
        <x:v>SI</x:v>
      </x:c>
      <x:c r="G46" s="21" t="str">
        <x:v>PRESENTE</x:v>
      </x:c>
      <x:c r="H46" s="21" t="str">
        <x:v>NO</x:v>
      </x:c>
      <x:c r="I46" s="21" t="str">
        <x:v>TEXTO</x:v>
      </x:c>
      <x:c r="J46" s="21" t="str">
        <x:v>TEXTO</x:v>
      </x:c>
      <x:c r="K46" s="21" t="str">
        <x:v>201</x:v>
      </x:c>
      <x:c r="L46" s="21" t="str">
        <x:v>objetivo</x:v>
      </x:c>
      <x:c r="M46" s="21" t="str">
        <x:v>100</x:v>
      </x:c>
      <x:c r="N46" s="21" t="str">
        <x:v>200</x:v>
      </x:c>
      <x:c r="O46" s="21" t="str">
        <x:v>COMPLETA</x:v>
      </x:c>
      <x:c r="P46" s="21" t="str">
        <x:v>NO_ADMITIDA</x:v>
      </x:c>
      <x:c r="Q46" s="21" t="str">
        <x:v>NO_ADMITIDA</x:v>
      </x:c>
      <x:c r="R46" s="27" t="str">
        <x:f>IF(EXACT("x"&amp;P46,"x"&amp;Q46),"PASA","DISCORDA")</x:f>
        <x:v>PASA</x:v>
      </x:c>
      <x:c r="S46" s="21" t="str">
        <x:v>{"ancla": "100", "cobertura": "COMPLETA", "conflicto": "NO", "corte": "200", "objetivo": "objetivo", "observacion": "PRESENTE", "parametro": "P11", "perfil": "FIJADO", "pertinencia": "SI", "recepcion": "ADMITIDA", "tipo": "TEXTO", "tipo_objetivo": "TEXTO", "valor": "201"}</x:v>
      </x:c>
    </x:row>
    <x:row r="47" ht="59" customHeight="1">
      <x:c r="A47" s="21" t="str">
        <x:v>TC-043</x:v>
      </x:c>
      <x:c r="B47" s="21" t="str">
        <x:v>P11</x:v>
      </x:c>
      <x:c r="C47" s="21" t="str">
        <x:v>Orden no acreditado</x:v>
      </x:c>
      <x:c r="D47" s="21" t="str">
        <x:v>ADMITIDA</x:v>
      </x:c>
      <x:c r="E47" s="21" t="str">
        <x:v>FIJADO</x:v>
      </x:c>
      <x:c r="F47" s="21" t="str">
        <x:v>SI</x:v>
      </x:c>
      <x:c r="G47" s="21" t="str">
        <x:v>ORDEN_INCIERTO</x:v>
      </x:c>
      <x:c r="H47" s="21" t="str">
        <x:v>NO</x:v>
      </x:c>
      <x:c r="I47" s="21" t="str">
        <x:v>TEXTO</x:v>
      </x:c>
      <x:c r="J47" s="21" t="str">
        <x:v>TEXTO</x:v>
      </x:c>
      <x:c r="K47" s="21" t="str">
        <x:v>?</x:v>
      </x:c>
      <x:c r="L47" s="21" t="str">
        <x:v>objetivo</x:v>
      </x:c>
      <x:c r="M47" s="21" t="str">
        <x:v>100</x:v>
      </x:c>
      <x:c r="N47" s="21" t="str">
        <x:v>200</x:v>
      </x:c>
      <x:c r="O47" s="21" t="str">
        <x:v>COMPLETA</x:v>
      </x:c>
      <x:c r="P47" s="21" t="str">
        <x:v>U</x:v>
      </x:c>
      <x:c r="Q47" s="21" t="str">
        <x:v>U</x:v>
      </x:c>
      <x:c r="R47" s="27" t="str">
        <x:f>IF(EXACT("x"&amp;P47,"x"&amp;Q47),"PASA","DISCORDA")</x:f>
        <x:v>PASA</x:v>
      </x:c>
      <x:c r="S47" s="21" t="str">
        <x:v>{"ancla": "100", "cobertura": "COMPLETA", "conflicto": "NO", "corte": "200", "objetivo": "objetivo", "observacion": "ORDEN_INCIERTO", "parametro": "P11", "perfil": "FIJADO", "pertinencia": "SI", "recepcion": "ADMITIDA", "tipo": "TEXTO", "tipo_objetivo": "TEXTO", "valor": "?"}</x:v>
      </x:c>
    </x:row>
    <x:row r="48" ht="59" customHeight="1">
      <x:c r="A48" s="21" t="str">
        <x:v>TC-044</x:v>
      </x:c>
      <x:c r="B48" s="21" t="str">
        <x:v>P11</x:v>
      </x:c>
      <x:c r="C48" s="21" t="str">
        <x:v>Solicitud de creación no acredita evento</x:v>
      </x:c>
      <x:c r="D48" s="21" t="str">
        <x:v>ADMITIDA</x:v>
      </x:c>
      <x:c r="E48" s="21" t="str">
        <x:v>FIJADO</x:v>
      </x:c>
      <x:c r="F48" s="21" t="str">
        <x:v>SI</x:v>
      </x:c>
      <x:c r="G48" s="21" t="str">
        <x:v>INDIRECTA</x:v>
      </x:c>
      <x:c r="H48" s="21" t="str">
        <x:v>NO</x:v>
      </x:c>
      <x:c r="I48" s="21" t="str">
        <x:v>TEXTO</x:v>
      </x:c>
      <x:c r="J48" s="21" t="str">
        <x:v>TEXTO</x:v>
      </x:c>
      <x:c r="K48" s="21" t="str">
        <x:v>SOLICITADA</x:v>
      </x:c>
      <x:c r="L48" s="21" t="str">
        <x:v>objetivo</x:v>
      </x:c>
      <x:c r="M48" s="21" t="str">
        <x:v>100</x:v>
      </x:c>
      <x:c r="N48" s="21" t="str">
        <x:v>200</x:v>
      </x:c>
      <x:c r="O48" s="21" t="str">
        <x:v>COMPLETA</x:v>
      </x:c>
      <x:c r="P48" s="21" t="str">
        <x:v>U</x:v>
      </x:c>
      <x:c r="Q48" s="21" t="str">
        <x:v>U</x:v>
      </x:c>
      <x:c r="R48" s="27" t="str">
        <x:f>IF(EXACT("x"&amp;P48,"x"&amp;Q48),"PASA","DISCORDA")</x:f>
        <x:v>PASA</x:v>
      </x:c>
      <x:c r="S48" s="21" t="str">
        <x:v>{"ancla": "100", "cobertura": "COMPLETA", "conflicto": "NO", "corte": "200", "objetivo": "objetivo", "observacion": "INDIRECTA", "parametro": "P11", "perfil": "FIJADO", "pertinencia": "SI", "recepcion": "ADMITIDA", "tipo": "TEXTO", "tipo_objetivo": "TEXTO", "valor": "SOLICITADA"}</x:v>
      </x:c>
    </x:row>
    <x:row r="49" ht="74" customHeight="1">
      <x:c r="A49" s="21" t="str">
        <x:v>TC-045</x:v>
      </x:c>
      <x:c r="B49" s="21" t="str">
        <x:v>P11</x:v>
      </x:c>
      <x:c r="C49" s="21" t="str">
        <x:v>Instante entero exacto mayor de 2^53</x:v>
      </x:c>
      <x:c r="D49" s="21" t="str">
        <x:v>ADMITIDA</x:v>
      </x:c>
      <x:c r="E49" s="21" t="str">
        <x:v>FIJADO</x:v>
      </x:c>
      <x:c r="F49" s="21" t="str">
        <x:v>SI</x:v>
      </x:c>
      <x:c r="G49" s="21" t="str">
        <x:v>PRESENTE</x:v>
      </x:c>
      <x:c r="H49" s="21" t="str">
        <x:v>NO</x:v>
      </x:c>
      <x:c r="I49" s="21" t="str">
        <x:v>TEXTO</x:v>
      </x:c>
      <x:c r="J49" s="21" t="str">
        <x:v>TEXTO</x:v>
      </x:c>
      <x:c r="K49" s="21" t="str">
        <x:v>9007199254740993</x:v>
      </x:c>
      <x:c r="L49" s="21" t="str">
        <x:v>objetivo</x:v>
      </x:c>
      <x:c r="M49" s="21" t="str">
        <x:v>9007199254740992</x:v>
      </x:c>
      <x:c r="N49" s="21" t="str">
        <x:v>9007199254740994</x:v>
      </x:c>
      <x:c r="O49" s="21" t="str">
        <x:v>COMPLETA</x:v>
      </x:c>
      <x:c r="P49" s="21" t="str">
        <x:v>1</x:v>
      </x:c>
      <x:c r="Q49" s="21" t="str">
        <x:v>1</x:v>
      </x:c>
      <x:c r="R49" s="27" t="str">
        <x:f>IF(EXACT("x"&amp;P49,"x"&amp;Q49),"PASA","DISCORDA")</x:f>
        <x:v>PASA</x:v>
      </x:c>
      <x:c r="S49" s="21" t="str">
        <x:v>{"ancla": "9007199254740992", "cobertura": "COMPLETA", "conflicto": "NO", "corte": "9007199254740994", "objetivo": "objetivo", "observacion": "PRESENTE", "parametro": "P11", "perfil": "FIJADO", "pertinencia": "SI", "recepcion": "ADMITIDA", "tipo": "TEXTO", "tipo_objetivo": "TEXTO", "valor": "9007199254740993"}</x:v>
      </x:c>
    </x:row>
    <x:row r="50" ht="59" customHeight="1">
      <x:c r="A50" s="21" t="str">
        <x:v>TC-046</x:v>
      </x:c>
      <x:c r="B50" s="21" t="str">
        <x:v>P12</x:v>
      </x:c>
      <x:c r="C50" s="21" t="str">
        <x:v>Valor escrito en disco no efectivo</x:v>
      </x:c>
      <x:c r="D50" s="21" t="str">
        <x:v>ADMITIDA</x:v>
      </x:c>
      <x:c r="E50" s="21" t="str">
        <x:v>FIJADO</x:v>
      </x:c>
      <x:c r="F50" s="21" t="str">
        <x:v>SI</x:v>
      </x:c>
      <x:c r="G50" s="21" t="str">
        <x:v>INDIRECTA</x:v>
      </x:c>
      <x:c r="H50" s="21" t="str">
        <x:v>NO</x:v>
      </x:c>
      <x:c r="I50" s="21" t="str">
        <x:v>TEXTO</x:v>
      </x:c>
      <x:c r="J50" s="21" t="str">
        <x:v>TEXTO</x:v>
      </x:c>
      <x:c r="K50" s="21" t="str">
        <x:v>objetivo</x:v>
      </x:c>
      <x:c r="L50" s="21" t="str">
        <x:v>objetivo</x:v>
      </x:c>
      <x:c r="M50" s="21" t="str">
        <x:v>100</x:v>
      </x:c>
      <x:c r="N50" s="21" t="str">
        <x:v>200</x:v>
      </x:c>
      <x:c r="O50" s="21" t="str">
        <x:v>COMPLETA</x:v>
      </x:c>
      <x:c r="P50" s="21" t="str">
        <x:v>U</x:v>
      </x:c>
      <x:c r="Q50" s="21" t="str">
        <x:v>U</x:v>
      </x:c>
      <x:c r="R50" s="27" t="str">
        <x:f>IF(EXACT("x"&amp;P50,"x"&amp;Q50),"PASA","DISCORDA")</x:f>
        <x:v>PASA</x:v>
      </x:c>
      <x:c r="S50" s="21" t="str">
        <x:v>{"ancla": "100", "cobertura": "COMPLETA", "conflicto": "NO", "corte": "200", "objetivo": "objetivo", "observacion": "INDIRECTA", "parametro": "P12", "perfil": "FIJADO", "pertinencia": "SI", "recepcion": "ADMITIDA", "tipo": "TEXTO", "tipo_objetivo": "TEXTO", "valor": "objetivo"}</x:v>
      </x:c>
    </x:row>
    <x:row r="51" ht="59" customHeight="1">
      <x:c r="A51" s="21" t="str">
        <x:v>TC-047</x:v>
      </x:c>
      <x:c r="B51" s="21" t="str">
        <x:v>P12</x:v>
      </x:c>
      <x:c r="C51" s="21" t="str">
        <x:v>Tipos distintos no equivalentes</x:v>
      </x:c>
      <x:c r="D51" s="21" t="str">
        <x:v>ADMITIDA</x:v>
      </x:c>
      <x:c r="E51" s="21" t="str">
        <x:v>FIJADO</x:v>
      </x:c>
      <x:c r="F51" s="21" t="str">
        <x:v>SI</x:v>
      </x:c>
      <x:c r="G51" s="21" t="str">
        <x:v>PRESENTE</x:v>
      </x:c>
      <x:c r="H51" s="21" t="str">
        <x:v>NO</x:v>
      </x:c>
      <x:c r="I51" s="21" t="str">
        <x:v>BOOL</x:v>
      </x:c>
      <x:c r="J51" s="21" t="str">
        <x:v>TEXTO</x:v>
      </x:c>
      <x:c r="K51" s="21" t="str">
        <x:v>true</x:v>
      </x:c>
      <x:c r="L51" s="21" t="str">
        <x:v>true</x:v>
      </x:c>
      <x:c r="M51" s="21" t="str">
        <x:v>100</x:v>
      </x:c>
      <x:c r="N51" s="21" t="str">
        <x:v>200</x:v>
      </x:c>
      <x:c r="O51" s="21" t="str">
        <x:v>COMPLETA</x:v>
      </x:c>
      <x:c r="P51" s="21" t="str">
        <x:v>NO_ADMITIDA</x:v>
      </x:c>
      <x:c r="Q51" s="21" t="str">
        <x:v>NO_ADMITIDA</x:v>
      </x:c>
      <x:c r="R51" s="27" t="str">
        <x:f>IF(EXACT("x"&amp;P51,"x"&amp;Q51),"PASA","DISCORDA")</x:f>
        <x:v>PASA</x:v>
      </x:c>
      <x:c r="S51" s="21" t="str">
        <x:v>{"ancla": "100", "cobertura": "COMPLETA", "conflicto": "NO", "corte": "200", "objetivo": "true", "observacion": "PRESENTE", "parametro": "P12", "perfil": "FIJADO", "pertinencia": "SI", "recepcion": "ADMITIDA", "tipo": "BOOL", "tipo_objetivo": "TEXTO", "valor": "true"}</x:v>
      </x:c>
    </x:row>
    <x:row r="52" ht="59" customHeight="1">
      <x:c r="A52" s="21" t="str">
        <x:v>TC-048</x:v>
      </x:c>
      <x:c r="B52" s="21" t="str">
        <x:v>P12</x:v>
      </x:c>
      <x:c r="C52" s="21" t="str">
        <x:v>Clave compuesta sin adjudicación</x:v>
      </x:c>
      <x:c r="D52" s="21" t="str">
        <x:v>ADMITIDA</x:v>
      </x:c>
      <x:c r="E52" s="21" t="str">
        <x:v>COMPUESTO</x:v>
      </x:c>
      <x:c r="F52" s="21" t="str">
        <x:v>SI</x:v>
      </x:c>
      <x:c r="G52" s="21" t="str">
        <x:v>PRESENTE</x:v>
      </x:c>
      <x:c r="H52" s="21" t="str">
        <x:v>NO</x:v>
      </x:c>
      <x:c r="I52" s="21" t="str">
        <x:v>TEXTO</x:v>
      </x:c>
      <x:c r="J52" s="21" t="str">
        <x:v>TEXTO</x:v>
      </x:c>
      <x:c r="K52" s="21" t="str">
        <x:v>objetivo</x:v>
      </x:c>
      <x:c r="L52" s="21" t="str">
        <x:v>objetivo</x:v>
      </x:c>
      <x:c r="M52" s="21" t="str">
        <x:v>100</x:v>
      </x:c>
      <x:c r="N52" s="21" t="str">
        <x:v>200</x:v>
      </x:c>
      <x:c r="O52" s="21" t="str">
        <x:v>COMPLETA</x:v>
      </x:c>
      <x:c r="P52" s="21" t="str">
        <x:v>CONFIGURACION_PENDIENTE</x:v>
      </x:c>
      <x:c r="Q52" s="21" t="str">
        <x:v>CONFIGURACION_PENDIENTE</x:v>
      </x:c>
      <x:c r="R52" s="27" t="str">
        <x:f>IF(EXACT("x"&amp;P52,"x"&amp;Q52),"PASA","DISCORDA")</x:f>
        <x:v>PASA</x:v>
      </x:c>
      <x:c r="S52" s="21" t="str">
        <x:v>{"ancla": "100", "cobertura": "COMPLETA", "conflicto": "NO", "corte": "200", "objetivo": "objetivo", "observacion": "PRESENTE", "parametro": "P12", "perfil": "COMPUESTO", "pertinencia": "SI", "recepcion": "ADMITIDA", "tipo": "TEXTO", "tipo_objetivo": "TEXTO", "valor": "objetivo"}</x:v>
      </x:c>
    </x:row>
    <x:row r="53" ht="59" customHeight="1">
      <x:c r="A53" s="21" t="str">
        <x:v>TC-049</x:v>
      </x:c>
      <x:c r="B53" s="21" t="str">
        <x:v>P12</x:v>
      </x:c>
      <x:c r="C53" s="21" t="str">
        <x:v>Cero textual distinto de ausencia</x:v>
      </x:c>
      <x:c r="D53" s="21" t="str">
        <x:v>ADMITIDA</x:v>
      </x:c>
      <x:c r="E53" s="21" t="str">
        <x:v>FIJADO</x:v>
      </x:c>
      <x:c r="F53" s="21" t="str">
        <x:v>SI</x:v>
      </x:c>
      <x:c r="G53" s="21" t="str">
        <x:v>PRESENTE</x:v>
      </x:c>
      <x:c r="H53" s="21" t="str">
        <x:v>NO</x:v>
      </x:c>
      <x:c r="I53" s="21" t="str">
        <x:v>TEXTO</x:v>
      </x:c>
      <x:c r="J53" s="21" t="str">
        <x:v>TEXTO</x:v>
      </x:c>
      <x:c r="K53" s="21" t="str">
        <x:v>0</x:v>
      </x:c>
      <x:c r="L53" s="21" t="str">
        <x:v>0</x:v>
      </x:c>
      <x:c r="M53" s="21" t="str">
        <x:v>100</x:v>
      </x:c>
      <x:c r="N53" s="21" t="str">
        <x:v>200</x:v>
      </x:c>
      <x:c r="O53" s="21" t="str">
        <x:v>COMPLETA</x:v>
      </x:c>
      <x:c r="P53" s="21" t="str">
        <x:v>1</x:v>
      </x:c>
      <x:c r="Q53" s="21" t="str">
        <x:v>1</x:v>
      </x:c>
      <x:c r="R53" s="27" t="str">
        <x:f>IF(EXACT("x"&amp;P53,"x"&amp;Q53),"PASA","DISCORDA")</x:f>
        <x:v>PASA</x:v>
      </x:c>
      <x:c r="S53" s="21" t="str">
        <x:v>{"ancla": "100", "cobertura": "COMPLETA", "conflicto": "NO", "corte": "200", "objetivo": "0", "observacion": "PRESENTE", "parametro": "P12", "perfil": "FIJADO", "pertinencia": "SI", "recepcion": "ADMITIDA", "tipo": "TEXTO", "tipo_objetivo": "TEXTO", "valor": "0"}</x:v>
      </x:c>
    </x:row>
    <x:row r="54" ht="59" customHeight="1">
      <x:c r="A54" s="21" t="str">
        <x:v>TC-050</x:v>
      </x:c>
      <x:c r="B54" s="21" t="str">
        <x:v>P12</x:v>
      </x:c>
      <x:c r="C54" s="21" t="str">
        <x:v>Ceros iniciales no normalizados sin regla</x:v>
      </x:c>
      <x:c r="D54" s="21" t="str">
        <x:v>ADMITIDA</x:v>
      </x:c>
      <x:c r="E54" s="21" t="str">
        <x:v>FIJADO</x:v>
      </x:c>
      <x:c r="F54" s="21" t="str">
        <x:v>SI</x:v>
      </x:c>
      <x:c r="G54" s="21" t="str">
        <x:v>PRESENTE</x:v>
      </x:c>
      <x:c r="H54" s="21" t="str">
        <x:v>NO</x:v>
      </x:c>
      <x:c r="I54" s="21" t="str">
        <x:v>TEXTO</x:v>
      </x:c>
      <x:c r="J54" s="21" t="str">
        <x:v>TEXTO</x:v>
      </x:c>
      <x:c r="K54" s="21" t="str">
        <x:v>00</x:v>
      </x:c>
      <x:c r="L54" s="21" t="str">
        <x:v>0</x:v>
      </x:c>
      <x:c r="M54" s="21" t="str">
        <x:v>100</x:v>
      </x:c>
      <x:c r="N54" s="21" t="str">
        <x:v>200</x:v>
      </x:c>
      <x:c r="O54" s="21" t="str">
        <x:v>COMPLETA</x:v>
      </x:c>
      <x:c r="P54" s="21" t="str">
        <x:v>0</x:v>
      </x:c>
      <x:c r="Q54" s="21" t="str">
        <x:v>0</x:v>
      </x:c>
      <x:c r="R54" s="27" t="str">
        <x:f>IF(EXACT("x"&amp;P54,"x"&amp;Q54),"PASA","DISCORDA")</x:f>
        <x:v>PASA</x:v>
      </x:c>
      <x:c r="S54" s="21" t="str">
        <x:v>{"ancla": "100", "cobertura": "COMPLETA", "conflicto": "NO", "corte": "200", "objetivo": "0", "observacion": "PRESENTE", "parametro": "P12", "perfil": "FIJADO", "pertinencia": "SI", "recepcion": "ADMITIDA", "tipo": "TEXTO", "tipo_objetivo": "TEXTO", "valor": "00"}</x:v>
      </x:c>
    </x:row>
    <x:row r="55" ht="59" customHeight="1">
      <x:c r="A55" s="21" t="str">
        <x:v>TC-051</x:v>
      </x:c>
      <x:c r="B55" s="21" t="str">
        <x:v>P13</x:v>
      </x:c>
      <x:c r="C55" s="21" t="str">
        <x:v>Ruta o versión no prueba bytes</x:v>
      </x:c>
      <x:c r="D55" s="21" t="str">
        <x:v>ADMITIDA</x:v>
      </x:c>
      <x:c r="E55" s="21" t="str">
        <x:v>FIJADO</x:v>
      </x:c>
      <x:c r="F55" s="21" t="str">
        <x:v>SI</x:v>
      </x:c>
      <x:c r="G55" s="21" t="str">
        <x:v>INDIRECTA</x:v>
      </x:c>
      <x:c r="H55" s="21" t="str">
        <x:v>NO</x:v>
      </x:c>
      <x:c r="I55" s="21" t="str">
        <x:v>TEXTO</x:v>
      </x:c>
      <x:c r="J55" s="21" t="str">
        <x:v>TEXTO</x:v>
      </x:c>
      <x:c r="K55" s="21" t="str">
        <x:v>objetivo</x:v>
      </x:c>
      <x:c r="L55" s="21" t="str">
        <x:v>objetivo</x:v>
      </x:c>
      <x:c r="M55" s="21" t="str">
        <x:v>100</x:v>
      </x:c>
      <x:c r="N55" s="21" t="str">
        <x:v>200</x:v>
      </x:c>
      <x:c r="O55" s="21" t="str">
        <x:v>COMPLETA</x:v>
      </x:c>
      <x:c r="P55" s="21" t="str">
        <x:v>U</x:v>
      </x:c>
      <x:c r="Q55" s="21" t="str">
        <x:v>U</x:v>
      </x:c>
      <x:c r="R55" s="27" t="str">
        <x:f>IF(EXACT("x"&amp;P55,"x"&amp;Q55),"PASA","DISCORDA")</x:f>
        <x:v>PASA</x:v>
      </x:c>
      <x:c r="S55" s="21" t="str">
        <x:v>{"ancla": "100", "cobertura": "COMPLETA", "conflicto": "NO", "corte": "200", "objetivo": "objetivo", "observacion": "INDIRECTA", "parametro": "P13", "perfil": "FIJADO", "pertinencia": "SI", "recepcion": "ADMITIDA", "tipo": "TEXTO", "tipo_objetivo": "TEXTO", "valor": "objetivo"}</x:v>
      </x:c>
    </x:row>
    <x:row r="56" ht="59" customHeight="1">
      <x:c r="A56" s="21" t="str">
        <x:v>TC-052</x:v>
      </x:c>
      <x:c r="B56" s="21" t="str">
        <x:v>P13</x:v>
      </x:c>
      <x:c r="C56" s="21" t="str">
        <x:v>Lectura inconsistente</x:v>
      </x:c>
      <x:c r="D56" s="21" t="str">
        <x:v>ADMITIDA</x:v>
      </x:c>
      <x:c r="E56" s="21" t="str">
        <x:v>FIJADO</x:v>
      </x:c>
      <x:c r="F56" s="21" t="str">
        <x:v>SI</x:v>
      </x:c>
      <x:c r="G56" s="21" t="str">
        <x:v>PARCIAL</x:v>
      </x:c>
      <x:c r="H56" s="21" t="str">
        <x:v>NO</x:v>
      </x:c>
      <x:c r="I56" s="21" t="str">
        <x:v>TEXTO</x:v>
      </x:c>
      <x:c r="J56" s="21" t="str">
        <x:v>TEXTO</x:v>
      </x:c>
      <x:c r="K56" s="21" t="str">
        <x:v>objetivo</x:v>
      </x:c>
      <x:c r="L56" s="21" t="str">
        <x:v>objetivo</x:v>
      </x:c>
      <x:c r="M56" s="21" t="str">
        <x:v>100</x:v>
      </x:c>
      <x:c r="N56" s="21" t="str">
        <x:v>200</x:v>
      </x:c>
      <x:c r="O56" s="21" t="str">
        <x:v>COMPLETA</x:v>
      </x:c>
      <x:c r="P56" s="21" t="str">
        <x:v>U</x:v>
      </x:c>
      <x:c r="Q56" s="21" t="str">
        <x:v>U</x:v>
      </x:c>
      <x:c r="R56" s="27" t="str">
        <x:f>IF(EXACT("x"&amp;P56,"x"&amp;Q56),"PASA","DISCORDA")</x:f>
        <x:v>PASA</x:v>
      </x:c>
      <x:c r="S56" s="21" t="str">
        <x:v>{"ancla": "100", "cobertura": "COMPLETA", "conflicto": "NO", "corte": "200", "objetivo": "objetivo", "observacion": "PARCIAL", "parametro": "P13", "perfil": "FIJADO", "pertinencia": "SI", "recepcion": "ADMITIDA", "tipo": "TEXTO", "tipo_objetivo": "TEXTO", "valor": "objetivo"}</x:v>
      </x:c>
    </x:row>
    <x:row r="57" ht="74" customHeight="1">
      <x:c r="A57" s="21" t="str">
        <x:v>TC-053</x:v>
      </x:c>
      <x:c r="B57" s="21" t="str">
        <x:v>P13</x:v>
      </x:c>
      <x:c r="C57" s="21" t="str">
        <x:v>Digest truncado</x:v>
      </x:c>
      <x:c r="D57" s="21" t="str">
        <x:v>ADMITIDA</x:v>
      </x:c>
      <x:c r="E57" s="21" t="str">
        <x:v>FIJADO</x:v>
      </x:c>
      <x:c r="F57" s="21" t="str">
        <x:v>SI</x:v>
      </x:c>
      <x:c r="G57" s="21" t="str">
        <x:v>PRESENTE</x:v>
      </x:c>
      <x:c r="H57" s="21" t="str">
        <x:v>NO</x:v>
      </x:c>
      <x:c r="I57" s="21" t="str">
        <x:v>TEXTO</x:v>
      </x:c>
      <x:c r="J57" s="21" t="str">
        <x:v>TEXTO</x:v>
      </x:c>
      <x:c r="K57" s="21" t="str">
        <x:v>aaaaaaaaaaaaaaaaaaaaaaaaaaaaaaaaaaaaaaaaaaaaaaaaaaaaaaaaaaaaaaa</x:v>
      </x:c>
      <x:c r="L57" s="21" t="str">
        <x:v>aaaaaaaaaaaaaaaaaaaaaaaaaaaaaaaaaaaaaaaaaaaaaaaaaaaaaaaaaaaaaaaa</x:v>
      </x:c>
      <x:c r="M57" s="21" t="str">
        <x:v>100</x:v>
      </x:c>
      <x:c r="N57" s="21" t="str">
        <x:v>200</x:v>
      </x:c>
      <x:c r="O57" s="21" t="str">
        <x:v>COMPLETA</x:v>
      </x:c>
      <x:c r="P57" s="21" t="str">
        <x:v>NO_ADMITIDA</x:v>
      </x:c>
      <x:c r="Q57" s="21" t="str">
        <x:v>NO_ADMITIDA</x:v>
      </x:c>
      <x:c r="R57" s="27" t="str">
        <x:f>IF(EXACT("x"&amp;P57,"x"&amp;Q57),"PASA","DISCORDA")</x:f>
        <x:v>PASA</x:v>
      </x:c>
      <x:c r="S57" s="21" t="str">
        <x:v>{"ancla": "100", "cobertura": "COMPLETA", "conflicto": "NO", "corte": "200", "objetivo": "aaaaaaaaaaaaaaaaaaaaaaaaaaaaaaaaaaaaaaaaaaaaaaaaaaaaaaaaaaaaaaaa", "observacion": "PRESENTE", "parametro": "P13", "perfil": "FIJADO", "pertinencia": "SI", "recepcion": "ADMITIDA", "tipo": "TEXTO", "tipo_objetivo": "TEXTO", "valor": "aaaaaaaaaaaaaaaaaaaaaaaaaaaaaaaaaaaaaaaaaaaaaaaaaaaaaaaaaaaaaaa"}</x:v>
      </x:c>
    </x:row>
    <x:row r="58" ht="74" customHeight="1">
      <x:c r="A58" s="21" t="str">
        <x:v>TC-054</x:v>
      </x:c>
      <x:c r="B58" s="21" t="str">
        <x:v>P13</x:v>
      </x:c>
      <x:c r="C58" s="21" t="str">
        <x:v>Digest con carácter no hexadecimal</x:v>
      </x:c>
      <x:c r="D58" s="21" t="str">
        <x:v>ADMITIDA</x:v>
      </x:c>
      <x:c r="E58" s="21" t="str">
        <x:v>FIJADO</x:v>
      </x:c>
      <x:c r="F58" s="21" t="str">
        <x:v>SI</x:v>
      </x:c>
      <x:c r="G58" s="21" t="str">
        <x:v>PRESENTE</x:v>
      </x:c>
      <x:c r="H58" s="21" t="str">
        <x:v>NO</x:v>
      </x:c>
      <x:c r="I58" s="21" t="str">
        <x:v>TEXTO</x:v>
      </x:c>
      <x:c r="J58" s="21" t="str">
        <x:v>TEXTO</x:v>
      </x:c>
      <x:c r="K58" s="21" t="str">
        <x:v>gggggggggggggggggggggggggggggggggggggggggggggggggggggggggggggggg</x:v>
      </x:c>
      <x:c r="L58" s="21" t="str">
        <x:v>aaaaaaaaaaaaaaaaaaaaaaaaaaaaaaaaaaaaaaaaaaaaaaaaaaaaaaaaaaaaaaaa</x:v>
      </x:c>
      <x:c r="M58" s="21" t="str">
        <x:v>100</x:v>
      </x:c>
      <x:c r="N58" s="21" t="str">
        <x:v>200</x:v>
      </x:c>
      <x:c r="O58" s="21" t="str">
        <x:v>COMPLETA</x:v>
      </x:c>
      <x:c r="P58" s="21" t="str">
        <x:v>NO_ADMITIDA</x:v>
      </x:c>
      <x:c r="Q58" s="21" t="str">
        <x:v>NO_ADMITIDA</x:v>
      </x:c>
      <x:c r="R58" s="27" t="str">
        <x:f>IF(EXACT("x"&amp;P58,"x"&amp;Q58),"PASA","DISCORDA")</x:f>
        <x:v>PASA</x:v>
      </x:c>
      <x:c r="S58" s="21" t="str">
        <x:v>{"ancla": "100", "cobertura": "COMPLETA", "conflicto": "NO", "corte": "200", "objetivo": "aaaaaaaaaaaaaaaaaaaaaaaaaaaaaaaaaaaaaaaaaaaaaaaaaaaaaaaaaaaaaaaa", "observacion": "PRESENTE", "parametro": "P13", "perfil": "FIJADO", "pertinencia": "SI", "recepcion": "ADMITIDA", "tipo": "TEXTO", "tipo_objetivo": "TEXTO", "valor": "gggggggggggggggggggggggggggggggggggggggggggggggggggggggggggggggg"}</x:v>
      </x:c>
    </x:row>
    <x:row r="59" ht="74" customHeight="1">
      <x:c r="A59" s="21" t="str">
        <x:v>TC-055</x:v>
      </x:c>
      <x:c r="B59" s="21" t="str">
        <x:v>P13</x:v>
      </x:c>
      <x:c r="C59" s="21" t="str">
        <x:v>Referencia de memoria usada como disco</x:v>
      </x:c>
      <x:c r="D59" s="21" t="str">
        <x:v>ADMITIDA</x:v>
      </x:c>
      <x:c r="E59" s="21" t="str">
        <x:v>FIJADO</x:v>
      </x:c>
      <x:c r="F59" s="21" t="str">
        <x:v>NO</x:v>
      </x:c>
      <x:c r="G59" s="21" t="str">
        <x:v>PRESENTE</x:v>
      </x:c>
      <x:c r="H59" s="21" t="str">
        <x:v>NO</x:v>
      </x:c>
      <x:c r="I59" s="21" t="str">
        <x:v>TEXTO</x:v>
      </x:c>
      <x:c r="J59" s="21" t="str">
        <x:v>TEXTO</x:v>
      </x:c>
      <x:c r="K59" s="21" t="str">
        <x:v>aaaaaaaaaaaaaaaaaaaaaaaaaaaaaaaaaaaaaaaaaaaaaaaaaaaaaaaaaaaaaaaa</x:v>
      </x:c>
      <x:c r="L59" s="21" t="str">
        <x:v>aaaaaaaaaaaaaaaaaaaaaaaaaaaaaaaaaaaaaaaaaaaaaaaaaaaaaaaaaaaaaaaa</x:v>
      </x:c>
      <x:c r="M59" s="21" t="str">
        <x:v>100</x:v>
      </x:c>
      <x:c r="N59" s="21" t="str">
        <x:v>200</x:v>
      </x:c>
      <x:c r="O59" s="21" t="str">
        <x:v>COMPLETA</x:v>
      </x:c>
      <x:c r="P59" s="21" t="str">
        <x:v>FUERA_DE_PERFIL</x:v>
      </x:c>
      <x:c r="Q59" s="21" t="str">
        <x:v>FUERA_DE_PERFIL</x:v>
      </x:c>
      <x:c r="R59" s="27" t="str">
        <x:f>IF(EXACT("x"&amp;P59,"x"&amp;Q59),"PASA","DISCORDA")</x:f>
        <x:v>PASA</x:v>
      </x:c>
      <x:c r="S59" s="21" t="str">
        <x:v>{"ancla": "100", "cobertura": "COMPLETA", "conflicto": "NO", "corte": "200", "objetivo": "aaaaaaaaaaaaaaaaaaaaaaaaaaaaaaaaaaaaaaaaaaaaaaaaaaaaaaaaaaaaaaaa", "observacion": "PRESENTE", "parametro": "P13", "perfil": "FIJADO", "pertinencia": "NO", "recepcion": "ADMITIDA", "tipo": "TEXTO", "tipo_objetivo": "TEXTO", "valor": "aaaaaaaaaaaaaaaaaaaaaaaaaaaaaaaaaaaaaaaaaaaaaaaaaaaaaaaaaaaaaaaa"}</x:v>
      </x:c>
    </x:row>
    <x:row r="60" ht="59" customHeight="1">
      <x:c r="A60" s="21" t="str">
        <x:v>TC-056</x:v>
      </x:c>
      <x:c r="B60" s="21" t="str">
        <x:v>P14</x:v>
      </x:c>
      <x:c r="C60" s="21" t="str">
        <x:v>Cambio y retorno conserva historia</x:v>
      </x:c>
      <x:c r="D60" s="21" t="str">
        <x:v>ADMITIDA</x:v>
      </x:c>
      <x:c r="E60" s="21" t="str">
        <x:v>FIJADO</x:v>
      </x:c>
      <x:c r="F60" s="21" t="str">
        <x:v>SI</x:v>
      </x:c>
      <x:c r="G60" s="21" t="str">
        <x:v>PRESENTE</x:v>
      </x:c>
      <x:c r="H60" s="21" t="str">
        <x:v>NO</x:v>
      </x:c>
      <x:c r="I60" s="21" t="str">
        <x:v>TEXTO</x:v>
      </x:c>
      <x:c r="J60" s="21" t="str">
        <x:v>TEXTO</x:v>
      </x:c>
      <x:c r="K60" s="21" t="str">
        <x:v>TRANSICION_Y_RETORNO</x:v>
      </x:c>
      <x:c r="L60" s="21" t="str">
        <x:v>objetivo</x:v>
      </x:c>
      <x:c r="M60" s="21" t="str">
        <x:v>100</x:v>
      </x:c>
      <x:c r="N60" s="21" t="str">
        <x:v>200</x:v>
      </x:c>
      <x:c r="O60" s="21" t="str">
        <x:v>COMPLETA</x:v>
      </x:c>
      <x:c r="P60" s="21" t="str">
        <x:v>1</x:v>
      </x:c>
      <x:c r="Q60" s="21" t="str">
        <x:v>1</x:v>
      </x:c>
      <x:c r="R60" s="27" t="str">
        <x:f>IF(EXACT("x"&amp;P60,"x"&amp;Q60),"PASA","DISCORDA")</x:f>
        <x:v>PASA</x:v>
      </x:c>
      <x:c r="S60" s="21" t="str">
        <x:v>{"ancla": "100", "cobertura": "COMPLETA", "conflicto": "NO", "corte": "200", "objetivo": "objetivo", "observacion": "PRESENTE", "parametro": "P14", "perfil": "FIJADO", "pertinencia": "SI", "recepcion": "ADMITIDA", "tipo": "TEXTO", "tipo_objetivo": "TEXTO", "valor": "TRANSICION_Y_RETORNO"}</x:v>
      </x:c>
    </x:row>
    <x:row r="61" ht="59" customHeight="1">
      <x:c r="A61" s="21" t="str">
        <x:v>TC-057</x:v>
      </x:c>
      <x:c r="B61" s="21" t="str">
        <x:v>P14</x:v>
      </x:c>
      <x:c r="C61" s="21" t="str">
        <x:v>Sin cambio pero historia parcial</x:v>
      </x:c>
      <x:c r="D61" s="21" t="str">
        <x:v>ADMITIDA</x:v>
      </x:c>
      <x:c r="E61" s="21" t="str">
        <x:v>FIJADO</x:v>
      </x:c>
      <x:c r="F61" s="21" t="str">
        <x:v>SI</x:v>
      </x:c>
      <x:c r="G61" s="21" t="str">
        <x:v>PRESENTE</x:v>
      </x:c>
      <x:c r="H61" s="21" t="str">
        <x:v>NO</x:v>
      </x:c>
      <x:c r="I61" s="21" t="str">
        <x:v>TEXTO</x:v>
      </x:c>
      <x:c r="J61" s="21" t="str">
        <x:v>TEXTO</x:v>
      </x:c>
      <x:c r="K61" s="21" t="str">
        <x:v>SIN_TRANSICION</x:v>
      </x:c>
      <x:c r="L61" s="21" t="str">
        <x:v>objetivo</x:v>
      </x:c>
      <x:c r="M61" s="21" t="str">
        <x:v>100</x:v>
      </x:c>
      <x:c r="N61" s="21" t="str">
        <x:v>200</x:v>
      </x:c>
      <x:c r="O61" s="21" t="str">
        <x:v>PARCIAL</x:v>
      </x:c>
      <x:c r="P61" s="21" t="str">
        <x:v>U</x:v>
      </x:c>
      <x:c r="Q61" s="21" t="str">
        <x:v>U</x:v>
      </x:c>
      <x:c r="R61" s="27" t="str">
        <x:f>IF(EXACT("x"&amp;P61,"x"&amp;Q61),"PASA","DISCORDA")</x:f>
        <x:v>PASA</x:v>
      </x:c>
      <x:c r="S61" s="21" t="str">
        <x:v>{"ancla": "100", "cobertura": "PARCIAL", "conflicto": "NO", "corte": "200", "objetivo": "objetivo", "observacion": "PRESENTE", "parametro": "P14", "perfil": "FIJADO", "pertinencia": "SI", "recepcion": "ADMITIDA", "tipo": "TEXTO", "tipo_objetivo": "TEXTO", "valor": "SIN_TRANSICION"}</x:v>
      </x:c>
    </x:row>
    <x:row r="62" ht="59" customHeight="1">
      <x:c r="A62" s="21" t="str">
        <x:v>TC-058</x:v>
      </x:c>
      <x:c r="B62" s="21" t="str">
        <x:v>P14</x:v>
      </x:c>
      <x:c r="C62" s="21" t="str">
        <x:v>Transición positiva con historia parcial</x:v>
      </x:c>
      <x:c r="D62" s="21" t="str">
        <x:v>ADMITIDA</x:v>
      </x:c>
      <x:c r="E62" s="21" t="str">
        <x:v>FIJADO</x:v>
      </x:c>
      <x:c r="F62" s="21" t="str">
        <x:v>SI</x:v>
      </x:c>
      <x:c r="G62" s="21" t="str">
        <x:v>PRESENTE</x:v>
      </x:c>
      <x:c r="H62" s="21" t="str">
        <x:v>NO</x:v>
      </x:c>
      <x:c r="I62" s="21" t="str">
        <x:v>TEXTO</x:v>
      </x:c>
      <x:c r="J62" s="21" t="str">
        <x:v>TEXTO</x:v>
      </x:c>
      <x:c r="K62" s="21" t="str">
        <x:v>TRANSICION</x:v>
      </x:c>
      <x:c r="L62" s="21" t="str">
        <x:v>objetivo</x:v>
      </x:c>
      <x:c r="M62" s="21" t="str">
        <x:v>100</x:v>
      </x:c>
      <x:c r="N62" s="21" t="str">
        <x:v>200</x:v>
      </x:c>
      <x:c r="O62" s="21" t="str">
        <x:v>PARCIAL</x:v>
      </x:c>
      <x:c r="P62" s="21" t="str">
        <x:v>1</x:v>
      </x:c>
      <x:c r="Q62" s="21" t="str">
        <x:v>1</x:v>
      </x:c>
      <x:c r="R62" s="27" t="str">
        <x:f>IF(EXACT("x"&amp;P62,"x"&amp;Q62),"PASA","DISCORDA")</x:f>
        <x:v>PASA</x:v>
      </x:c>
      <x:c r="S62" s="21" t="str">
        <x:v>{"ancla": "100", "cobertura": "PARCIAL", "conflicto": "NO", "corte": "200", "objetivo": "objetivo", "observacion": "PRESENTE", "parametro": "P14", "perfil": "FIJADO", "pertinencia": "SI", "recepcion": "ADMITIDA", "tipo": "TEXTO", "tipo_objetivo": "TEXTO", "valor": "TRANSICION"}</x:v>
      </x:c>
    </x:row>
    <x:row r="63" ht="59" customHeight="1">
      <x:c r="A63" s="21" t="str">
        <x:v>TC-059</x:v>
      </x:c>
      <x:c r="B63" s="21" t="str">
        <x:v>P14</x:v>
      </x:c>
      <x:c r="C63" s="21" t="str">
        <x:v>Extremos iguales sin historia</x:v>
      </x:c>
      <x:c r="D63" s="21" t="str">
        <x:v>ADMITIDA</x:v>
      </x:c>
      <x:c r="E63" s="21" t="str">
        <x:v>FIJADO</x:v>
      </x:c>
      <x:c r="F63" s="21" t="str">
        <x:v>SI</x:v>
      </x:c>
      <x:c r="G63" s="21" t="str">
        <x:v>PRESENTE</x:v>
      </x:c>
      <x:c r="H63" s="21" t="str">
        <x:v>NO</x:v>
      </x:c>
      <x:c r="I63" s="21" t="str">
        <x:v>TEXTO</x:v>
      </x:c>
      <x:c r="J63" s="21" t="str">
        <x:v>TEXTO</x:v>
      </x:c>
      <x:c r="K63" s="21" t="str">
        <x:v>EXTREMOS_IGUALES</x:v>
      </x:c>
      <x:c r="L63" s="21" t="str">
        <x:v>objetivo</x:v>
      </x:c>
      <x:c r="M63" s="21" t="str">
        <x:v>100</x:v>
      </x:c>
      <x:c r="N63" s="21" t="str">
        <x:v>200</x:v>
      </x:c>
      <x:c r="O63" s="21" t="str">
        <x:v>PARCIAL</x:v>
      </x:c>
      <x:c r="P63" s="21" t="str">
        <x:v>U</x:v>
      </x:c>
      <x:c r="Q63" s="21" t="str">
        <x:v>U</x:v>
      </x:c>
      <x:c r="R63" s="27" t="str">
        <x:f>IF(EXACT("x"&amp;P63,"x"&amp;Q63),"PASA","DISCORDA")</x:f>
        <x:v>PASA</x:v>
      </x:c>
      <x:c r="S63" s="21" t="str">
        <x:v>{"ancla": "100", "cobertura": "PARCIAL", "conflicto": "NO", "corte": "200", "objetivo": "objetivo", "observacion": "PRESENTE", "parametro": "P14", "perfil": "FIJADO", "pertinencia": "SI", "recepcion": "ADMITIDA", "tipo": "TEXTO", "tipo_objetivo": "TEXTO", "valor": "EXTREMOS_IGUALES"}</x:v>
      </x:c>
    </x:row>
    <x:row r="64" ht="59" customHeight="1">
      <x:c r="A64" s="21" t="str">
        <x:v>TC-060</x:v>
      </x:c>
      <x:c r="B64" s="21" t="str">
        <x:v>P14</x:v>
      </x:c>
      <x:c r="C64" s="21" t="str">
        <x:v>Reescritura con igual valor e historial completo</x:v>
      </x:c>
      <x:c r="D64" s="21" t="str">
        <x:v>ADMITIDA</x:v>
      </x:c>
      <x:c r="E64" s="21" t="str">
        <x:v>FIJADO</x:v>
      </x:c>
      <x:c r="F64" s="21" t="str">
        <x:v>SI</x:v>
      </x:c>
      <x:c r="G64" s="21" t="str">
        <x:v>PRESENTE</x:v>
      </x:c>
      <x:c r="H64" s="21" t="str">
        <x:v>NO</x:v>
      </x:c>
      <x:c r="I64" s="21" t="str">
        <x:v>TEXTO</x:v>
      </x:c>
      <x:c r="J64" s="21" t="str">
        <x:v>TEXTO</x:v>
      </x:c>
      <x:c r="K64" s="21" t="str">
        <x:v>MISMO_VALOR</x:v>
      </x:c>
      <x:c r="L64" s="21" t="str">
        <x:v>objetivo</x:v>
      </x:c>
      <x:c r="M64" s="21" t="str">
        <x:v>100</x:v>
      </x:c>
      <x:c r="N64" s="21" t="str">
        <x:v>200</x:v>
      </x:c>
      <x:c r="O64" s="21" t="str">
        <x:v>COMPLETA</x:v>
      </x:c>
      <x:c r="P64" s="21" t="str">
        <x:v>0</x:v>
      </x:c>
      <x:c r="Q64" s="21" t="str">
        <x:v>0</x:v>
      </x:c>
      <x:c r="R64" s="27" t="str">
        <x:f>IF(EXACT("x"&amp;P64,"x"&amp;Q64),"PASA","DISCORDA")</x:f>
        <x:v>PASA</x:v>
      </x:c>
      <x:c r="S64" s="21" t="str">
        <x:v>{"ancla": "100", "cobertura": "COMPLETA", "conflicto": "NO", "corte": "200", "objetivo": "objetivo", "observacion": "PRESENTE", "parametro": "P14", "perfil": "FIJADO", "pertinencia": "SI", "recepcion": "ADMITIDA", "tipo": "TEXTO", "tipo_objetivo": "TEXTO", "valor": "MISMO_VALOR"}</x:v>
      </x:c>
    </x:row>
    <x:row r="65" ht="59" customHeight="1">
      <x:c r="A65" s="21" t="str">
        <x:v>TC-061</x:v>
      </x:c>
      <x:c r="B65" s="21" t="str">
        <x:v>P15</x:v>
      </x:c>
      <x:c r="C65" s="21" t="str">
        <x:v>Regla general NIST no requisito específico</x:v>
      </x:c>
      <x:c r="D65" s="21" t="str">
        <x:v>ADMITIDA</x:v>
      </x:c>
      <x:c r="E65" s="21" t="str">
        <x:v>FIJADO</x:v>
      </x:c>
      <x:c r="F65" s="21" t="str">
        <x:v>SI</x:v>
      </x:c>
      <x:c r="G65" s="21" t="str">
        <x:v>INDIRECTA</x:v>
      </x:c>
      <x:c r="H65" s="21" t="str">
        <x:v>NO</x:v>
      </x:c>
      <x:c r="I65" s="21" t="str">
        <x:v>TEXTO</x:v>
      </x:c>
      <x:c r="J65" s="21" t="str">
        <x:v>TEXTO</x:v>
      </x:c>
      <x:c r="K65" s="21" t="str">
        <x:v>EJEMPLO_NIST</x:v>
      </x:c>
      <x:c r="L65" s="21" t="str">
        <x:v>objetivo</x:v>
      </x:c>
      <x:c r="M65" s="21" t="str">
        <x:v>100</x:v>
      </x:c>
      <x:c r="N65" s="21" t="str">
        <x:v>200</x:v>
      </x:c>
      <x:c r="O65" s="21" t="str">
        <x:v>COMPLETA</x:v>
      </x:c>
      <x:c r="P65" s="21" t="str">
        <x:v>U</x:v>
      </x:c>
      <x:c r="Q65" s="21" t="str">
        <x:v>U</x:v>
      </x:c>
      <x:c r="R65" s="27" t="str">
        <x:f>IF(EXACT("x"&amp;P65,"x"&amp;Q65),"PASA","DISCORDA")</x:f>
        <x:v>PASA</x:v>
      </x:c>
      <x:c r="S65" s="21" t="str">
        <x:v>{"ancla": "100", "cobertura": "COMPLETA", "conflicto": "NO", "corte": "200", "objetivo": "objetivo", "observacion": "INDIRECTA", "parametro": "P15", "perfil": "FIJADO", "pertinencia": "SI", "recepcion": "ADMITIDA", "tipo": "TEXTO", "tipo_objetivo": "TEXTO", "valor": "EJEMPLO_NIST"}</x:v>
      </x:c>
    </x:row>
    <x:row r="66" ht="59" customHeight="1">
      <x:c r="A66" s="21" t="str">
        <x:v>TC-062</x:v>
      </x:c>
      <x:c r="B66" s="21" t="str">
        <x:v>P15</x:v>
      </x:c>
      <x:c r="C66" s="21" t="str">
        <x:v>Acción agrupa dos efectos</x:v>
      </x:c>
      <x:c r="D66" s="21" t="str">
        <x:v>ADMITIDA</x:v>
      </x:c>
      <x:c r="E66" s="21" t="str">
        <x:v>COMPUESTO</x:v>
      </x:c>
      <x:c r="F66" s="21" t="str">
        <x:v>SI</x:v>
      </x:c>
      <x:c r="G66" s="21" t="str">
        <x:v>PRESENTE</x:v>
      </x:c>
      <x:c r="H66" s="21" t="str">
        <x:v>NO</x:v>
      </x:c>
      <x:c r="I66" s="21" t="str">
        <x:v>TEXTO</x:v>
      </x:c>
      <x:c r="J66" s="21" t="str">
        <x:v>TEXTO</x:v>
      </x:c>
      <x:c r="K66" s="21" t="str">
        <x:v>EXIGE</x:v>
      </x:c>
      <x:c r="L66" s="21" t="str">
        <x:v>objetivo</x:v>
      </x:c>
      <x:c r="M66" s="21" t="str">
        <x:v>100</x:v>
      </x:c>
      <x:c r="N66" s="21" t="str">
        <x:v>200</x:v>
      </x:c>
      <x:c r="O66" s="21" t="str">
        <x:v>COMPLETA</x:v>
      </x:c>
      <x:c r="P66" s="21" t="str">
        <x:v>CONFIGURACION_PENDIENTE</x:v>
      </x:c>
      <x:c r="Q66" s="21" t="str">
        <x:v>CONFIGURACION_PENDIENTE</x:v>
      </x:c>
      <x:c r="R66" s="27" t="str">
        <x:f>IF(EXACT("x"&amp;P66,"x"&amp;Q66),"PASA","DISCORDA")</x:f>
        <x:v>PASA</x:v>
      </x:c>
      <x:c r="S66" s="21" t="str">
        <x:v>{"ancla": "100", "cobertura": "COMPLETA", "conflicto": "NO", "corte": "200", "objetivo": "objetivo", "observacion": "PRESENTE", "parametro": "P15", "perfil": "COMPUESTO", "pertinencia": "SI", "recepcion": "ADMITIDA", "tipo": "TEXTO", "tipo_objetivo": "TEXTO", "valor": "EXIGE"}</x:v>
      </x:c>
    </x:row>
    <x:row r="67" ht="59" customHeight="1">
      <x:c r="A67" s="21" t="str">
        <x:v>TC-063</x:v>
      </x:c>
      <x:c r="B67" s="21" t="str">
        <x:v>P15</x:v>
      </x:c>
      <x:c r="C67" s="21" t="str">
        <x:v>Reinicio ya propiedad P01/P04</x:v>
      </x:c>
      <x:c r="D67" s="21" t="str">
        <x:v>ADMITIDA</x:v>
      </x:c>
      <x:c r="E67" s="21" t="str">
        <x:v>FIJADO</x:v>
      </x:c>
      <x:c r="F67" s="21" t="str">
        <x:v>NO</x:v>
      </x:c>
      <x:c r="G67" s="21" t="str">
        <x:v>PRESENTE</x:v>
      </x:c>
      <x:c r="H67" s="21" t="str">
        <x:v>NO</x:v>
      </x:c>
      <x:c r="I67" s="21" t="str">
        <x:v>TEXTO</x:v>
      </x:c>
      <x:c r="J67" s="21" t="str">
        <x:v>TEXTO</x:v>
      </x:c>
      <x:c r="K67" s="21" t="str">
        <x:v>EXIGE</x:v>
      </x:c>
      <x:c r="L67" s="21" t="str">
        <x:v>objetivo</x:v>
      </x:c>
      <x:c r="M67" s="21" t="str">
        <x:v>100</x:v>
      </x:c>
      <x:c r="N67" s="21" t="str">
        <x:v>200</x:v>
      </x:c>
      <x:c r="O67" s="21" t="str">
        <x:v>COMPLETA</x:v>
      </x:c>
      <x:c r="P67" s="21" t="str">
        <x:v>FUERA_DE_PERFIL</x:v>
      </x:c>
      <x:c r="Q67" s="21" t="str">
        <x:v>FUERA_DE_PERFIL</x:v>
      </x:c>
      <x:c r="R67" s="27" t="str">
        <x:f>IF(EXACT("x"&amp;P67,"x"&amp;Q67),"PASA","DISCORDA")</x:f>
        <x:v>PASA</x:v>
      </x:c>
      <x:c r="S67" s="21" t="str">
        <x:v>{"ancla": "100", "cobertura": "COMPLETA", "conflicto": "NO", "corte": "200", "objetivo": "objetivo", "observacion": "PRESENTE", "parametro": "P15", "perfil": "FIJADO", "pertinencia": "NO", "recepcion": "ADMITIDA", "tipo": "TEXTO", "tipo_objetivo": "TEXTO", "valor": "EXIGE"}</x:v>
      </x:c>
    </x:row>
    <x:row r="68" ht="59" customHeight="1">
      <x:c r="A68" s="21" t="str">
        <x:v>TC-064</x:v>
      </x:c>
      <x:c r="B68" s="21" t="str">
        <x:v>P15</x:v>
      </x:c>
      <x:c r="C68" s="21" t="str">
        <x:v>Condición de aplicabilidad sin resolver</x:v>
      </x:c>
      <x:c r="D68" s="21" t="str">
        <x:v>ADMITIDA</x:v>
      </x:c>
      <x:c r="E68" s="21" t="str">
        <x:v>FIJADO</x:v>
      </x:c>
      <x:c r="F68" s="21" t="str">
        <x:v>INCIERTA</x:v>
      </x:c>
      <x:c r="G68" s="21" t="str">
        <x:v>PRESENTE</x:v>
      </x:c>
      <x:c r="H68" s="21" t="str">
        <x:v>NO</x:v>
      </x:c>
      <x:c r="I68" s="21" t="str">
        <x:v>TEXTO</x:v>
      </x:c>
      <x:c r="J68" s="21" t="str">
        <x:v>TEXTO</x:v>
      </x:c>
      <x:c r="K68" s="21" t="str">
        <x:v>EXIGE</x:v>
      </x:c>
      <x:c r="L68" s="21" t="str">
        <x:v>objetivo</x:v>
      </x:c>
      <x:c r="M68" s="21" t="str">
        <x:v>100</x:v>
      </x:c>
      <x:c r="N68" s="21" t="str">
        <x:v>200</x:v>
      </x:c>
      <x:c r="O68" s="21" t="str">
        <x:v>COMPLETA</x:v>
      </x:c>
      <x:c r="P68" s="21" t="str">
        <x:v>CONFIGURACION_PENDIENTE</x:v>
      </x:c>
      <x:c r="Q68" s="21" t="str">
        <x:v>CONFIGURACION_PENDIENTE</x:v>
      </x:c>
      <x:c r="R68" s="27" t="str">
        <x:f>IF(EXACT("x"&amp;P68,"x"&amp;Q68),"PASA","DISCORDA")</x:f>
        <x:v>PASA</x:v>
      </x:c>
      <x:c r="S68" s="21" t="str">
        <x:v>{"ancla": "100", "cobertura": "COMPLETA", "conflicto": "NO", "corte": "200", "objetivo": "objetivo", "observacion": "PRESENTE", "parametro": "P15", "perfil": "FIJADO", "pertinencia": "INCIERTA", "recepcion": "ADMITIDA", "tipo": "TEXTO", "tipo_objetivo": "TEXTO", "valor": "EXIGE"}</x:v>
      </x:c>
    </x:row>
    <x:row r="69" ht="59" customHeight="1">
      <x:c r="A69" s="21" t="str">
        <x:v>TC-065</x:v>
      </x:c>
      <x:c r="B69" s="21" t="str">
        <x:v>P15</x:v>
      </x:c>
      <x:c r="C69" s="21" t="str">
        <x:v>Falso explícito no ausencia</x:v>
      </x:c>
      <x:c r="D69" s="21" t="str">
        <x:v>ADMITIDA</x:v>
      </x:c>
      <x:c r="E69" s="21" t="str">
        <x:v>FIJADO</x:v>
      </x:c>
      <x:c r="F69" s="21" t="str">
        <x:v>SI</x:v>
      </x:c>
      <x:c r="G69" s="21" t="str">
        <x:v>PRESENTE</x:v>
      </x:c>
      <x:c r="H69" s="21" t="str">
        <x:v>NO</x:v>
      </x:c>
      <x:c r="I69" s="21" t="str">
        <x:v>TEXTO</x:v>
      </x:c>
      <x:c r="J69" s="21" t="str">
        <x:v>TEXTO</x:v>
      </x:c>
      <x:c r="K69" s="21" t="str">
        <x:v>NO_EXIGE</x:v>
      </x:c>
      <x:c r="L69" s="21" t="str">
        <x:v>objetivo</x:v>
      </x:c>
      <x:c r="M69" s="21" t="str">
        <x:v>100</x:v>
      </x:c>
      <x:c r="N69" s="21" t="str">
        <x:v>200</x:v>
      </x:c>
      <x:c r="O69" s="21" t="str">
        <x:v>COMPLETA</x:v>
      </x:c>
      <x:c r="P69" s="21" t="str">
        <x:v>0</x:v>
      </x:c>
      <x:c r="Q69" s="21" t="str">
        <x:v>0</x:v>
      </x:c>
      <x:c r="R69" s="27" t="str">
        <x:f>IF(EXACT("x"&amp;P69,"x"&amp;Q69),"PASA","DISCORDA")</x:f>
        <x:v>PASA</x:v>
      </x:c>
      <x:c r="S69" s="21" t="str">
        <x:v>{"ancla": "100", "cobertura": "COMPLETA", "conflicto": "NO", "corte": "200", "objetivo": "objetivo", "observacion": "PRESENTE", "parametro": "P15", "perfil": "FIJADO", "pertinencia": "SI", "recepcion": "ADMITIDA", "tipo": "TEXTO", "tipo_objetivo": "TEXTO", "valor": "NO_EXIGE"}</x:v>
      </x:c>
    </x:row>
  </x:sheetData>
  <x:mergeCells>
    <x:mergeCell ref="A1:D1"/>
    <x:mergeCell ref="A2:F2"/>
  </x:mergeCells>
  <x:conditionalFormatting sqref="R5:R69">
    <x:cfRule type="containsText" dxfId="26" priority="1" operator="containsText" text="DISCORDA"/>
  </x:conditionalFormatting>
  <x:pageMargins left="0.7" right="0.7" top="0.75" bottom="0.75" header="0.3" footer="0.3"/>
  <x:tableParts count="1">
    <x:tablePart xmlns:r="http://schemas.openxmlformats.org/officeDocument/2006/relationships" r:id="Rf0812bd67a1b44d1"/>
  </x:tableParts>
</x:worksheet>
</file>

<file path=xl/worksheets/sheet6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9" hidden="0" customWidth="1"/>
    <x:col min="2" max="2" width="93" hidden="0" customWidth="1"/>
    <x:col min="3" max="3" width="50" hidden="0" customWidth="1"/>
    <x:col min="4" max="4" width="50" hidden="0" customWidth="1"/>
    <x:col min="5" max="5" width="28" hidden="0" customWidth="1"/>
    <x:col min="6" max="6" width="77" hidden="0" customWidth="1"/>
  </x:cols>
  <x:sheetData>
    <x:row r="1" ht="34" customHeight="1">
      <x:c r="A1" s="23" t="str">
        <x:v>CONTRASTE · evidencia, cobertura, autoridad y proporcionalidad</x:v>
      </x:c>
      <x:c r="B1" s="23"/>
      <x:c r="C1" s="23"/>
      <x:c r="D1" s="23"/>
      <x:c r="E1" s="23"/>
      <x:c r="F1" s="23"/>
    </x:row>
    <x:row r="2" ht="57" customHeight="1">
      <x:c r="A2" s="24" t="str">
        <x:v>Un resultado compara la condición atacada. Las pruebas documentales no verifican permisos ni sensores de una organización real.</x:v>
      </x:c>
      <x:c r="B2" s="24"/>
      <x:c r="C2" s="24"/>
      <x:c r="D2" s="24"/>
      <x:c r="E2" s="24"/>
      <x:c r="F2" s="24"/>
    </x:row>
    <x:row r="3">
      <x:c r="A3" s="21"/>
      <x:c r="B3" s="21"/>
      <x:c r="C3" s="21"/>
      <x:c r="D3" s="21"/>
      <x:c r="E3" s="21"/>
      <x:c r="F3" s="21"/>
    </x:row>
    <x:row r="4" ht="48" customHeight="1">
      <x:c r="A4" s="26" t="str">
        <x:v>Caso</x:v>
      </x:c>
      <x:c r="B4" s="26" t="str">
        <x:v>Ataque</x:v>
      </x:c>
      <x:c r="C4" s="26" t="str">
        <x:v>Esperado previo</x:v>
      </x:c>
      <x:c r="D4" s="26" t="str">
        <x:v>Resultado ejecutado</x:v>
      </x:c>
      <x:c r="E4" s="26" t="str">
        <x:v>Concordancia Excel</x:v>
      </x:c>
      <x:c r="F4" s="26" t="str">
        <x:v>Alcance</x:v>
      </x:c>
    </x:row>
    <x:row r="5" ht="43" customHeight="1">
      <x:c r="A5" s="21" t="str">
        <x:v>E01</x:v>
      </x:c>
      <x:c r="B5" s="21" t="str">
        <x:v>Control completo</x:v>
      </x:c>
      <x:c r="C5" s="21" t="str">
        <x:v>ADMISIBLE_DOCUMENTAL</x:v>
      </x:c>
      <x:c r="D5" s="21" t="str">
        <x:v>ADMISIBLE_DOCUMENTAL</x:v>
      </x:c>
      <x:c r="E5" s="27" t="str">
        <x:f>IF(C5="MAYOR_QUE_CERO",IF(VALUE(D5)&gt;0,"PASA","DISCORDA"),IF(EXACT("x"&amp;C5,"x"&amp;D5),"PASA","DISCORDA"))</x:f>
        <x:v>PASA</x:v>
      </x:c>
      <x:c r="F5" s="21" t="str">
        <x:v>EJECUTADO_EN_OBSERVADOR_DOCUMENTAL</x:v>
      </x:c>
    </x:row>
    <x:row r="6" ht="43" customHeight="1">
      <x:c r="A6" s="21" t="str">
        <x:v>E02</x:v>
      </x:c>
      <x:c r="B6" s="21" t="str">
        <x:v>Un byte cambiado</x:v>
      </x:c>
      <x:c r="C6" s="21" t="str">
        <x:v>INTEGRIDAD</x:v>
      </x:c>
      <x:c r="D6" s="21" t="str">
        <x:v>INTEGRIDAD</x:v>
      </x:c>
      <x:c r="E6" s="27" t="str">
        <x:f>IF(C6="MAYOR_QUE_CERO",IF(VALUE(D6)&gt;0,"PASA","DISCORDA"),IF(EXACT("x"&amp;C6,"x"&amp;D6),"PASA","DISCORDA"))</x:f>
        <x:v>PASA</x:v>
      </x:c>
      <x:c r="F6" s="21" t="str">
        <x:v>EJECUTADO_EN_OBSERVADOR_DOCUMENTAL</x:v>
      </x:c>
    </x:row>
    <x:row r="7" ht="43" customHeight="1">
      <x:c r="A7" s="21" t="str">
        <x:v>E03</x:v>
      </x:c>
      <x:c r="B7" s="21" t="str">
        <x:v>Hash correcto con productor no autorizado</x:v>
      </x:c>
      <x:c r="C7" s="21" t="str">
        <x:v>PRODUCTOR</x:v>
      </x:c>
      <x:c r="D7" s="21" t="str">
        <x:v>PRODUCTOR</x:v>
      </x:c>
      <x:c r="E7" s="27" t="str">
        <x:f>IF(C7="MAYOR_QUE_CERO",IF(VALUE(D7)&gt;0,"PASA","DISCORDA"),IF(EXACT("x"&amp;C7,"x"&amp;D7),"PASA","DISCORDA"))</x:f>
        <x:v>PASA</x:v>
      </x:c>
      <x:c r="F7" s="21" t="str">
        <x:v>EJECUTADO_EN_OBSERVADOR_DOCUMENTAL</x:v>
      </x:c>
    </x:row>
    <x:row r="8" ht="43" customHeight="1">
      <x:c r="A8" s="21" t="str">
        <x:v>E04</x:v>
      </x:c>
      <x:c r="B8" s="21" t="str">
        <x:v>Productor admitido para otro activo</x:v>
      </x:c>
      <x:c r="C8" s="21" t="str">
        <x:v>AMBITO</x:v>
      </x:c>
      <x:c r="D8" s="21" t="str">
        <x:v>AMBITO</x:v>
      </x:c>
      <x:c r="E8" s="27" t="str">
        <x:f>IF(C8="MAYOR_QUE_CERO",IF(VALUE(D8)&gt;0,"PASA","DISCORDA"),IF(EXACT("x"&amp;C8,"x"&amp;D8),"PASA","DISCORDA"))</x:f>
        <x:v>PASA</x:v>
      </x:c>
      <x:c r="F8" s="21" t="str">
        <x:v>EJECUTADO_EN_OBSERVADOR_DOCUMENTAL</x:v>
      </x:c>
    </x:row>
    <x:row r="9" ht="43" customHeight="1">
      <x:c r="A9" s="21" t="str">
        <x:v>E05</x:v>
      </x:c>
      <x:c r="B9" s="21" t="str">
        <x:v>Claves únicas y originales exactos</x:v>
      </x:c>
      <x:c r="C9" s="21" t="str">
        <x:v>CLAVE_REPETIDA</x:v>
      </x:c>
      <x:c r="D9" s="21" t="str">
        <x:v>CLAVE_REPETIDA</x:v>
      </x:c>
      <x:c r="E9" s="27" t="str">
        <x:f>IF(C9="MAYOR_QUE_CERO",IF(VALUE(D9)&gt;0,"PASA","DISCORDA"),IF(EXACT("x"&amp;C9,"x"&amp;D9),"PASA","DISCORDA"))</x:f>
        <x:v>PASA</x:v>
      </x:c>
      <x:c r="F9" s="21" t="str">
        <x:v>EJECUTADO_EN_OBSERVADOR_DOCUMENTAL</x:v>
      </x:c>
    </x:row>
    <x:row r="10" ht="43" customHeight="1">
      <x:c r="A10" s="21" t="str">
        <x:v>E06</x:v>
      </x:c>
      <x:c r="B10" s="21" t="str">
        <x:v>Claves únicas y originales exactos</x:v>
      </x:c>
      <x:c r="C10" s="21" t="str">
        <x:v>EXACTO</x:v>
      </x:c>
      <x:c r="D10" s="21" t="str">
        <x:v>EXACTO</x:v>
      </x:c>
      <x:c r="E10" s="27" t="str">
        <x:f>IF(C10="MAYOR_QUE_CERO",IF(VALUE(D10)&gt;0,"PASA","DISCORDA"),IF(EXACT("x"&amp;C10,"x"&amp;D10),"PASA","DISCORDA"))</x:f>
        <x:v>PASA</x:v>
      </x:c>
      <x:c r="F10" s="21" t="str">
        <x:v>EJECUTADO_EN_OBSERVADOR_DOCUMENTAL</x:v>
      </x:c>
    </x:row>
    <x:row r="11" ht="43" customHeight="1">
      <x:c r="A11" s="21" t="str">
        <x:v>E07</x:v>
      </x:c>
      <x:c r="B11" s="21" t="str">
        <x:v>Ciclo sin omisión ni bucle infinito</x:v>
      </x:c>
      <x:c r="C11" s="21" t="str">
        <x:v>COBERTURA_DEL_GRAFO_DECLARADO</x:v>
      </x:c>
      <x:c r="D11" s="21" t="str">
        <x:v>COBERTURA_DEL_GRAFO_DECLARADO</x:v>
      </x:c>
      <x:c r="E11" s="27" t="str">
        <x:f>IF(C11="MAYOR_QUE_CERO",IF(VALUE(D11)&gt;0,"PASA","DISCORDA"),IF(EXACT("x"&amp;C11,"x"&amp;D11),"PASA","DISCORDA"))</x:f>
        <x:v>PASA</x:v>
      </x:c>
      <x:c r="F11" s="21" t="str">
        <x:v>EJECUTADO_EN_OBSERVADOR_DOCUMENTAL</x:v>
      </x:c>
    </x:row>
    <x:row r="12" ht="43" customHeight="1">
      <x:c r="A12" s="21" t="str">
        <x:v>E08</x:v>
      </x:c>
      <x:c r="B12" s="21" t="str">
        <x:v>Segunda instancia omitida</x:v>
      </x:c>
      <x:c r="C12" s="21" t="str">
        <x:v>INSTANCIA_NO_CUBIERTA</x:v>
      </x:c>
      <x:c r="D12" s="21" t="str">
        <x:v>INSTANCIA_NO_CUBIERTA</x:v>
      </x:c>
      <x:c r="E12" s="27" t="str">
        <x:f>IF(C12="MAYOR_QUE_CERO",IF(VALUE(D12)&gt;0,"PASA","DISCORDA"),IF(EXACT("x"&amp;C12,"x"&amp;D12),"PASA","DISCORDA"))</x:f>
        <x:v>PASA</x:v>
      </x:c>
      <x:c r="F12" s="21" t="str">
        <x:v>EJECUTADO_EN_OBSERVADOR_DOCUMENTAL</x:v>
      </x:c>
    </x:row>
    <x:row r="13" ht="43" customHeight="1">
      <x:c r="A13" s="21" t="str">
        <x:v>E09</x:v>
      </x:c>
      <x:c r="B13" s="21" t="str">
        <x:v>Dependencia externa</x:v>
      </x:c>
      <x:c r="C13" s="21" t="str">
        <x:v>FRONTERA_SIN_EVIDENCIA</x:v>
      </x:c>
      <x:c r="D13" s="21" t="str">
        <x:v>FRONTERA_SIN_EVIDENCIA</x:v>
      </x:c>
      <x:c r="E13" s="27" t="str">
        <x:f>IF(C13="MAYOR_QUE_CERO",IF(VALUE(D13)&gt;0,"PASA","DISCORDA"),IF(EXACT("x"&amp;C13,"x"&amp;D13),"PASA","DISCORDA"))</x:f>
        <x:v>PASA</x:v>
      </x:c>
      <x:c r="F13" s="21" t="str">
        <x:v>EJECUTADO_EN_OBSERVADOR_DOCUMENTAL</x:v>
      </x:c>
    </x:row>
    <x:row r="14" ht="43" customHeight="1">
      <x:c r="A14" s="21" t="str">
        <x:v>E10</x:v>
      </x:c>
      <x:c r="B14" s="21" t="str">
        <x:v>Frontera explícita acreditada en testigo</x:v>
      </x:c>
      <x:c r="C14" s="21" t="str">
        <x:v>COBERTURA_DEL_GRAFO_DECLARADO</x:v>
      </x:c>
      <x:c r="D14" s="21" t="str">
        <x:v>COBERTURA_DEL_GRAFO_DECLARADO</x:v>
      </x:c>
      <x:c r="E14" s="27" t="str">
        <x:f>IF(C14="MAYOR_QUE_CERO",IF(VALUE(D14)&gt;0,"PASA","DISCORDA"),IF(EXACT("x"&amp;C14,"x"&amp;D14),"PASA","DISCORDA"))</x:f>
        <x:v>PASA</x:v>
      </x:c>
      <x:c r="F14" s="21" t="str">
        <x:v>EJECUTADO_EN_OBSERVADOR_DOCUMENTAL</x:v>
      </x:c>
    </x:row>
    <x:row r="15" ht="43" customHeight="1">
      <x:c r="A15" s="21" t="str">
        <x:v>E11</x:v>
      </x:c>
      <x:c r="B15" s="21" t="str">
        <x:v>Duplicado no infla cobertura</x:v>
      </x:c>
      <x:c r="C15" s="21" t="str">
        <x:v>IDENTIDAD_DUPLICADA</x:v>
      </x:c>
      <x:c r="D15" s="21" t="str">
        <x:v>IDENTIDAD_DUPLICADA</x:v>
      </x:c>
      <x:c r="E15" s="27" t="str">
        <x:f>IF(C15="MAYOR_QUE_CERO",IF(VALUE(D15)&gt;0,"PASA","DISCORDA"),IF(EXACT("x"&amp;C15,"x"&amp;D15),"PASA","DISCORDA"))</x:f>
        <x:v>PASA</x:v>
      </x:c>
      <x:c r="F15" s="21" t="str">
        <x:v>EJECUTADO_EN_OBSERVADOR_DOCUMENTAL</x:v>
      </x:c>
    </x:row>
    <x:row r="16" ht="43" customHeight="1">
      <x:c r="A16" s="21" t="str">
        <x:v>E12</x:v>
      </x:c>
      <x:c r="B16" s="21" t="str">
        <x:v>Lista vacía sin cobertura</x:v>
      </x:c>
      <x:c r="C16" s="21" t="str">
        <x:v>ORIGEN_AUSENTE</x:v>
      </x:c>
      <x:c r="D16" s="21" t="str">
        <x:v>ORIGEN_AUSENTE</x:v>
      </x:c>
      <x:c r="E16" s="27" t="str">
        <x:f>IF(C16="MAYOR_QUE_CERO",IF(VALUE(D16)&gt;0,"PASA","DISCORDA"),IF(EXACT("x"&amp;C16,"x"&amp;D16),"PASA","DISCORDA"))</x:f>
        <x:v>PASA</x:v>
      </x:c>
      <x:c r="F16" s="21" t="str">
        <x:v>EJECUTADO_EN_OBSERVADOR_DOCUMENTAL</x:v>
      </x:c>
    </x:row>
    <x:row r="17" ht="43" customHeight="1">
      <x:c r="A17" s="21" t="str">
        <x:v>E13</x:v>
      </x:c>
      <x:c r="B17" s="21" t="str">
        <x:v>Balance exacto y fronteras de incertidumbre</x:v>
      </x:c>
      <x:c r="C17" s="21" t="str">
        <x:v>COMPARACION_NO_EXCEDE</x:v>
      </x:c>
      <x:c r="D17" s="21" t="str">
        <x:v>COMPARACION_NO_EXCEDE</x:v>
      </x:c>
      <x:c r="E17" s="27" t="str">
        <x:f>IF(C17="MAYOR_QUE_CERO",IF(VALUE(D17)&gt;0,"PASA","DISCORDA"),IF(EXACT("x"&amp;C17,"x"&amp;D17),"PASA","DISCORDA"))</x:f>
        <x:v>PASA</x:v>
      </x:c>
      <x:c r="F17" s="21" t="str">
        <x:v>EJECUTADO_EN_OBSERVADOR_DOCUMENTAL</x:v>
      </x:c>
    </x:row>
    <x:row r="18" ht="43" customHeight="1">
      <x:c r="A18" s="21" t="str">
        <x:v>E14</x:v>
      </x:c>
      <x:c r="B18" s="21" t="str">
        <x:v>Balance exacto y fronteras de incertidumbre</x:v>
      </x:c>
      <x:c r="C18" s="21" t="str">
        <x:v>EXCESO_ACREDITADO</x:v>
      </x:c>
      <x:c r="D18" s="21" t="str">
        <x:v>EXCESO_ACREDITADO</x:v>
      </x:c>
      <x:c r="E18" s="27" t="str">
        <x:f>IF(C18="MAYOR_QUE_CERO",IF(VALUE(D18)&gt;0,"PASA","DISCORDA"),IF(EXACT("x"&amp;C18,"x"&amp;D18),"PASA","DISCORDA"))</x:f>
        <x:v>PASA</x:v>
      </x:c>
      <x:c r="F18" s="21" t="str">
        <x:v>EJECUTADO_EN_OBSERVADOR_DOCUMENTAL</x:v>
      </x:c>
    </x:row>
    <x:row r="19" ht="43" customHeight="1">
      <x:c r="A19" s="21" t="str">
        <x:v>E15</x:v>
      </x:c>
      <x:c r="B19" s="21" t="str">
        <x:v>Balance exacto y fronteras de incertidumbre</x:v>
      </x:c>
      <x:c r="C19" s="21" t="str">
        <x:v>JUICIO_NO_RESUELTO</x:v>
      </x:c>
      <x:c r="D19" s="21" t="str">
        <x:v>JUICIO_NO_RESUELTO</x:v>
      </x:c>
      <x:c r="E19" s="27" t="str">
        <x:f>IF(C19="MAYOR_QUE_CERO",IF(VALUE(D19)&gt;0,"PASA","DISCORDA"),IF(EXACT("x"&amp;C19,"x"&amp;D19),"PASA","DISCORDA"))</x:f>
        <x:v>PASA</x:v>
      </x:c>
      <x:c r="F19" s="21" t="str">
        <x:v>EJECUTADO_EN_OBSERVADOR_DOCUMENTAL</x:v>
      </x:c>
    </x:row>
    <x:row r="20" ht="43" customHeight="1">
      <x:c r="A20" s="21" t="str">
        <x:v>E16</x:v>
      </x:c>
      <x:c r="B20" s="21" t="str">
        <x:v>Balance exacto y fronteras de incertidumbre</x:v>
      </x:c>
      <x:c r="C20" s="21" t="str">
        <x:v>EXCESO_ACREDITADO</x:v>
      </x:c>
      <x:c r="D20" s="21" t="str">
        <x:v>EXCESO_ACREDITADO</x:v>
      </x:c>
      <x:c r="E20" s="27" t="str">
        <x:f>IF(C20="MAYOR_QUE_CERO",IF(VALUE(D20)&gt;0,"PASA","DISCORDA"),IF(EXACT("x"&amp;C20,"x"&amp;D20),"PASA","DISCORDA"))</x:f>
        <x:v>PASA</x:v>
      </x:c>
      <x:c r="F20" s="21" t="str">
        <x:v>EJECUTADO_EN_OBSERVADOR_DOCUMENTAL</x:v>
      </x:c>
    </x:row>
    <x:row r="21" ht="43" customHeight="1">
      <x:c r="A21" s="21" t="str">
        <x:v>E17</x:v>
      </x:c>
      <x:c r="B21" s="21" t="str">
        <x:v>Balance exacto y fronteras de incertidumbre</x:v>
      </x:c>
      <x:c r="C21" s="21" t="str">
        <x:v>INTERVALO_INVALIDO</x:v>
      </x:c>
      <x:c r="D21" s="21" t="str">
        <x:v>INTERVALO_INVALIDO</x:v>
      </x:c>
      <x:c r="E21" s="27" t="str">
        <x:f>IF(C21="MAYOR_QUE_CERO",IF(VALUE(D21)&gt;0,"PASA","DISCORDA"),IF(EXACT("x"&amp;C21,"x"&amp;D21),"PASA","DISCORDA"))</x:f>
        <x:v>PASA</x:v>
      </x:c>
      <x:c r="F21" s="21" t="str">
        <x:v>EJECUTADO_EN_OBSERVADOR_DOCUMENTAL</x:v>
      </x:c>
    </x:row>
    <x:row r="22" ht="43" customHeight="1">
      <x:c r="A22" s="21" t="str">
        <x:v>E18</x:v>
      </x:c>
      <x:c r="B22" s="21" t="str">
        <x:v>Balance exacto y fronteras de incertidumbre</x:v>
      </x:c>
      <x:c r="C22" s="21" t="str">
        <x:v>DATO_NO_ADMITIDO</x:v>
      </x:c>
      <x:c r="D22" s="21" t="str">
        <x:v>DATO_NO_ADMITIDO</x:v>
      </x:c>
      <x:c r="E22" s="27" t="str">
        <x:f>IF(C22="MAYOR_QUE_CERO",IF(VALUE(D22)&gt;0,"PASA","DISCORDA"),IF(EXACT("x"&amp;C22,"x"&amp;D22),"PASA","DISCORDA"))</x:f>
        <x:v>PASA</x:v>
      </x:c>
      <x:c r="F22" s="21" t="str">
        <x:v>EJECUTADO_EN_OBSERVADOR_DOCUMENTAL</x:v>
      </x:c>
    </x:row>
    <x:row r="23" ht="43" customHeight="1">
      <x:c r="A23" s="21" t="str">
        <x:v>E19</x:v>
      </x:c>
      <x:c r="B23" s="21" t="str">
        <x:v>No conversión inventada</x:v>
      </x:c>
      <x:c r="C23" s="21" t="str">
        <x:v>UNIDADES_INCOMPATIBLES</x:v>
      </x:c>
      <x:c r="D23" s="21" t="str">
        <x:v>UNIDADES_INCOMPATIBLES</x:v>
      </x:c>
      <x:c r="E23" s="27" t="str">
        <x:f>IF(C23="MAYOR_QUE_CERO",IF(VALUE(D23)&gt;0,"PASA","DISCORDA"),IF(EXACT("x"&amp;C23,"x"&amp;D23),"PASA","DISCORDA"))</x:f>
        <x:v>PASA</x:v>
      </x:c>
      <x:c r="F23" s="21" t="str">
        <x:v>EJECUTADO_EN_OBSERVADOR_DOCUMENTAL</x:v>
      </x:c>
    </x:row>
    <x:row r="24" ht="43" customHeight="1">
      <x:c r="A24" s="21" t="str">
        <x:v>E20</x:v>
      </x:c>
      <x:c r="B24" s="21" t="str">
        <x:v>Impacto no monetizado no es cero</x:v>
      </x:c>
      <x:c r="C24" s="21" t="str">
        <x:v>JUICIO_NO_RESUELTO</x:v>
      </x:c>
      <x:c r="D24" s="21" t="str">
        <x:v>JUICIO_NO_RESUELTO</x:v>
      </x:c>
      <x:c r="E24" s="27" t="str">
        <x:f>IF(C24="MAYOR_QUE_CERO",IF(VALUE(D24)&gt;0,"PASA","DISCORDA"),IF(EXACT("x"&amp;C24,"x"&amp;D24),"PASA","DISCORDA"))</x:f>
        <x:v>PASA</x:v>
      </x:c>
      <x:c r="F24" s="21" t="str">
        <x:v>EJECUTADO_EN_OBSERVADOR_DOCUMENTAL</x:v>
      </x:c>
    </x:row>
    <x:row r="25" ht="43" customHeight="1">
      <x:c r="A25" s="21" t="str">
        <x:v>E21</x:v>
      </x:c>
      <x:c r="B25" s="21" t="str">
        <x:v>Caso acotado completo; no ejecución SV</x:v>
      </x:c>
      <x:c r="C25" s="21" t="str">
        <x:v>SUFICIENTE_EN_ALCANCE_SINTETICO</x:v>
      </x:c>
      <x:c r="D25" s="21" t="str">
        <x:v>SUFICIENTE_EN_ALCANCE_SINTETICO</x:v>
      </x:c>
      <x:c r="E25" s="27" t="str">
        <x:f>IF(C25="MAYOR_QUE_CERO",IF(VALUE(D25)&gt;0,"PASA","DISCORDA"),IF(EXACT("x"&amp;C25,"x"&amp;D25),"PASA","DISCORDA"))</x:f>
        <x:v>PASA</x:v>
      </x:c>
      <x:c r="F25" s="21" t="str">
        <x:v>EJECUTADO_EN_OBSERVADOR_DOCUMENTAL</x:v>
      </x:c>
    </x:row>
    <x:row r="26" ht="43" customHeight="1">
      <x:c r="A26" s="21" t="str">
        <x:v>E22</x:v>
      </x:c>
      <x:c r="B26" s="21" t="str">
        <x:v>Omitir integridad</x:v>
      </x:c>
      <x:c r="C26" s="21" t="str">
        <x:v>INSUFICIENTE</x:v>
      </x:c>
      <x:c r="D26" s="21" t="str">
        <x:v>INSUFICIENTE</x:v>
      </x:c>
      <x:c r="E26" s="27" t="str">
        <x:f>IF(C26="MAYOR_QUE_CERO",IF(VALUE(D26)&gt;0,"PASA","DISCORDA"),IF(EXACT("x"&amp;C26,"x"&amp;D26),"PASA","DISCORDA"))</x:f>
        <x:v>PASA</x:v>
      </x:c>
      <x:c r="F26" s="21" t="str">
        <x:v>EJECUTADO_EN_OBSERVADOR_DOCUMENTAL</x:v>
      </x:c>
    </x:row>
    <x:row r="27" ht="43" customHeight="1">
      <x:c r="A27" s="21" t="str">
        <x:v>E23</x:v>
      </x:c>
      <x:c r="B27" s="21" t="str">
        <x:v>Omitir aplicabilidad</x:v>
      </x:c>
      <x:c r="C27" s="21" t="str">
        <x:v>INSUFICIENTE</x:v>
      </x:c>
      <x:c r="D27" s="21" t="str">
        <x:v>INSUFICIENTE</x:v>
      </x:c>
      <x:c r="E27" s="27" t="str">
        <x:f>IF(C27="MAYOR_QUE_CERO",IF(VALUE(D27)&gt;0,"PASA","DISCORDA"),IF(EXACT("x"&amp;C27,"x"&amp;D27),"PASA","DISCORDA"))</x:f>
        <x:v>PASA</x:v>
      </x:c>
      <x:c r="F27" s="21" t="str">
        <x:v>EJECUTADO_EN_OBSERVADOR_DOCUMENTAL</x:v>
      </x:c>
    </x:row>
    <x:row r="28" ht="43" customHeight="1">
      <x:c r="A28" s="21" t="str">
        <x:v>E24</x:v>
      </x:c>
      <x:c r="B28" s="21" t="str">
        <x:v>Omitir completitud</x:v>
      </x:c>
      <x:c r="C28" s="21" t="str">
        <x:v>INSUFICIENTE</x:v>
      </x:c>
      <x:c r="D28" s="21" t="str">
        <x:v>INSUFICIENTE</x:v>
      </x:c>
      <x:c r="E28" s="27" t="str">
        <x:f>IF(C28="MAYOR_QUE_CERO",IF(VALUE(D28)&gt;0,"PASA","DISCORDA"),IF(EXACT("x"&amp;C28,"x"&amp;D28),"PASA","DISCORDA"))</x:f>
        <x:v>PASA</x:v>
      </x:c>
      <x:c r="F28" s="21" t="str">
        <x:v>EJECUTADO_EN_OBSERVADOR_DOCUMENTAL</x:v>
      </x:c>
    </x:row>
    <x:row r="29" ht="43" customHeight="1">
      <x:c r="A29" s="21" t="str">
        <x:v>E25</x:v>
      </x:c>
      <x:c r="B29" s="21" t="str">
        <x:v>Omitir efecto</x:v>
      </x:c>
      <x:c r="C29" s="21" t="str">
        <x:v>INSUFICIENTE</x:v>
      </x:c>
      <x:c r="D29" s="21" t="str">
        <x:v>INSUFICIENTE</x:v>
      </x:c>
      <x:c r="E29" s="27" t="str">
        <x:f>IF(C29="MAYOR_QUE_CERO",IF(VALUE(D29)&gt;0,"PASA","DISCORDA"),IF(EXACT("x"&amp;C29,"x"&amp;D29),"PASA","DISCORDA"))</x:f>
        <x:v>PASA</x:v>
      </x:c>
      <x:c r="F29" s="21" t="str">
        <x:v>EJECUTADO_EN_OBSERVADOR_DOCUMENTAL</x:v>
      </x:c>
    </x:row>
    <x:row r="30" ht="43" customHeight="1">
      <x:c r="A30" s="21" t="str">
        <x:v>E26</x:v>
      </x:c>
      <x:c r="B30" s="21" t="str">
        <x:v>Omitir vigencia</x:v>
      </x:c>
      <x:c r="C30" s="21" t="str">
        <x:v>INSUFICIENTE</x:v>
      </x:c>
      <x:c r="D30" s="21" t="str">
        <x:v>INSUFICIENTE</x:v>
      </x:c>
      <x:c r="E30" s="27" t="str">
        <x:f>IF(C30="MAYOR_QUE_CERO",IF(VALUE(D30)&gt;0,"PASA","DISCORDA"),IF(EXACT("x"&amp;C30,"x"&amp;D30),"PASA","DISCORDA"))</x:f>
        <x:v>PASA</x:v>
      </x:c>
      <x:c r="F30" s="21" t="str">
        <x:v>EJECUTADO_EN_OBSERVADOR_DOCUMENTAL</x:v>
      </x:c>
    </x:row>
    <x:row r="31" ht="43" customHeight="1">
      <x:c r="A31" s="21" t="str">
        <x:v>E27</x:v>
      </x:c>
      <x:c r="B31" s="21" t="str">
        <x:v>Omitir cobertura</x:v>
      </x:c>
      <x:c r="C31" s="21" t="str">
        <x:v>INSUFICIENTE</x:v>
      </x:c>
      <x:c r="D31" s="21" t="str">
        <x:v>INSUFICIENTE</x:v>
      </x:c>
      <x:c r="E31" s="27" t="str">
        <x:f>IF(C31="MAYOR_QUE_CERO",IF(VALUE(D31)&gt;0,"PASA","DISCORDA"),IF(EXACT("x"&amp;C31,"x"&amp;D31),"PASA","DISCORDA"))</x:f>
        <x:v>PASA</x:v>
      </x:c>
      <x:c r="F31" s="21" t="str">
        <x:v>EJECUTADO_EN_OBSERVADOR_DOCUMENTAL</x:v>
      </x:c>
    </x:row>
    <x:row r="32" ht="43" customHeight="1">
      <x:c r="A32" s="21" t="str">
        <x:v>E28</x:v>
      </x:c>
      <x:c r="B32" s="21" t="str">
        <x:v>Omitir destinatario</x:v>
      </x:c>
      <x:c r="C32" s="21" t="str">
        <x:v>INSUFICIENTE</x:v>
      </x:c>
      <x:c r="D32" s="21" t="str">
        <x:v>INSUFICIENTE</x:v>
      </x:c>
      <x:c r="E32" s="27" t="str">
        <x:f>IF(C32="MAYOR_QUE_CERO",IF(VALUE(D32)&gt;0,"PASA","DISCORDA"),IF(EXACT("x"&amp;C32,"x"&amp;D32),"PASA","DISCORDA"))</x:f>
        <x:v>PASA</x:v>
      </x:c>
      <x:c r="F32" s="21" t="str">
        <x:v>EJECUTADO_EN_OBSERVADOR_DOCUMENTAL</x:v>
      </x:c>
    </x:row>
    <x:row r="33" ht="43" customHeight="1">
      <x:c r="A33" s="21" t="str">
        <x:v>E29</x:v>
      </x:c>
      <x:c r="B33" s="21" t="str">
        <x:v>Fallo no es salida alternativa</x:v>
      </x:c>
      <x:c r="C33" s="21" t="str">
        <x:v>FALLO_TECNICO_SIN_PRODUCTO</x:v>
      </x:c>
      <x:c r="D33" s="21" t="str">
        <x:v>FALLO_TECNICO_SIN_PRODUCTO</x:v>
      </x:c>
      <x:c r="E33" s="27" t="str">
        <x:f>IF(C33="MAYOR_QUE_CERO",IF(VALUE(D33)&gt;0,"PASA","DISCORDA"),IF(EXACT("x"&amp;C33,"x"&amp;D33),"PASA","DISCORDA"))</x:f>
        <x:v>PASA</x:v>
      </x:c>
      <x:c r="F33" s="21" t="str">
        <x:v>EJECUTADO_EN_OBSERVADOR_DOCUMENTAL</x:v>
      </x:c>
    </x:row>
    <x:row r="34" ht="43" customHeight="1">
      <x:c r="A34" s="21" t="str">
        <x:v>E30</x:v>
      </x:c>
      <x:c r="B34" s="21" t="str">
        <x:v>No admisión no es U</x:v>
      </x:c>
      <x:c r="C34" s="21" t="str">
        <x:v>NO_ADMITIDA_SIN_DICTAMEN</x:v>
      </x:c>
      <x:c r="D34" s="21" t="str">
        <x:v>NO_ADMITIDA_SIN_DICTAMEN</x:v>
      </x:c>
      <x:c r="E34" s="27" t="str">
        <x:f>IF(C34="MAYOR_QUE_CERO",IF(VALUE(D34)&gt;0,"PASA","DISCORDA"),IF(EXACT("x"&amp;C34,"x"&amp;D34),"PASA","DISCORDA"))</x:f>
        <x:v>PASA</x:v>
      </x:c>
      <x:c r="F34" s="21" t="str">
        <x:v>EJECUTADO_EN_OBSERVADOR_DOCUMENTAL</x:v>
      </x:c>
    </x:row>
    <x:row r="35" ht="43" customHeight="1">
      <x:c r="A35" s="21" t="str">
        <x:v>E31</x:v>
      </x:c>
      <x:c r="B35" s="21" t="str">
        <x:v>Exclusión no afirma corrección</x:v>
      </x:c>
      <x:c r="C35" s="21" t="str">
        <x:v>EXCLUSION_FUNDADA</x:v>
      </x:c>
      <x:c r="D35" s="21" t="str">
        <x:v>EXCLUSION_FUNDADA</x:v>
      </x:c>
      <x:c r="E35" s="27" t="str">
        <x:f>IF(C35="MAYOR_QUE_CERO",IF(VALUE(D35)&gt;0,"PASA","DISCORDA"),IF(EXACT("x"&amp;C35,"x"&amp;D35),"PASA","DISCORDA"))</x:f>
        <x:v>PASA</x:v>
      </x:c>
      <x:c r="F35" s="21" t="str">
        <x:v>EJECUTADO_EN_OBSERVADOR_DOCUMENTAL</x:v>
      </x:c>
    </x:row>
    <x:row r="36" ht="43" customHeight="1">
      <x:c r="A36" s="21" t="str">
        <x:v>E32</x:v>
      </x:c>
      <x:c r="B36" s="21" t="str">
        <x:v>Desconocimiento no es exclusión fundada</x:v>
      </x:c>
      <x:c r="C36" s="21" t="str">
        <x:v>INSUFICIENTE</x:v>
      </x:c>
      <x:c r="D36" s="21" t="str">
        <x:v>INSUFICIENTE</x:v>
      </x:c>
      <x:c r="E36" s="27" t="str">
        <x:f>IF(C36="MAYOR_QUE_CERO",IF(VALUE(D36)&gt;0,"PASA","DISCORDA"),IF(EXACT("x"&amp;C36,"x"&amp;D36),"PASA","DISCORDA"))</x:f>
        <x:v>PASA</x:v>
      </x:c>
      <x:c r="F36" s="21" t="str">
        <x:v>EJECUTADO_EN_OBSERVADOR_DOCUMENTAL</x:v>
      </x:c>
    </x:row>
    <x:row r="37" ht="43" customHeight="1">
      <x:c r="A37" s="21" t="str">
        <x:v>E33</x:v>
      </x:c>
      <x:c r="B37" s="21" t="str">
        <x:v>Conjunción vacía no crea suficiencia</x:v>
      </x:c>
      <x:c r="C37" s="21" t="str">
        <x:v>INSUFICIENTE</x:v>
      </x:c>
      <x:c r="D37" s="21" t="str">
        <x:v>INSUFICIENTE</x:v>
      </x:c>
      <x:c r="E37" s="27" t="str">
        <x:f>IF(C37="MAYOR_QUE_CERO",IF(VALUE(D37)&gt;0,"PASA","DISCORDA"),IF(EXACT("x"&amp;C37,"x"&amp;D37),"PASA","DISCORDA"))</x:f>
        <x:v>PASA</x:v>
      </x:c>
      <x:c r="F37" s="21" t="str">
        <x:v>EJECUTADO_EN_OBSERVADOR_DOCUMENTAL</x:v>
      </x:c>
    </x:row>
    <x:row r="38" ht="43" customHeight="1">
      <x:c r="A38" s="21" t="str">
        <x:v>E34</x:v>
      </x:c>
      <x:c r="B38" s="21" t="str">
        <x:v>Conjunción de condiciones admitidas</x:v>
      </x:c>
      <x:c r="C38" s="21" t="str">
        <x:v>APLICABLE</x:v>
      </x:c>
      <x:c r="D38" s="21" t="str">
        <x:v>APLICABLE</x:v>
      </x:c>
      <x:c r="E38" s="27" t="str">
        <x:f>IF(C38="MAYOR_QUE_CERO",IF(VALUE(D38)&gt;0,"PASA","DISCORDA"),IF(EXACT("x"&amp;C38,"x"&amp;D38),"PASA","DISCORDA"))</x:f>
        <x:v>PASA</x:v>
      </x:c>
      <x:c r="F38" s="21" t="str">
        <x:v>EJECUTADO_EN_OBSERVADOR_DOCUMENTAL</x:v>
      </x:c>
    </x:row>
    <x:row r="39" ht="43" customHeight="1">
      <x:c r="A39" s="21" t="str">
        <x:v>E35</x:v>
      </x:c>
      <x:c r="B39" s="21" t="str">
        <x:v>Condición desconocida no es falsa</x:v>
      </x:c>
      <x:c r="C39" s="21" t="str">
        <x:v>NO_RESUELTA</x:v>
      </x:c>
      <x:c r="D39" s="21" t="str">
        <x:v>NO_RESUELTA</x:v>
      </x:c>
      <x:c r="E39" s="27" t="str">
        <x:f>IF(C39="MAYOR_QUE_CERO",IF(VALUE(D39)&gt;0,"PASA","DISCORDA"),IF(EXACT("x"&amp;C39,"x"&amp;D39),"PASA","DISCORDA"))</x:f>
        <x:v>PASA</x:v>
      </x:c>
      <x:c r="F39" s="21" t="str">
        <x:v>EJECUTADO_EN_OBSERVADOR_DOCUMENTAL</x:v>
      </x:c>
    </x:row>
    <x:row r="40" ht="43" customHeight="1">
      <x:c r="A40" s="21" t="str">
        <x:v>E36</x:v>
      </x:c>
      <x:c r="B40" s="21" t="str">
        <x:v>Refutación suficiente en conjunción explícita</x:v>
      </x:c>
      <x:c r="C40" s="21" t="str">
        <x:v>NO_APLICABLE</x:v>
      </x:c>
      <x:c r="D40" s="21" t="str">
        <x:v>NO_APLICABLE</x:v>
      </x:c>
      <x:c r="E40" s="27" t="str">
        <x:f>IF(C40="MAYOR_QUE_CERO",IF(VALUE(D40)&gt;0,"PASA","DISCORDA"),IF(EXACT("x"&amp;C40,"x"&amp;D40),"PASA","DISCORDA"))</x:f>
        <x:v>PASA</x:v>
      </x:c>
      <x:c r="F40" s="21" t="str">
        <x:v>EJECUTADO_EN_OBSERVADOR_DOCUMENTAL</x:v>
      </x:c>
    </x:row>
    <x:row r="41" ht="43" customHeight="1">
      <x:c r="A41" s="21" t="str">
        <x:v>E37</x:v>
      </x:c>
      <x:c r="B41" s="21" t="str">
        <x:v>Regla vacía no acredita pertinencia</x:v>
      </x:c>
      <x:c r="C41" s="21" t="str">
        <x:v>NO_RESUELTA</x:v>
      </x:c>
      <x:c r="D41" s="21" t="str">
        <x:v>NO_RESUELTA</x:v>
      </x:c>
      <x:c r="E41" s="27" t="str">
        <x:f>IF(C41="MAYOR_QUE_CERO",IF(VALUE(D41)&gt;0,"PASA","DISCORDA"),IF(EXACT("x"&amp;C41,"x"&amp;D41),"PASA","DISCORDA"))</x:f>
        <x:v>PASA</x:v>
      </x:c>
      <x:c r="F41" s="21" t="str">
        <x:v>EJECUTADO_EN_OBSERVADOR_DOCUMENTAL</x:v>
      </x:c>
    </x:row>
    <x:row r="42" ht="43" customHeight="1">
      <x:c r="A42" s="21" t="str">
        <x:v>E38</x:v>
      </x:c>
      <x:c r="B42" s="21" t="str">
        <x:v>Duración y recuperación caben exactamente</x:v>
      </x:c>
      <x:c r="C42" s="21" t="str">
        <x:v>CABE</x:v>
      </x:c>
      <x:c r="D42" s="21" t="str">
        <x:v>CABE</x:v>
      </x:c>
      <x:c r="E42" s="27" t="str">
        <x:f>IF(C42="MAYOR_QUE_CERO",IF(VALUE(D42)&gt;0,"PASA","DISCORDA"),IF(EXACT("x"&amp;C42,"x"&amp;D42),"PASA","DISCORDA"))</x:f>
        <x:v>PASA</x:v>
      </x:c>
      <x:c r="F42" s="21" t="str">
        <x:v>EJECUTADO_EN_OBSERVADOR_DOCUMENTAL</x:v>
      </x:c>
    </x:row>
    <x:row r="43" ht="43" customHeight="1">
      <x:c r="A43" s="21" t="str">
        <x:v>E39</x:v>
      </x:c>
      <x:c r="B43" s="21" t="str">
        <x:v>Comenzar al fin excluido</x:v>
      </x:c>
      <x:c r="C43" s="21" t="str">
        <x:v>NO_CABE</x:v>
      </x:c>
      <x:c r="D43" s="21" t="str">
        <x:v>NO_CABE</x:v>
      </x:c>
      <x:c r="E43" s="27" t="str">
        <x:f>IF(C43="MAYOR_QUE_CERO",IF(VALUE(D43)&gt;0,"PASA","DISCORDA"),IF(EXACT("x"&amp;C43,"x"&amp;D43),"PASA","DISCORDA"))</x:f>
        <x:v>PASA</x:v>
      </x:c>
      <x:c r="F43" s="21" t="str">
        <x:v>EJECUTADO_EN_OBSERVADOR_DOCUMENTAL</x:v>
      </x:c>
    </x:row>
    <x:row r="44" ht="43" customHeight="1">
      <x:c r="A44" s="21" t="str">
        <x:v>E40</x:v>
      </x:c>
      <x:c r="B44" s="21" t="str">
        <x:v>Recuperación invade frontera</x:v>
      </x:c>
      <x:c r="C44" s="21" t="str">
        <x:v>NO_CABE</x:v>
      </x:c>
      <x:c r="D44" s="21" t="str">
        <x:v>NO_CABE</x:v>
      </x:c>
      <x:c r="E44" s="27" t="str">
        <x:f>IF(C44="MAYOR_QUE_CERO",IF(VALUE(D44)&gt;0,"PASA","DISCORDA"),IF(EXACT("x"&amp;C44,"x"&amp;D44),"PASA","DISCORDA"))</x:f>
        <x:v>PASA</x:v>
      </x:c>
      <x:c r="F44" s="21" t="str">
        <x:v>EJECUTADO_EN_OBSERVADOR_DOCUMENTAL</x:v>
      </x:c>
    </x:row>
    <x:row r="45" ht="43" customHeight="1">
      <x:c r="A45" s="21" t="str">
        <x:v>E41</x:v>
      </x:c>
      <x:c r="B45" s="21" t="str">
        <x:v>Orden no fiable no se redondea</x:v>
      </x:c>
      <x:c r="C45" s="21" t="str">
        <x:v>ORDEN_NO_RESUELTO</x:v>
      </x:c>
      <x:c r="D45" s="21" t="str">
        <x:v>ORDEN_NO_RESUELTO</x:v>
      </x:c>
      <x:c r="E45" s="27" t="str">
        <x:f>IF(C45="MAYOR_QUE_CERO",IF(VALUE(D45)&gt;0,"PASA","DISCORDA"),IF(EXACT("x"&amp;C45,"x"&amp;D45),"PASA","DISCORDA"))</x:f>
        <x:v>PASA</x:v>
      </x:c>
      <x:c r="F45" s="21" t="str">
        <x:v>EJECUTADO_EN_OBSERVADOR_DOCUMENTAL</x:v>
      </x:c>
    </x:row>
    <x:row r="46" ht="43" customHeight="1">
      <x:c r="A46" s="21" t="str">
        <x:v>E42</x:v>
      </x:c>
      <x:c r="B46" s="21" t="str">
        <x:v>Intervalo vacío</x:v>
      </x:c>
      <x:c r="C46" s="21" t="str">
        <x:v>INTERVALO_INVALIDO</x:v>
      </x:c>
      <x:c r="D46" s="21" t="str">
        <x:v>INTERVALO_INVALIDO</x:v>
      </x:c>
      <x:c r="E46" s="27" t="str">
        <x:f>IF(C46="MAYOR_QUE_CERO",IF(VALUE(D46)&gt;0,"PASA","DISCORDA"),IF(EXACT("x"&amp;C46,"x"&amp;D46),"PASA","DISCORDA"))</x:f>
        <x:v>PASA</x:v>
      </x:c>
      <x:c r="F46" s="21" t="str">
        <x:v>EJECUTADO_EN_OBSERVADOR_DOCUMENTAL</x:v>
      </x:c>
    </x:row>
    <x:row r="47" ht="43" customHeight="1">
      <x:c r="A47" s="21" t="str">
        <x:v>E43</x:v>
      </x:c>
      <x:c r="B47" s="21" t="str">
        <x:v>Permiso concreto en testigo sintético</x:v>
      </x:c>
      <x:c r="C47" s="21" t="str">
        <x:v>PERMISO_DOCUMENTADO</x:v>
      </x:c>
      <x:c r="D47" s="21" t="str">
        <x:v>PERMISO_DOCUMENTADO</x:v>
      </x:c>
      <x:c r="E47" s="27" t="str">
        <x:f>IF(C47="MAYOR_QUE_CERO",IF(VALUE(D47)&gt;0,"PASA","DISCORDA"),IF(EXACT("x"&amp;C47,"x"&amp;D47),"PASA","DISCORDA"))</x:f>
        <x:v>PASA</x:v>
      </x:c>
      <x:c r="F47" s="21" t="str">
        <x:v>EJECUTADO_EN_OBSERVADOR_DOCUMENTAL</x:v>
      </x:c>
    </x:row>
    <x:row r="48" ht="43" customHeight="1">
      <x:c r="A48" s="21" t="str">
        <x:v>E44</x:v>
      </x:c>
      <x:c r="B48" s="21" t="str">
        <x:v>Permiso de otro activo</x:v>
      </x:c>
      <x:c r="C48" s="21" t="str">
        <x:v>FUERA_DE_AMBITO</x:v>
      </x:c>
      <x:c r="D48" s="21" t="str">
        <x:v>FUERA_DE_AMBITO</x:v>
      </x:c>
      <x:c r="E48" s="27" t="str">
        <x:f>IF(C48="MAYOR_QUE_CERO",IF(VALUE(D48)&gt;0,"PASA","DISCORDA"),IF(EXACT("x"&amp;C48,"x"&amp;D48),"PASA","DISCORDA"))</x:f>
        <x:v>PASA</x:v>
      </x:c>
      <x:c r="F48" s="21" t="str">
        <x:v>EJECUTADO_EN_OBSERVADOR_DOCUMENTAL</x:v>
      </x:c>
    </x:row>
    <x:row r="49" ht="43" customHeight="1">
      <x:c r="A49" s="21" t="str">
        <x:v>E45</x:v>
      </x:c>
      <x:c r="B49" s="21" t="str">
        <x:v>Permiso caducado</x:v>
      </x:c>
      <x:c r="C49" s="21" t="str">
        <x:v>NO_VIGENTE</x:v>
      </x:c>
      <x:c r="D49" s="21" t="str">
        <x:v>NO_VIGENTE</x:v>
      </x:c>
      <x:c r="E49" s="27" t="str">
        <x:f>IF(C49="MAYOR_QUE_CERO",IF(VALUE(D49)&gt;0,"PASA","DISCORDA"),IF(EXACT("x"&amp;C49,"x"&amp;D49),"PASA","DISCORDA"))</x:f>
        <x:v>PASA</x:v>
      </x:c>
      <x:c r="F49" s="21" t="str">
        <x:v>EJECUTADO_EN_OBSERVADOR_DOCUMENTAL</x:v>
      </x:c>
    </x:row>
    <x:row r="50" ht="43" customHeight="1">
      <x:c r="A50" s="21" t="str">
        <x:v>E46</x:v>
      </x:c>
      <x:c r="B50" s="21" t="str">
        <x:v>Dirección curricular no sustituye organización</x:v>
      </x:c>
      <x:c r="C50" s="21" t="str">
        <x:v>NO_ACREDITADO</x:v>
      </x:c>
      <x:c r="D50" s="21" t="str">
        <x:v>NO_ACREDITADO</x:v>
      </x:c>
      <x:c r="E50" s="27" t="str">
        <x:f>IF(C50="MAYOR_QUE_CERO",IF(VALUE(D50)&gt;0,"PASA","DISCORDA"),IF(EXACT("x"&amp;C50,"x"&amp;D50),"PASA","DISCORDA"))</x:f>
        <x:v>PASA</x:v>
      </x:c>
      <x:c r="F50" s="21" t="str">
        <x:v>EJECUTADO_EN_OBSERVADOR_DOCUMENTAL</x:v>
      </x:c>
    </x:row>
    <x:row r="51" ht="43" customHeight="1">
      <x:c r="A51" s="21" t="str">
        <x:v>E47</x:v>
      </x:c>
      <x:c r="B51" s="21" t="str">
        <x:v>Acción no autorizada</x:v>
      </x:c>
      <x:c r="C51" s="21" t="str">
        <x:v>FUERA_DE_AMBITO</x:v>
      </x:c>
      <x:c r="D51" s="21" t="str">
        <x:v>FUERA_DE_AMBITO</x:v>
      </x:c>
      <x:c r="E51" s="27" t="str">
        <x:f>IF(C51="MAYOR_QUE_CERO",IF(VALUE(D51)&gt;0,"PASA","DISCORDA"),IF(EXACT("x"&amp;C51,"x"&amp;D51),"PASA","DISCORDA"))</x:f>
        <x:v>PASA</x:v>
      </x:c>
      <x:c r="F51" s="21" t="str">
        <x:v>EJECUTADO_EN_OBSERVADOR_DOCUMENTAL</x:v>
      </x:c>
    </x:row>
    <x:row r="52" ht="43" customHeight="1">
      <x:c r="A52" s="21" t="str">
        <x:v>E48</x:v>
      </x:c>
      <x:c r="B52" s="21" t="str">
        <x:v>Hijo no cubierto</x:v>
      </x:c>
      <x:c r="C52" s="21" t="str">
        <x:v>INSUFICIENTE</x:v>
      </x:c>
      <x:c r="D52" s="21" t="str">
        <x:v>INSUFICIENTE</x:v>
      </x:c>
      <x:c r="E52" s="27" t="str">
        <x:f>IF(C52="MAYOR_QUE_CERO",IF(VALUE(D52)&gt;0,"PASA","DISCORDA"),IF(EXACT("x"&amp;C52,"x"&amp;D52),"PASA","DISCORDA"))</x:f>
        <x:v>PASA</x:v>
      </x:c>
      <x:c r="F52" s="21" t="str">
        <x:v>EJECUTADO_EN_OBSERVADOR_DOCUMENTAL</x:v>
      </x:c>
    </x:row>
    <x:row r="53" ht="43" customHeight="1">
      <x:c r="A53" s="21" t="str">
        <x:v>E49</x:v>
      </x:c>
      <x:c r="B53" s="21" t="str">
        <x:v>Crear no inicializar</x:v>
      </x:c>
      <x:c r="C53" s="21" t="str">
        <x:v>INSUFICIENTE</x:v>
      </x:c>
      <x:c r="D53" s="21" t="str">
        <x:v>INSUFICIENTE</x:v>
      </x:c>
      <x:c r="E53" s="27" t="str">
        <x:f>IF(C53="MAYOR_QUE_CERO",IF(VALUE(D53)&gt;0,"PASA","DISCORDA"),IF(EXACT("x"&amp;C53,"x"&amp;D53),"PASA","DISCORDA"))</x:f>
        <x:v>PASA</x:v>
      </x:c>
      <x:c r="F53" s="21" t="str">
        <x:v>EJECUTADO_EN_OBSERVADOR_DOCUMENTAL</x:v>
      </x:c>
    </x:row>
    <x:row r="54" ht="43" customHeight="1">
      <x:c r="A54" s="21" t="str">
        <x:v>E50</x:v>
      </x:c>
      <x:c r="B54" s="21" t="str">
        <x:v>Mitigación no corrección</x:v>
      </x:c>
      <x:c r="C54" s="21" t="str">
        <x:v>INSUFICIENTE</x:v>
      </x:c>
      <x:c r="D54" s="21" t="str">
        <x:v>INSUFICIENTE</x:v>
      </x:c>
      <x:c r="E54" s="27" t="str">
        <x:f>IF(C54="MAYOR_QUE_CERO",IF(VALUE(D54)&gt;0,"PASA","DISCORDA"),IF(EXACT("x"&amp;C54,"x"&amp;D54),"PASA","DISCORDA"))</x:f>
        <x:v>PASA</x:v>
      </x:c>
      <x:c r="F54" s="21" t="str">
        <x:v>EJECUTADO_EN_OBSERVADOR_DOCUMENTAL</x:v>
      </x:c>
    </x:row>
    <x:row r="55" ht="43" customHeight="1">
      <x:c r="A55" s="21" t="str">
        <x:v>E51</x:v>
      </x:c>
      <x:c r="B55" s="21" t="str">
        <x:v>Historia anterior sin vigencia</x:v>
      </x:c>
      <x:c r="C55" s="21" t="str">
        <x:v>INSUFICIENTE</x:v>
      </x:c>
      <x:c r="D55" s="21" t="str">
        <x:v>INSUFICIENTE</x:v>
      </x:c>
      <x:c r="E55" s="27" t="str">
        <x:f>IF(C55="MAYOR_QUE_CERO",IF(VALUE(D55)&gt;0,"PASA","DISCORDA"),IF(EXACT("x"&amp;C55,"x"&amp;D55),"PASA","DISCORDA"))</x:f>
        <x:v>PASA</x:v>
      </x:c>
      <x:c r="F55" s="21" t="str">
        <x:v>EJECUTADO_EN_OBSERVADOR_DOCUMENTAL</x:v>
      </x:c>
    </x:row>
    <x:row r="56" ht="43" customHeight="1">
      <x:c r="A56" s="21" t="str">
        <x:v>S-correcto</x:v>
      </x:c>
      <x:c r="B56" s="21" t="str">
        <x:v>Observador de igualdad: correcto=0; mutantes deben discrepar</x:v>
      </x:c>
      <x:c r="C56" s="21" t="str">
        <x:v>0</x:v>
      </x:c>
      <x:c r="D56" s="21" t="str">
        <x:v>0</x:v>
      </x:c>
      <x:c r="E56" s="27" t="str">
        <x:f>IF(C56="MAYOR_QUE_CERO",IF(VALUE(D56)&gt;0,"PASA","DISCORDA"),IF(EXACT("x"&amp;C56,"x"&amp;D56),"PASA","DISCORDA"))</x:f>
        <x:v>PASA</x:v>
      </x:c>
      <x:c r="F56" s="21" t="str">
        <x:v>EJECUTADO; NO SENSIBILIDAD DE SENSOR REAL</x:v>
      </x:c>
    </x:row>
    <x:row r="57" ht="43" customHeight="1">
      <x:c r="A57" s="21" t="str">
        <x:v>S-ignora_objetivo</x:v>
      </x:c>
      <x:c r="B57" s="21" t="str">
        <x:v>Observador de igualdad: correcto=0; mutantes deben discrepar</x:v>
      </x:c>
      <x:c r="C57" s="21" t="str">
        <x:v>MAYOR_QUE_CERO</x:v>
      </x:c>
      <x:c r="D57" s="21" t="str">
        <x:v>1</x:v>
      </x:c>
      <x:c r="E57" s="27" t="str">
        <x:f>IF(C57="MAYOR_QUE_CERO",IF(VALUE(D57)&gt;0,"PASA","DISCORDA"),IF(EXACT("x"&amp;C57,"x"&amp;D57),"PASA","DISCORDA"))</x:f>
        <x:v>PASA</x:v>
      </x:c>
      <x:c r="F57" s="21" t="str">
        <x:v>EJECUTADO; NO SENSIBILIDAD DE SENSOR REAL</x:v>
      </x:c>
    </x:row>
    <x:row r="58" ht="43" customHeight="1">
      <x:c r="A58" s="21" t="str">
        <x:v>S-siempre_negativo</x:v>
      </x:c>
      <x:c r="B58" s="21" t="str">
        <x:v>Observador de igualdad: correcto=0; mutantes deben discrepar</x:v>
      </x:c>
      <x:c r="C58" s="21" t="str">
        <x:v>MAYOR_QUE_CERO</x:v>
      </x:c>
      <x:c r="D58" s="21" t="str">
        <x:v>2</x:v>
      </x:c>
      <x:c r="E58" s="27" t="str">
        <x:f>IF(C58="MAYOR_QUE_CERO",IF(VALUE(D58)&gt;0,"PASA","DISCORDA"),IF(EXACT("x"&amp;C58,"x"&amp;D58),"PASA","DISCORDA"))</x:f>
        <x:v>PASA</x:v>
      </x:c>
      <x:c r="F58" s="21" t="str">
        <x:v>EJECUTADO; NO SENSIBILIDAD DE SENSOR REAL</x:v>
      </x:c>
    </x:row>
    <x:row r="59" ht="43" customHeight="1">
      <x:c r="A59" s="21" t="str">
        <x:v>S-siempre_positivo</x:v>
      </x:c>
      <x:c r="B59" s="21" t="str">
        <x:v>Observador de igualdad: correcto=0; mutantes deben discrepar</x:v>
      </x:c>
      <x:c r="C59" s="21" t="str">
        <x:v>MAYOR_QUE_CERO</x:v>
      </x:c>
      <x:c r="D59" s="21" t="str">
        <x:v>1</x:v>
      </x:c>
      <x:c r="E59" s="27" t="str">
        <x:f>IF(C59="MAYOR_QUE_CERO",IF(VALUE(D59)&gt;0,"PASA","DISCORDA"),IF(EXACT("x"&amp;C59,"x"&amp;D59),"PASA","DISCORDA"))</x:f>
        <x:v>PASA</x:v>
      </x:c>
      <x:c r="F59" s="21" t="str">
        <x:v>EJECUTADO; NO SENSIBILIDAD DE SENSOR REAL</x:v>
      </x:c>
    </x:row>
  </x:sheetData>
  <x:mergeCells>
    <x:mergeCell ref="A1:D1"/>
    <x:mergeCell ref="A2:F2"/>
  </x:mergeCells>
  <x:conditionalFormatting sqref="E5:E59">
    <x:cfRule type="containsText" dxfId="27" priority="1" operator="containsText" text="DISCORDA"/>
  </x:conditionalFormatting>
  <x:pageMargins left="0.7" right="0.7" top="0.75" bottom="0.75" header="0.3" footer="0.3"/>
  <x:tableParts count="1">
    <x:tablePart xmlns:r="http://schemas.openxmlformats.org/officeDocument/2006/relationships" r:id="Rd5f1d30647f74ef2"/>
  </x:tableParts>
</x:worksheet>
</file>

<file path=xl/worksheets/sheet6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9" hidden="0" customWidth="1"/>
    <x:col min="2" max="2" width="78" hidden="0" customWidth="1"/>
    <x:col min="3" max="3" width="49" hidden="0" customWidth="1"/>
    <x:col min="4" max="4" width="162" hidden="0" customWidth="1"/>
  </x:cols>
  <x:sheetData>
    <x:row r="1" ht="34" customHeight="1">
      <x:c r="A1" s="23" t="str">
        <x:v>ADVERSARIAL Y DEUDA · límites que tienen efecto</x:v>
      </x:c>
      <x:c r="B1" s="23"/>
      <x:c r="C1" s="23"/>
      <x:c r="D1" s="23"/>
    </x:row>
    <x:row r="2" ht="57" customHeight="1">
      <x:c r="A2" s="24" t="str">
        <x:v>Revisión interna de esta unidad. No es auditoría externa independiente. Ninguna deuda imprescindible queda ocultada por un cierre nominal.</x:v>
      </x:c>
      <x:c r="B2" s="24"/>
      <x:c r="C2" s="24"/>
      <x:c r="D2" s="24"/>
    </x:row>
    <x:row r="3">
      <x:c r="A3" s="21"/>
      <x:c r="B3" s="21"/>
      <x:c r="C3" s="21"/>
      <x:c r="D3" s="21"/>
    </x:row>
    <x:row r="4" ht="48" customHeight="1">
      <x:c r="A4" s="26" t="str">
        <x:v>ID</x:v>
      </x:c>
      <x:c r="B4" s="26" t="str">
        <x:v>Ataque / deuda</x:v>
      </x:c>
      <x:c r="C4" s="26" t="str">
        <x:v>Resultado / responsable</x:v>
      </x:c>
      <x:c r="D4" s="26" t="str">
        <x:v>Resolución / capacidad bloqueada</x:v>
      </x:c>
    </x:row>
    <x:row r="5" ht="43" customHeight="1">
      <x:c r="A5" s="21" t="str">
        <x:v>A01</x:v>
      </x:c>
      <x:c r="B5" s="21" t="str">
        <x:v>Quince definiciones tratadas como quince estados</x:v>
      </x:c>
      <x:c r="C5" s="21" t="str">
        <x:v>REPARO INCORPORADO</x:v>
      </x:c>
      <x:c r="D5" s="21" t="str">
        <x:v>Los usos y sujetos simultáneos deben tener identidad y estado propios. D-CYB-02 impide declarar arquitectura a partir del recuento.</x:v>
      </x:c>
    </x:row>
    <x:row r="6" ht="43" customHeight="1">
      <x:c r="A6" s="21" t="str">
        <x:v>A02</x:v>
      </x:c>
      <x:c r="B6" s="21" t="str">
        <x:v>Elegir nueve de quince por proximidad editorial</x:v>
      </x:c>
      <x:c r="C6" s="21" t="str">
        <x:v>RECHAZADO</x:v>
      </x:c>
      <x:c r="D6" s="21" t="str">
        <x:v>No se ha acreditado propiedad semántica ni cobertura de los seis restantes. No se constituye célula.</x:v>
      </x:c>
    </x:row>
    <x:row r="7" ht="43" customHeight="1">
      <x:c r="A7" s="21" t="str">
        <x:v>A03</x:v>
      </x:c>
      <x:c r="B7" s="21" t="str">
        <x:v>Rellenar hasta dieciséis con un control</x:v>
      </x:c>
      <x:c r="C7" s="21" t="str">
        <x:v>RECHAZADO</x:v>
      </x:c>
      <x:c r="D7" s="21" t="str">
        <x:v>C01–C14 no son átomos por conveniencia geométrica.</x:v>
      </x:c>
    </x:row>
    <x:row r="8" ht="43" customHeight="1">
      <x:c r="A8" s="21" t="str">
        <x:v>A04</x:v>
      </x:c>
      <x:c r="B8" s="21" t="str">
        <x:v>Convertir prueba positiva genérica en todas las pruebas</x:v>
      </x:c>
      <x:c r="C8" s="21" t="str">
        <x:v>RECHAZADO</x:v>
      </x:c>
      <x:c r="D8" s="21" t="str">
        <x:v>P07 por criterio/sujeto preserva usos y estados; un resultado no se replica.</x:v>
      </x:c>
    </x:row>
    <x:row r="9" ht="43" customHeight="1">
      <x:c r="A9" s="21" t="str">
        <x:v>A05</x:v>
      </x:c>
      <x:c r="B9" s="21" t="str">
        <x:v>P11 es inicialización y disponibilidad</x:v>
      </x:c>
      <x:c r="C9" s="21" t="str">
        <x:v>REPARO PREVENIDO</x:v>
      </x:c>
      <x:c r="D9" s="21" t="str">
        <x:v>CreateProcess retorna antes de inicialización; P11 sólo creación; P07 criterio útil separado.</x:v>
      </x:c>
    </x:row>
    <x:row r="10" ht="43" customHeight="1">
      <x:c r="A10" s="21" t="str">
        <x:v>A06</x:v>
      </x:c>
      <x:c r="B10" s="21" t="str">
        <x:v>P12 es contenido del fichero de configuración</x:v>
      </x:c>
      <x:c r="C10" s="21" t="str">
        <x:v>RECHAZADO</x:v>
      </x:c>
      <x:c r="D10" s="21" t="str">
        <x:v>Valor efectivo exige método específico; lectura indirecta mantiene U.</x:v>
      </x:c>
    </x:row>
    <x:row r="11" ht="43" customHeight="1">
      <x:c r="A11" s="21" t="str">
        <x:v>A07</x:v>
      </x:c>
      <x:c r="B11" s="21" t="str">
        <x:v>P13 equivale a P06</x:v>
      </x:c>
      <x:c r="C11" s="21" t="str">
        <x:v>REFUTADO EN TESTIGO</x:v>
      </x:c>
      <x:c r="D11" s="21" t="str">
        <x:v>Disco y memoria pueden divergir en ambas direcciones.</x:v>
      </x:c>
    </x:row>
    <x:row r="12" ht="43" customHeight="1">
      <x:c r="A12" s="21" t="str">
        <x:v>A08</x:v>
      </x:c>
      <x:c r="B12" s="21" t="str">
        <x:v>P14 duplica P09 o P12</x:v>
      </x:c>
      <x:c r="C12" s="21" t="str">
        <x:v>REFUTADO EN TESTIGO</x:v>
      </x:c>
      <x:c r="D12" s="21" t="str">
        <x:v>Cambio de configuración sin cambio binario y cambio/retorno con mismo final.</x:v>
      </x:c>
    </x:row>
    <x:row r="13" ht="43" customHeight="1">
      <x:c r="A13" s="21" t="str">
        <x:v>A09</x:v>
      </x:c>
      <x:c r="B13" s="21" t="str">
        <x:v>P15 agrupa todas las tareas pendientes</x:v>
      </x:c>
      <x:c r="C13" s="21" t="str">
        <x:v>RECHAZADO</x:v>
      </x:c>
      <x:c r="D13" s="21" t="str">
        <x:v>Sólo requisito de acción previamente individualizada; tareas compuestas necesitan obligaciones separables.</x:v>
      </x:c>
    </x:row>
    <x:row r="14" ht="43" customHeight="1">
      <x:c r="A14" s="21" t="str">
        <x:v>A10</x:v>
      </x:c>
      <x:c r="B14" s="21" t="str">
        <x:v>P05 padre implica hijos terminados</x:v>
      </x:c>
      <x:c r="C14" s="21" t="str">
        <x:v>RECHAZADO</x:v>
      </x:c>
      <x:c r="D14" s="21" t="str">
        <x:v>T016 distingue hijos y objetos compartidos; C05 exige cobertura.</x:v>
      </x:c>
    </x:row>
    <x:row r="15" ht="43" customHeight="1">
      <x:c r="A15" s="21" t="str">
        <x:v>A11</x:v>
      </x:c>
      <x:c r="B15" s="21" t="str">
        <x:v>Digest correcto autentica productor</x:v>
      </x:c>
      <x:c r="C15" s="21" t="str">
        <x:v>REFUTADO EN ENSAYO</x:v>
      </x:c>
      <x:c r="D15" s="21" t="str">
        <x:v>E03 conserva hash correcto y rechaza productor no admitido.</x:v>
      </x:c>
    </x:row>
    <x:row r="16" ht="43" customHeight="1">
      <x:c r="A16" s="21" t="str">
        <x:v>A12</x:v>
      </x:c>
      <x:c r="B16" s="21" t="str">
        <x:v>Lista o historial vacío acredita ausencia</x:v>
      </x:c>
      <x:c r="C16" s="21" t="str">
        <x:v>REFUTADO EN ENSAYO</x:v>
      </x:c>
      <x:c r="D16" s="21" t="str">
        <x:v>E12/E33 y testigos P14 impiden cierre vacío sin cobertura.</x:v>
      </x:c>
    </x:row>
    <x:row r="17" ht="43" customHeight="1">
      <x:c r="A17" s="21" t="str">
        <x:v>A13</x:v>
      </x:c>
      <x:c r="B17" s="21" t="str">
        <x:v>Sensor siempre positivo parece suficiente</x:v>
      </x:c>
      <x:c r="C17" s="21" t="str">
        <x:v>REFUTADO EN ENSAYO</x:v>
      </x:c>
      <x:c r="D17" s="21" t="str">
        <x:v>Testigo residual lo detecta; sensor siempre negativo y que memoriza objetivo también se detectan.</x:v>
      </x:c>
    </x:row>
    <x:row r="18" ht="43" customHeight="1">
      <x:c r="A18" s="21" t="str">
        <x:v>A14</x:v>
      </x:c>
      <x:c r="B18" s="21" t="str">
        <x:v>Totalidad de salida ensayada sin asociación</x:v>
      </x:c>
      <x:c r="C18" s="21" t="str">
        <x:v>ERROR DEL ORÁCULO CORREGIDO</x:v>
      </x:c>
      <x:c r="D18" s="21" t="str">
        <x:v>Se conserva esperado inicial fallido. Sin CellSpec no se alcanza totalidad relativa; no se declara defecto ni prueba favorable.</x:v>
      </x:c>
    </x:row>
    <x:row r="19" ht="43" customHeight="1">
      <x:c r="A19" s="21" t="str">
        <x:v>A15</x:v>
      </x:c>
      <x:c r="B19" s="21" t="str">
        <x:v>Transporte nominal demuestra observación→Tri</x:v>
      </x:c>
      <x:c r="C19" s="21" t="str">
        <x:v>RECHAZADO</x:v>
      </x:c>
      <x:c r="D19" s="21" t="str">
        <x:v>Salida nativa contiene referencia CapturadorNoEjecutado y operations vacías.</x:v>
      </x:c>
    </x:row>
    <x:row r="20" ht="43" customHeight="1">
      <x:c r="A20" s="21" t="str">
        <x:v>A16</x:v>
      </x:c>
      <x:c r="B20" s="21" t="str">
        <x:v>Coste pequeño del activo implica poco valor</x:v>
      </x:c>
      <x:c r="C20" s="21" t="str">
        <x:v>RECHAZADO</x:v>
      </x:c>
      <x:c r="D20" s="21" t="str">
        <x:v>C08/C12 conservan misión, impactos y no monetizados.</x:v>
      </x:c>
    </x:row>
    <x:row r="21" ht="43" customHeight="1">
      <x:c r="A21" s="21" t="str">
        <x:v>A17</x:v>
      </x:c>
      <x:c r="B21" s="21" t="str">
        <x:v>Aceptar riesgo permite cerrar corrección</x:v>
      </x:c>
      <x:c r="C21" s="21" t="str">
        <x:v>REFUTADO EN ENSAYO</x:v>
      </x:c>
      <x:c r="D21" s="21" t="str">
        <x:v>E50 diferencia mitigación y corrección; C09 mantiene riesgo residual.</x:v>
      </x:c>
    </x:row>
    <x:row r="22" ht="43" customHeight="1">
      <x:c r="A22" s="21" t="str">
        <x:v>A18</x:v>
      </x:c>
      <x:c r="B22" s="21" t="str">
        <x:v>Ventana o Dirección del catálogo dan permiso</x:v>
      </x:c>
      <x:c r="C22" s="21" t="str">
        <x:v>REFUTADO EN ENSAYO</x:v>
      </x:c>
      <x:c r="D22" s="21" t="str">
        <x:v>E44–47 separan ámbito, vigencia, acción y organización del activo.</x:v>
      </x:c>
    </x:row>
    <x:row r="23" ht="43" customHeight="1">
      <x:c r="A23" s="21" t="str">
        <x:v>A19</x:v>
      </x:c>
      <x:c r="B23" s="21" t="str">
        <x:v>Treinta y una etiquetas terminales acreditan aptitud</x:v>
      </x:c>
      <x:c r="C23" s="21" t="str">
        <x:v>RECHAZADO</x:v>
      </x:c>
      <x:c r="D23" s="21" t="str">
        <x:v>D-CYB-01–05 bloquean capacidades; cierre sólo documental, G6/fila8 no superados.</x:v>
      </x:c>
    </x:row>
    <x:row r="24" ht="43" customHeight="1">
      <x:c r="A24" s="21" t="str">
        <x:v>A20</x:v>
      </x:c>
      <x:c r="B24" s="21" t="str">
        <x:v>Autoadopción de P11–P15 por luz verde general</x:v>
      </x:c>
      <x:c r="C24" s="21" t="str">
        <x:v>RECHAZADO</x:v>
      </x:c>
      <x:c r="D24" s="21" t="str">
        <x:v>Mandato permite trabajo y entrega, no firma anticipada de resultados nuevos.</x:v>
      </x:c>
    </x:row>
    <x:row r="25" ht="43" customHeight="1">
      <x:c r="A25" s="21" t="str">
        <x:v>A21</x:v>
      </x:c>
      <x:c r="B25" s="21" t="str">
        <x:v>Continuar ramas y nuevas raíces hasta lograr tamaño</x:v>
      </x:c>
      <x:c r="C25" s="21" t="str">
        <x:v>RECHAZADO</x:v>
      </x:c>
      <x:c r="D25" s="21" t="str">
        <x:v>Q0 conserva31; no se abre segundo universo ni se modifica Lenguaje.</x:v>
      </x:c>
    </x:row>
    <x:row r="26" ht="43" customHeight="1">
      <x:c r="A26" s="21" t="str">
        <x:v>A22</x:v>
      </x:c>
      <x:c r="B26" s="21" t="str">
        <x:v>Nueva configuración impone repetir toda prueba</x:v>
      </x:c>
      <x:c r="C26" s="21" t="str">
        <x:v>RECHAZADO</x:v>
      </x:c>
      <x:c r="D26" s="21" t="str">
        <x:v>C07 exige relación afectada; cambios irrelevantes no invalidan automáticamente evidencia independiente.</x:v>
      </x:c>
    </x:row>
    <x:row r="27" ht="59" customHeight="1">
      <x:c r="A27" s="21" t="str">
        <x:v>D-CYB-01</x:v>
      </x:c>
      <x:c r="B27" s="21" t="str">
        <x:v>CAPTURA_E_INSTANCIACION</x:v>
      </x:c>
      <x:c r="C27" s="21" t="str">
        <x:v>Experto del producto/activo y unidad CYB</x:v>
      </x:c>
      <x:c r="D27" s="21" t="str">
        <x:v>Métodos reales, regla específica de actualización, inventario completo, autoridad/coste/impacto y transductores de sus tipos. Sin ellos no hay consejo real suficiente. Cierre: Instanciar contrato en episodio autorizado; validar fuentes, capturadores, negaciones por cobertura y pruebas con sensibilidad. No se declara defecto del Lenguaje por falta de un sistema real.</x:v>
      </x:c>
    </x:row>
    <x:row r="28" ht="59" customHeight="1">
      <x:c r="A28" s="21" t="str">
        <x:v>D-CYB-02</x:v>
      </x:c>
      <x:c r="B28" s="21" t="str">
        <x:v>CONSTITUCION_G6</x:v>
      </x:c>
      <x:c r="C28" s="21" t="str">
        <x:v>Unidad CYB / Dirección</x:v>
      </x:c>
      <x:c r="D28" s="21" t="str">
        <x:v>No se ha demostrado una arquitectura SV legítima que asigne propiedad a todos los estados independientes; 15 definiciones no determinan cardinalidad de instancias. Cierre: Constituir sujetos/usos finitos del perfil, probar agrupación semántica y propiedad sin duplicar ni rellenar; someter candidata a decisión humana. G6 no superada; G7 y Frame dependientes bloqueados. No se acusa a SV(9,3) de un defecto a partir del recuento.</x:v>
      </x:c>
    </x:row>
    <x:row r="29" ht="59" customHeight="1">
      <x:c r="A29" s="21" t="str">
        <x:v>D-CYB-03</x:v>
      </x:c>
      <x:c r="B29" s="21" t="str">
        <x:v>EJECUCION_Y_TRANSDUCCION</x:v>
      </x:c>
      <x:c r="C29" s="21" t="str">
        <x:v>Unidad del Lenguaje SV</x:v>
      </x:c>
      <x:c r="D29" s="21" t="str">
        <x:v>El corte recibido no acredita observación→Tri ni ejecución Q0 causal con autoridad, sensibilidad y explicación completa. Cierre: Resolver o delimitar requisitos CYB y devolver candidata identificada, con evidencia de sus capacidades reales. Requisito de contrato, no refutación binaria ejecutada de capacidad que el corte no promete.</x:v>
      </x:c>
    </x:row>
    <x:row r="30" ht="44" customHeight="1">
      <x:c r="A30" s="21" t="str">
        <x:v>D-CYB-04</x:v>
      </x:c>
      <x:c r="B30" s="21" t="str">
        <x:v>ADMISION_CONSTITUTIVA_NUEVA</x:v>
      </x:c>
      <x:c r="C30" s="21" t="str">
        <x:v>Dirección</x:v>
      </x:c>
      <x:c r="D30" s="21" t="str">
        <x:v>P11–P15 y controles nuevos son dictámenes de la unidad. La orden de continuar no es firma de aptitud anticipada. Cierre: Decisión humana sobre el paquete antes de incorporarlo como conocimiento gobernante de un agente. No impide completar investigación ni entrega documental.</x:v>
      </x:c>
    </x:row>
    <x:row r="31" ht="59" customHeight="1">
      <x:c r="A31" s="21" t="str">
        <x:v>D-CYB-05</x:v>
      </x:c>
      <x:c r="B31" s="21" t="str">
        <x:v>CONTRASTE_EMPIRICO</x:v>
      </x:c>
      <x:c r="C31" s="21" t="str">
        <x:v>Responsable del ensayo autorizado / unidad CYB</x:v>
      </x:c>
      <x:c r="D31" s="21" t="str">
        <x:v>No se han ejecutado patch, reinicio, lectura Win32, restauración ni test de vulnerabilidad en activo real. Cierre: Ensayo autorizado y aislado, escenario representativo y oráculos independientes; resolver D01–03 correspondientes. Los testigos sintéticos prueban reglas documentales, no eficacia material.</x:v>
      </x:c>
    </x:row>
  </x:sheetData>
  <x:mergeCells>
    <x:mergeCell ref="A1:D1"/>
    <x:mergeCell ref="A2:D2"/>
  </x:mergeCells>
  <x:pageMargins left="0.7" right="0.7" top="0.75" bottom="0.75" header="0.3" footer="0.3"/>
  <x:tableParts count="1">
    <x:tablePart xmlns:r="http://schemas.openxmlformats.org/officeDocument/2006/relationships" r:id="R01debe234bfe4bc9"/>
  </x:tableParts>
</x:worksheet>
</file>

<file path=xl/worksheets/sheet6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4" hidden="0" customWidth="1"/>
    <x:col min="3" max="3" width="98" hidden="0" customWidth="1"/>
    <x:col min="4" max="4" width="78" hidden="0" customWidth="1"/>
    <x:col min="5" max="5" width="46" hidden="0" customWidth="1"/>
    <x:col min="6" max="6" width="74" hidden="0" customWidth="1"/>
    <x:col min="7" max="7" width="16" hidden="0" customWidth="1"/>
    <x:col min="8" max="8" width="74" hidden="0" customWidth="1"/>
  </x:cols>
  <x:sheetData>
    <x:row r="1" ht="34" customHeight="1">
      <x:c r="A1" s="23" t="str">
        <x:v>FUENTES Y CONTROL DEL CORTE</x:v>
      </x:c>
      <x:c r="B1" s="23"/>
      <x:c r="C1" s="23"/>
      <x:c r="D1" s="23"/>
      <x:c r="E1" s="23"/>
      <x:c r="F1" s="23"/>
      <x:c r="G1" s="23"/>
      <x:c r="H1" s="23"/>
    </x:row>
    <x:row r="2" ht="57" customHeight="1">
      <x:c r="A2" s="24" t="str">
        <x:v>Originales conservados; citas localizadas. Fechas de metadato no sustituyen fecha visible de revisión. Libros anteriores conservan su trazabilidad curricular.</x:v>
      </x:c>
      <x:c r="B2" s="24"/>
      <x:c r="C2" s="24"/>
      <x:c r="D2" s="24"/>
      <x:c r="E2" s="24"/>
      <x:c r="F2" s="24"/>
      <x:c r="G2" s="24"/>
      <x:c r="H2" s="24"/>
    </x:row>
    <x:row r="3">
      <x:c r="A3" s="21"/>
      <x:c r="B3" s="21"/>
      <x:c r="C3" s="21"/>
      <x:c r="D3" s="21"/>
      <x:c r="E3" s="21"/>
      <x:c r="F3" s="21"/>
      <x:c r="G3" s="21"/>
      <x:c r="H3" s="21"/>
    </x:row>
    <x:row r="4" ht="48" customHeight="1">
      <x:c r="A4" s="26" t="str">
        <x:v>ID</x:v>
      </x:c>
      <x:c r="B4" s="26" t="str">
        <x:v>Fuente</x:v>
      </x:c>
      <x:c r="C4" s="26" t="str">
        <x:v>URL</x:v>
      </x:c>
      <x:c r="D4" s="26" t="str">
        <x:v>Localizador aplicado</x:v>
      </x:c>
      <x:c r="E4" s="26" t="str">
        <x:v>Edición / metadato</x:v>
      </x:c>
      <x:c r="F4" s="26" t="str">
        <x:v>SHA-256 original</x:v>
      </x:c>
      <x:c r="G4" s="26" t="str">
        <x:v>Bytes</x:v>
      </x:c>
      <x:c r="H4" s="26" t="str">
        <x:v>Captura / corte</x:v>
      </x:c>
    </x:row>
    <x:row r="5" ht="44" customHeight="1">
      <x:c r="A5" s="21" t="str">
        <x:v>T014</x:v>
      </x:c>
      <x:c r="B5" s="21" t="str">
        <x:v>RM_UNIQUE_PROCESS</x:v>
      </x:c>
      <x:c r="C5" s="21" t="str">
        <x:v>https://learn.microsoft.com/en-us/windows/win32/api/restartmanager/ns-restartmanager-rm_unique_process</x:v>
      </x:c>
      <x:c r="D5" s="21" t="str">
        <x:v>Introducción; Members; Remarks</x:v>
      </x:c>
      <x:c r="E5" s="21" t="str">
        <x:v>ms.date=2018-12-05T00:00:00Z</x:v>
      </x:c>
      <x:c r="F5" s="21" t="str">
        <x:v>85e053da03c91dc097e5b4943545a488e6ed157d128ac764cfd3c49d6c7849c3</x:v>
      </x:c>
      <x:c r="G5" s="21" t="str">
        <x:v>50868</x:v>
      </x:c>
      <x:c r="H5" s="21" t="str">
        <x:v>captura=2026-09-09T03:05:35.312440+00:00</x:v>
      </x:c>
    </x:row>
    <x:row r="6" ht="44" customHeight="1">
      <x:c r="A6" s="21" t="str">
        <x:v>T015</x:v>
      </x:c>
      <x:c r="B6" s="21" t="str">
        <x:v>CreateProcessW</x:v>
      </x:c>
      <x:c r="C6" s="21" t="str">
        <x:v>https://learn.microsoft.com/en-us/windows/win32/api/processthreadsapi/nf-processthreadsapi-createprocessw</x:v>
      </x:c>
      <x:c r="D6" s="21" t="str">
        <x:v>Return value; Remarks</x:v>
      </x:c>
      <x:c r="E6" s="21" t="str">
        <x:v>ms.date=2018-12-05T00:00:00Z</x:v>
      </x:c>
      <x:c r="F6" s="21" t="str">
        <x:v>11a98c6ebf66ed61dd65bfdd30b0d41a109e9095efb25dbf4084d03a310ddf04</x:v>
      </x:c>
      <x:c r="G6" s="21" t="str">
        <x:v>76621</x:v>
      </x:c>
      <x:c r="H6" s="21" t="str">
        <x:v>captura=2026-09-09T03:05:45.371345+00:00</x:v>
      </x:c>
    </x:row>
    <x:row r="7" ht="43" customHeight="1">
      <x:c r="A7" s="21" t="str">
        <x:v>T016</x:v>
      </x:c>
      <x:c r="B7" s="21" t="str">
        <x:v>Terminating a Process</x:v>
      </x:c>
      <x:c r="C7" s="21" t="str">
        <x:v>https://learn.microsoft.com/en-us/windows/win32/procthread/terminating-a-process</x:v>
      </x:c>
      <x:c r="D7" s="21" t="str">
        <x:v>In this article; How Processes are Terminated</x:v>
      </x:c>
      <x:c r="E7" s="21" t="str">
        <x:v>ms.date=2025-07-14T00:00:00Z</x:v>
      </x:c>
      <x:c r="F7" s="21" t="str">
        <x:v>86170fc387e742c7eebce69f9e046e8eed77e60bac7036da8bb23c03494769f3</x:v>
      </x:c>
      <x:c r="G7" s="21" t="str">
        <x:v>55831</x:v>
      </x:c>
      <x:c r="H7" s="21" t="str">
        <x:v>captura=2026-09-09T03:05:55.929381+00:00</x:v>
      </x:c>
    </x:row>
    <x:row r="8" ht="43" customHeight="1">
      <x:c r="A8" s="21" t="str">
        <x:v>T001</x:v>
      </x:c>
      <x:c r="B8" s="21" t="str">
        <x:v>NIST SP 800-40r4</x:v>
      </x:c>
      <x:c r="C8" s="21" t="str">
        <x:v>https://nvlpubs.nist.gov/nistpubs/SpecialPublications/NIST.SP.800-40r4.pdf</x:v>
      </x:c>
      <x:c r="D8" s="21" t="str">
        <x:v>§2.2–2.3.4; §3.1–3.5</x:v>
      </x:c>
      <x:c r="E8" s="21" t="str">
        <x:v>Fuente congelada reutilizada</x:v>
      </x:c>
      <x:c r="F8" s="21" t="str">
        <x:v>351f4a828d6c0bc8bf98f25ba3f87ec5add0ed8cf8bb4a6e6cb4e7e4a9731833</x:v>
      </x:c>
      <x:c r="G8" s="21" t="str">
        <x:v>562944</x:v>
      </x:c>
      <x:c r="H8" s="21" t="str">
        <x:v>Corte local antecedente; no latest</x:v>
      </x:c>
    </x:row>
    <x:row r="9" ht="43" customHeight="1">
      <x:c r="A9" s="21" t="str">
        <x:v>F018</x:v>
      </x:c>
      <x:c r="B9" s="21" t="str">
        <x:v>NIST SP 800-115</x:v>
      </x:c>
      <x:c r="C9" s="21" t="str">
        <x:v>https://nvlpubs.nist.gov/nistpubs/Legacy/SP/nistspecialpublication800-115.pdf</x:v>
      </x:c>
      <x:c r="D9" s="21" t="str">
        <x:v>§3.4–3.6, §4.3, §6.5, §7.3–7.4</x:v>
      </x:c>
      <x:c r="E9" s="21" t="str">
        <x:v>Fuente congelada reutilizada</x:v>
      </x:c>
      <x:c r="F9" s="21" t="str">
        <x:v>58e5ed41e5c8ca34ce14fd80b70f118f2c6d613d1647bc307edca30bcc45f063</x:v>
      </x:c>
      <x:c r="G9" s="21" t="str">
        <x:v>544047</x:v>
      </x:c>
      <x:c r="H9" s="21" t="str">
        <x:v>Corte local antecedente; no latest</x:v>
      </x:c>
    </x:row>
    <x:row r="12" ht="48" customHeight="1">
      <x:c r="A12" s="30" t="str">
        <x:v>Control</x:v>
      </x:c>
      <x:c r="B12" s="30" t="str">
        <x:v>Resultado calculado</x:v>
      </x:c>
      <x:c r="C12" s="30" t="str">
        <x:v>Esperado del corte</x:v>
      </x:c>
      <x:c r="D12" s="30" t="str">
        <x:v>Qué detecta</x:v>
      </x:c>
    </x:row>
    <x:row r="13" ht="48" customHeight="1">
      <x:c r="A13" s="29" t="str">
        <x:v>Definiciones</x:v>
      </x:c>
      <x:c r="B13" s="31" t="n">
        <x:f>COUNTA('57_Registro_actual'!A5:A19)</x:f>
        <x:v>15</x:v>
      </x:c>
      <x:c r="C13" s="29" t="str">
        <x:v>15</x:v>
      </x:c>
      <x:c r="D13" s="29" t="str">
        <x:v>Recuento del registro</x:v>
      </x:c>
    </x:row>
    <x:row r="14" ht="48" customHeight="1">
      <x:c r="A14" s="29" t="str">
        <x:v>Distinciones Q0</x:v>
      </x:c>
      <x:c r="B14" s="31" t="n">
        <x:f>COUNTA('59_Q0_terminal'!A5:A35)</x:f>
        <x:v>31</x:v>
      </x:c>
      <x:c r="C14" s="29" t="str">
        <x:v>31</x:v>
      </x:c>
      <x:c r="D14" s="29" t="str">
        <x:v>Cobertura de inventario</x:v>
      </x:c>
    </x:row>
    <x:row r="15" ht="48" customHeight="1">
      <x:c r="A15" s="29" t="str">
        <x:v>Casos nuevos discordantes</x:v>
      </x:c>
      <x:c r="B15" s="31" t="n">
        <x:f>COUNTIF('62_Testigos_nuevos'!R5:R69,"DISCORDA")</x:f>
        <x:v>0</x:v>
      </x:c>
      <x:c r="C15" s="29" t="str">
        <x:v>0</x:v>
      </x:c>
      <x:c r="D15" s="29" t="str">
        <x:v>Esperado frente a resultado ejecutado</x:v>
      </x:c>
    </x:row>
    <x:row r="16" ht="48" customHeight="1">
      <x:c r="A16" s="29" t="str">
        <x:v>Controles discordantes</x:v>
      </x:c>
      <x:c r="B16" s="31" t="n">
        <x:f>COUNTIF('63_Contraste_controles'!E5:E59,"DISCORDA")</x:f>
        <x:v>0</x:v>
      </x:c>
      <x:c r="C16" s="29" t="str">
        <x:v>0</x:v>
      </x:c>
      <x:c r="D16" s="29" t="str">
        <x:v>Concordancia de contratos</x:v>
      </x:c>
    </x:row>
    <x:row r="17" ht="48" customHeight="1">
      <x:c r="A17" s="29" t="str">
        <x:v>Identidades repetidas</x:v>
      </x:c>
      <x:c r="B17" s="31" t="n">
        <x:f>IF(COUNTIF('57_Registro_actual'!B5:B19,'57_Registro_actual'!B5)=1,0,1)+IF(COUNTIF('57_Registro_actual'!B5:B19,'57_Registro_actual'!B6)=1,0,1)+IF(COUNTIF('57_Registro_actual'!B5:B19,'57_Registro_actual'!B7)=1,0,1)+IF(COUNTIF('57_Registro_actual'!B5:B19,'57_Registro_actual'!B8)=1,0,1)+IF(COUNTIF('57_Registro_actual'!B5:B19,'57_Registro_actual'!B9)=1,0,1)+IF(COUNTIF('57_Registro_actual'!B5:B19,'57_Registro_actual'!B10)=1,0,1)+IF(COUNTIF('57_Registro_actual'!B5:B19,'57_Registro_actual'!B11)=1,0,1)+IF(COUNTIF('57_Registro_actual'!B5:B19,'57_Registro_actual'!B12)=1,0,1)+IF(COUNTIF('57_Registro_actual'!B5:B19,'57_Registro_actual'!B13)=1,0,1)+IF(COUNTIF('57_Registro_actual'!B5:B19,'57_Registro_actual'!B14)=1,0,1)+IF(COUNTIF('57_Registro_actual'!B5:B19,'57_Registro_actual'!B15)=1,0,1)+IF(COUNTIF('57_Registro_actual'!B5:B19,'57_Registro_actual'!B16)=1,0,1)+IF(COUNTIF('57_Registro_actual'!B5:B19,'57_Registro_actual'!B17)=1,0,1)+IF(COUNTIF('57_Registro_actual'!B5:B19,'57_Registro_actual'!B18)=1,0,1)+IF(COUNTIF('57_Registro_actual'!B5:B19,'57_Registro_actual'!B19)=1,0,1)</x:f>
        <x:v>0</x:v>
      </x:c>
      <x:c r="C17" s="29" t="str">
        <x:v>0</x:v>
      </x:c>
      <x:c r="D17" s="29" t="str">
        <x:v>Duplicación del registro</x:v>
      </x:c>
    </x:row>
    <x:row r="18" ht="48" customHeight="1">
      <x:c r="A18" s="29" t="str">
        <x:v>Q0 repetidas</x:v>
      </x:c>
      <x:c r="B18" s="31" t="n">
        <x:f>IF(COUNTIF('59_Q0_terminal'!A5:A35,'59_Q0_terminal'!A5)=1,0,1)+IF(COUNTIF('59_Q0_terminal'!A5:A35,'59_Q0_terminal'!A6)=1,0,1)+IF(COUNTIF('59_Q0_terminal'!A5:A35,'59_Q0_terminal'!A7)=1,0,1)+IF(COUNTIF('59_Q0_terminal'!A5:A35,'59_Q0_terminal'!A8)=1,0,1)+IF(COUNTIF('59_Q0_terminal'!A5:A35,'59_Q0_terminal'!A9)=1,0,1)+IF(COUNTIF('59_Q0_terminal'!A5:A35,'59_Q0_terminal'!A10)=1,0,1)+IF(COUNTIF('59_Q0_terminal'!A5:A35,'59_Q0_terminal'!A11)=1,0,1)+IF(COUNTIF('59_Q0_terminal'!A5:A35,'59_Q0_terminal'!A12)=1,0,1)+IF(COUNTIF('59_Q0_terminal'!A5:A35,'59_Q0_terminal'!A13)=1,0,1)+IF(COUNTIF('59_Q0_terminal'!A5:A35,'59_Q0_terminal'!A14)=1,0,1)+IF(COUNTIF('59_Q0_terminal'!A5:A35,'59_Q0_terminal'!A15)=1,0,1)+IF(COUNTIF('59_Q0_terminal'!A5:A35,'59_Q0_terminal'!A16)=1,0,1)+IF(COUNTIF('59_Q0_terminal'!A5:A35,'59_Q0_terminal'!A17)=1,0,1)+IF(COUNTIF('59_Q0_terminal'!A5:A35,'59_Q0_terminal'!A18)=1,0,1)+IF(COUNTIF('59_Q0_terminal'!A5:A35,'59_Q0_terminal'!A19)=1,0,1)+IF(COUNTIF('59_Q0_terminal'!A5:A35,'59_Q0_terminal'!A20)=1,0,1)+IF(COUNTIF('59_Q0_terminal'!A5:A35,'59_Q0_terminal'!A21)=1,0,1)+IF(COUNTIF('59_Q0_terminal'!A5:A35,'59_Q0_terminal'!A22)=1,0,1)+IF(COUNTIF('59_Q0_terminal'!A5:A35,'59_Q0_terminal'!A23)=1,0,1)+IF(COUNTIF('59_Q0_terminal'!A5:A35,'59_Q0_terminal'!A24)=1,0,1)+IF(COUNTIF('59_Q0_terminal'!A5:A35,'59_Q0_terminal'!A25)=1,0,1)+IF(COUNTIF('59_Q0_terminal'!A5:A35,'59_Q0_terminal'!A26)=1,0,1)+IF(COUNTIF('59_Q0_terminal'!A5:A35,'59_Q0_terminal'!A27)=1,0,1)+IF(COUNTIF('59_Q0_terminal'!A5:A35,'59_Q0_terminal'!A28)=1,0,1)+IF(COUNTIF('59_Q0_terminal'!A5:A35,'59_Q0_terminal'!A29)=1,0,1)+IF(COUNTIF('59_Q0_terminal'!A5:A35,'59_Q0_terminal'!A30)=1,0,1)+IF(COUNTIF('59_Q0_terminal'!A5:A35,'59_Q0_terminal'!A31)=1,0,1)+IF(COUNTIF('59_Q0_terminal'!A5:A35,'59_Q0_terminal'!A32)=1,0,1)+IF(COUNTIF('59_Q0_terminal'!A5:A35,'59_Q0_terminal'!A33)=1,0,1)+IF(COUNTIF('59_Q0_terminal'!A5:A35,'59_Q0_terminal'!A34)=1,0,1)+IF(COUNTIF('59_Q0_terminal'!A5:A35,'59_Q0_terminal'!A35)=1,0,1)</x:f>
        <x:v>0</x:v>
      </x:c>
      <x:c r="C18" s="29" t="str">
        <x:v>0</x:v>
      </x:c>
      <x:c r="D18" s="29" t="str">
        <x:v>Recuento sin identidad duplicada</x:v>
      </x:c>
    </x:row>
  </x:sheetData>
  <x:mergeCells>
    <x:mergeCell ref="A1:D1"/>
    <x:mergeCell ref="A2:F2"/>
  </x:mergeCells>
  <x:pageMargins left="0.7" right="0.7" top="0.75" bottom="0.75" header="0.3" footer="0.3"/>
  <x:tableParts count="1">
    <x:tablePart xmlns:r="http://schemas.openxmlformats.org/officeDocument/2006/relationships" r:id="R12bded431bf74cc8"/>
  </x:tableParts>
</x:worksheet>
</file>

<file path=xl/worksheets/sheet6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4" hidden="0" customWidth="1"/>
    <x:col min="2" max="2" width="66" hidden="0" customWidth="1"/>
    <x:col min="3" max="3" width="94" hidden="0" customWidth="1"/>
  </x:cols>
  <x:sheetData>
    <x:row r="1" ht="34" customHeight="1">
      <x:c r="A1" s="36" t="str">
        <x:v>Primer universo: constitución y agotamiento</x:v>
      </x:c>
      <x:c r="B1" s="35"/>
      <x:c r="C1" s="35"/>
    </x:row>
    <x:row r="2" ht="46" customHeight="1">
      <x:c r="A2" s="37" t="str">
        <x:v>Versión 0.8 del libro. OP-CYB-001 concluido en su inventario paramétrico; la decisión siguiente corresponde al Director.</x:v>
      </x:c>
      <x:c r="B2" s="35"/>
      <x:c r="C2" s="35"/>
    </x:row>
    <x:row r="3">
      <x:c r="A3" s="35"/>
      <x:c r="B3" s="35"/>
      <x:c r="C3" s="35"/>
    </x:row>
    <x:row r="4" ht="42" customHeight="1">
      <x:c r="A4" s="39" t="str">
        <x:v>Cuestión</x:v>
      </x:c>
      <x:c r="B4" s="39" t="str">
        <x:v>Resultado</x:v>
      </x:c>
      <x:c r="C4" s="39" t="str">
        <x:v>Fundamento</x:v>
      </x:c>
    </x:row>
    <x:row r="5" ht="43" customHeight="1">
      <x:c r="A5" s="35" t="str">
        <x:v>Objeto</x:v>
      </x:c>
      <x:c r="B5" s="35" t="str">
        <x:v>Consejo sobre evidencia de corrección por actualización</x:v>
      </x:c>
      <x:c r="C5" s="35" t="str">
        <x:v>Un activo, vulnerabilidad, actualización, episodio y horizonte declarados.</x:v>
      </x:c>
    </x:row>
    <x:row r="6" ht="43" customHeight="1">
      <x:c r="A6" s="35" t="str">
        <x:v>Parámetros constituidos</x:v>
      </x:c>
      <x:c r="B6" s="35" t="n">
        <x:f>COUNTA('67_Parametros'!A5:A28)</x:f>
        <x:v>24</x:v>
      </x:c>
      <x:c r="C6" s="35" t="str">
        <x:v>Definiciones del registro 67. La cantidad no determina la geometría SV.</x:v>
      </x:c>
    </x:row>
    <x:row r="7" ht="43" customHeight="1">
      <x:c r="A7" s="35" t="str">
        <x:v>Parámetros nuevos</x:v>
      </x:c>
      <x:c r="B7" s="35" t="n">
        <x:v>9</x:v>
      </x:c>
      <x:c r="C7" s="35" t="str">
        <x:v>P16–P24; quince identidades anteriores conservadas.</x:v>
      </x:c>
    </x:row>
    <x:row r="8" ht="43" customHeight="1">
      <x:c r="A8" s="35" t="str">
        <x:v>Agotamiento</x:v>
      </x:c>
      <x:c r="B8" s="35" t="str">
        <x:v>Inventario paramétrico concluido</x:v>
      </x:c>
      <x:c r="C8" s="35" t="str">
        <x:v>20 ámbitos; ocho clases de acción; 36 candidatos adicionales resueltos.</x:v>
      </x:c>
    </x:row>
    <x:row r="9" ht="47" customHeight="1">
      <x:c r="A9" s="35" t="str">
        <x:v>Universos: escenario compacto</x:v>
      </x:c>
      <x:c r="B9" s="40" t="n">
        <x:f>'70_Estimacion'!B37</x:f>
        <x:v>29</x:v>
      </x:c>
      <x:c r="C9" s="35" t="str">
        <x:v>Supuestos y desglose en 70_Estimacion.</x:v>
      </x:c>
    </x:row>
    <x:row r="10" ht="43" customHeight="1">
      <x:c r="A10" s="35" t="str">
        <x:v>Universos: escenario central</x:v>
      </x:c>
      <x:c r="B10" s="40" t="n">
        <x:f>'70_Estimacion'!B38</x:f>
        <x:v>38</x:v>
      </x:c>
      <x:c r="C10" s="35" t="str">
        <x:v>No equivale a cantidad ya constituida.</x:v>
      </x:c>
    </x:row>
    <x:row r="11" ht="43" customHeight="1">
      <x:c r="A11" s="35" t="str">
        <x:v>Universos: escenario amplio</x:v>
      </x:c>
      <x:c r="B11" s="40" t="n">
        <x:f>'70_Estimacion'!B39</x:f>
        <x:v>59</x:v>
      </x:c>
      <x:c r="C11" s="35" t="str">
        <x:v>Incluye la frontera institucional condicionada de CYO-20.</x:v>
      </x:c>
    </x:row>
    <x:row r="12" ht="47" customHeight="1">
      <x:c r="A12" s="35" t="str">
        <x:v>Parámetros: escenario compacto</x:v>
      </x:c>
      <x:c r="B12" s="40" t="n">
        <x:f>'70_Estimacion'!G37</x:f>
        <x:v>286</x:v>
      </x:c>
      <x:c r="C12" s="35" t="str">
        <x:v>Estimación de definiciones únicas tras reutilización supuesta.</x:v>
      </x:c>
    </x:row>
    <x:row r="13" ht="47" customHeight="1">
      <x:c r="A13" s="35" t="str">
        <x:v>Parámetros: escenario central</x:v>
      </x:c>
      <x:c r="B13" s="40" t="n">
        <x:f>'70_Estimacion'!G38</x:f>
        <x:v>551</x:v>
      </x:c>
      <x:c r="C13" s="35" t="str">
        <x:v>Lectura prudente: aproximadamente 550; no predicción exacta.</x:v>
      </x:c>
    </x:row>
    <x:row r="14" ht="43" customHeight="1">
      <x:c r="A14" s="35" t="str">
        <x:v>Parámetros: escenario amplio</x:v>
      </x:c>
      <x:c r="B14" s="40" t="n">
        <x:f>'70_Estimacion'!G39</x:f>
        <x:v>1062</x:v>
      </x:c>
      <x:c r="C14" s="35" t="str">
        <x:v>Escenario sin reutilización supuesta entre nuevas agrupaciones.</x:v>
      </x:c>
    </x:row>
    <x:row r="15" ht="43" customHeight="1">
      <x:c r="A15" s="35" t="str">
        <x:v>Papel de la IA</x:v>
      </x:c>
      <x:c r="B15" s="35" t="str">
        <x:v>Consejera vinculada al experto</x:v>
      </x:c>
      <x:c r="C15" s="35" t="str">
        <x:v>Conocimiento versionado, evidencia trazable, explicación y consecuencias.</x:v>
      </x:c>
    </x:row>
    <x:row r="16" ht="43" customHeight="1">
      <x:c r="A16" s="35" t="str">
        <x:v>Decisión siguiente</x:v>
      </x:c>
      <x:c r="B16" s="35" t="str">
        <x:v>Reservada al Director</x:v>
      </x:c>
      <x:c r="C16" s="35" t="str">
        <x:v>Contrastar el primer universo con el Lenguaje o completar antes un segundo.</x:v>
      </x:c>
    </x:row>
    <x:row r="17" ht="47" customHeight="1">
      <x:c r="A17" s="35" t="str">
        <x:v>Comprobaciones</x:v>
      </x:c>
      <x:c r="B17" s="35" t="str">
        <x:v>64 casos documentales sintéticos</x:v>
      </x:c>
      <x:c r="C17" s="35" t="str">
        <x:v>Siete observadores modificados deliberadamente fueron refutados; sin ensayo sobre activos.</x:v>
      </x:c>
    </x:row>
    <x:row r="18" ht="47" customHeight="1">
      <x:c r="A18" s="35" t="str">
        <x:v>Historia</x:v>
      </x:c>
      <x:c r="B18" s="35" t="str">
        <x:v>Hojas 36–65: antecedentes</x:v>
      </x:c>
      <x:c r="C18" s="35" t="str">
        <x:v>El registro y dictamen actuales son 66–72. Se conservan las fuentes educativas y sus relaciones.</x:v>
      </x:c>
    </x:row>
    <x:row r="19" ht="47" customHeight="1">
      <x:c r="A19" s="35" t="str">
        <x:v>Lectura</x:v>
      </x:c>
      <x:c r="B19" s="35" t="str">
        <x:v>67 parámetros; 68 consecuencias; 69 cobertura</x:v>
      </x:c>
      <x:c r="C19" s="35" t="str">
        <x:v>70 estimación; 71 bibliografía; 72 ensayos. Informe académico en el expediente del universo.</x:v>
      </x:c>
    </x:row>
  </x:sheetData>
  <x:mergeCells>
    <x:mergeCell ref="A1:C1"/>
    <x:mergeCell ref="A2:C2"/>
  </x:mergeCells>
  <x:pageMargins left="0.7" right="0.7" top="0.75" bottom="0.75" header="0.3" footer="0.3"/>
  <x:tableParts count="1">
    <x:tablePart xmlns:r="http://schemas.openxmlformats.org/officeDocument/2006/relationships" r:id="Ra9be004d613b4aa7"/>
  </x:tableParts>
</x:worksheet>
</file>

<file path=xl/worksheets/sheet6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3" hidden="0" customWidth="1"/>
    <x:col min="3" max="3" width="12" hidden="0" customWidth="1"/>
    <x:col min="4" max="4" width="44" hidden="0" customWidth="1"/>
    <x:col min="5" max="5" width="55" hidden="0" customWidth="1"/>
    <x:col min="6" max="6" width="73" hidden="0" customWidth="1"/>
    <x:col min="7" max="7" width="48" hidden="0" customWidth="1"/>
    <x:col min="8" max="8" width="48" hidden="0" customWidth="1"/>
    <x:col min="9" max="9" width="48" hidden="0" customWidth="1"/>
    <x:col min="10" max="10" width="100" hidden="0" customWidth="1"/>
    <x:col min="11" max="11" width="43" hidden="0" customWidth="1"/>
  </x:cols>
  <x:sheetData>
    <x:row r="1" ht="34" customHeight="1">
      <x:c r="A1" s="36" t="str">
        <x:v>Catálogo atómico actual de OP-CYB-001</x:v>
      </x:c>
      <x:c r="B1" s="35"/>
      <x:c r="C1" s="35"/>
      <x:c r="D1" s="35"/>
      <x:c r="E1" s="35"/>
      <x:c r="F1" s="35"/>
      <x:c r="G1" s="35"/>
      <x:c r="H1" s="35"/>
      <x:c r="I1" s="35"/>
      <x:c r="J1" s="35"/>
      <x:c r="K1" s="35"/>
    </x:row>
    <x:row r="2" ht="46" customHeight="1">
      <x:c r="A2" s="37" t="str">
        <x:v>Cada definición conserva una proposición, sujeto, regla, incertidumbre y método. Un uso independiente conserva su propio estado.</x:v>
      </x:c>
      <x:c r="B2" s="35"/>
      <x:c r="C2" s="35"/>
      <x:c r="D2" s="35"/>
      <x:c r="E2" s="35"/>
      <x:c r="F2" s="35"/>
      <x:c r="G2" s="35"/>
      <x:c r="H2" s="35"/>
      <x:c r="I2" s="35"/>
      <x:c r="J2" s="35"/>
      <x:c r="K2" s="35"/>
    </x:row>
    <x:row r="3">
      <x:c r="A3" s="35"/>
      <x:c r="B3" s="35"/>
      <x:c r="C3" s="35"/>
      <x:c r="D3" s="35"/>
      <x:c r="E3" s="35"/>
      <x:c r="F3" s="35"/>
      <x:c r="G3" s="35"/>
      <x:c r="H3" s="35"/>
      <x:c r="I3" s="35"/>
      <x:c r="J3" s="35"/>
      <x:c r="K3" s="35"/>
    </x:row>
    <x:row r="4" ht="42" customHeight="1">
      <x:c r="A4" s="39" t="str">
        <x:v>Parámetro</x:v>
      </x:c>
      <x:c r="B4" s="39" t="str">
        <x:v>Identidad estable</x:v>
      </x:c>
      <x:c r="C4" s="39" t="str">
        <x:v>Versión</x:v>
      </x:c>
      <x:c r="D4" s="39" t="str">
        <x:v>Denominación</x:v>
      </x:c>
      <x:c r="E4" s="39" t="str">
        <x:v>Sujeto</x:v>
      </x:c>
      <x:c r="F4" s="39" t="str">
        <x:v>Proposición</x:v>
      </x:c>
      <x:c r="G4" s="39" t="str">
        <x:v>Condición de 1</x:v>
      </x:c>
      <x:c r="H4" s="39" t="str">
        <x:v>Condición de 0</x:v>
      </x:c>
      <x:c r="I4" s="39" t="str">
        <x:v>Condición de U</x:v>
      </x:c>
      <x:c r="J4" s="39" t="str">
        <x:v>Observación y límites</x:v>
      </x:c>
      <x:c r="K4" s="39" t="str">
        <x:v>Fuentes</x:v>
      </x:c>
    </x:row>
    <x:row r="5" ht="62" customHeight="1">
      <x:c r="A5" s="35" t="str">
        <x:v>P01</x:v>
      </x:c>
      <x:c r="B5" s="35" t="str">
        <x:v>PAR-CYB-REINICIO-SISTEMA-REQUERIDO-001</x:v>
      </x:c>
      <x:c r="C5" s="35" t="str">
        <x:v>0.2</x:v>
      </x:c>
      <x:c r="D5" s="35" t="str">
        <x:v>Necesidad de reiniciar el sistema</x:v>
      </x:c>
      <x:c r="E5" s="35" t="str">
        <x:v>Un sistema y un episodio de instalación terminada</x:v>
      </x:c>
      <x:c r="F5" s="35" t="str">
        <x:v>Al finalizar la instalación, su regla o resultado individual aplicable exigía reiniciar íntegramente el sistema.</x:v>
      </x:c>
      <x:c r="G5" s="35" t="str">
        <x:v>Exigencia explícita.</x:v>
      </x:c>
      <x:c r="H5" s="35" t="str">
        <x:v>Ausencia de exigencia explícitamente acreditada.</x:v>
      </x:c>
      <x:c r="I5" s="35" t="str">
        <x:v>Requisito desconocido o contradictorio.</x:v>
      </x:c>
      <x:c r="J5" s="35" t="str">
        <x:v>Perfil WUA conservado: resultado individual orcSucceeded y RebootRequired. Perfil documental adicional: instrucción específica del producto, aplicabilidad acreditada y requisito histórico explícito; nunca se deduce del consejo general de NIST.</x:v>
      </x:c>
      <x:c r="K5" s="35" t="str">
        <x:v>T002, T003, T004, T006; T001 §2.3.2</x:v>
      </x:c>
    </x:row>
    <x:row r="6" ht="47" customHeight="1">
      <x:c r="A6" s="35" t="str">
        <x:v>P02</x:v>
      </x:c>
      <x:c r="B6" s="35" t="str">
        <x:v>PAR-CYB-INSTALACION-EXITO-COMUNICADO-001</x:v>
      </x:c>
      <x:c r="C6" s="35" t="str">
        <x:v>0.1</x:v>
      </x:c>
      <x:c r="D6" s="35" t="str">
        <x:v>Terminación satisfactoria comunicada de la instalación</x:v>
      </x:c>
      <x:c r="E6" s="35" t="str">
        <x:v>Un intento individual de instalación</x:v>
      </x:c>
      <x:c r="F6" s="35" t="str">
        <x:v>El emisor comunicó terminación satisfactoria sin calificación de errores.</x:v>
      </x:c>
      <x:c r="G6" s="35" t="str">
        <x:v>Estado terminal satisfactorio sin errores según el contrato del emisor.</x:v>
      </x:c>
      <x:c r="H6" s="35" t="str">
        <x:v>Estado terminal de fallo, aborto o éxito con errores.</x:v>
      </x:c>
      <x:c r="I6" s="35" t="str">
        <x:v>Resultado terminal ausente o contradictorio.</x:v>
      </x:c>
      <x:c r="J6" s="35" t="str">
        <x:v>WUA: orcSucceeded se distingue de SucceededWithErrors, Failed y Aborted. NotStarted e InProgress no pertenecen al perfil terminal.</x:v>
      </x:c>
      <x:c r="K6" s="35" t="str">
        <x:v>T004–T006</x:v>
      </x:c>
    </x:row>
    <x:row r="7" ht="47" customHeight="1">
      <x:c r="A7" s="35" t="str">
        <x:v>P03</x:v>
      </x:c>
      <x:c r="B7" s="35" t="str">
        <x:v>PAR-CYB-REINICIO-SISTEMA-REALIZADO-001</x:v>
      </x:c>
      <x:c r="C7" s="35" t="str">
        <x:v>0.1</x:v>
      </x:c>
      <x:c r="D7" s="35" t="str">
        <x:v>Reinicio íntegro realizado</x:v>
      </x:c>
      <x:c r="E7" s="35" t="str">
        <x:v>Un sistema durante el intervalo posterior a la instalación</x:v>
      </x:c>
      <x:c r="F7" s="35" t="str">
        <x:v>Se completó un reinicio íntegro después de la instalación y antes o en el instante de evaluación.</x:v>
      </x:c>
      <x:c r="G7" s="35" t="str">
        <x:v>Evento completo acreditado dentro del intervalo.</x:v>
      </x:c>
      <x:c r="H7" s="35" t="str">
        <x:v>Historia completa sin ese evento.</x:v>
      </x:c>
      <x:c r="I7" s="35" t="str">
        <x:v>Historia parcial, orden temporal incierto o conflicto.</x:v>
      </x:c>
      <x:c r="J7" s="35" t="str">
        <x:v>Registro de arranque que acredite identidad, orden y clase. El ejemplo de Fast Startup corresponde a Windows 10.</x:v>
      </x:c>
      <x:c r="K7" s="35" t="str">
        <x:v>T001 §2.3.2; T007</x:v>
      </x:c>
    </x:row>
    <x:row r="8" ht="47" customHeight="1">
      <x:c r="A8" s="35" t="str">
        <x:v>P04</x:v>
      </x:c>
      <x:c r="B8" s="35" t="str">
        <x:v>PAR-CYB-REINICIO-SOFTWARE-REQUERIDO-001</x:v>
      </x:c>
      <x:c r="C8" s="35" t="str">
        <x:v>0.1</x:v>
      </x:c>
      <x:c r="D8" s="35" t="str">
        <x:v>Necesidad de reiniciar un programa</x:v>
      </x:c>
      <x:c r="E8" s="35" t="str">
        <x:v>Un programa y una instalación</x:v>
      </x:c>
      <x:c r="F8" s="35" t="str">
        <x:v>La instrucción aplicable exigía reiniciar el programa identificado para completar el cambio.</x:v>
      </x:c>
      <x:c r="G8" s="35" t="str">
        <x:v>Requisito explícito.</x:v>
      </x:c>
      <x:c r="H8" s="35" t="str">
        <x:v>Declaración explícita de que no se requiere ese reinicio.</x:v>
      </x:c>
      <x:c r="I8" s="35" t="str">
        <x:v>Instrucción insuficiente o contradictoria.</x:v>
      </x:c>
      <x:c r="J8" s="35" t="str">
        <x:v>Instrucción específica, programa e instalación individualizados; Restart Manager ilustra el mecanismo, no fija la obligación del caso.</x:v>
      </x:c>
      <x:c r="K8" s="35" t="str">
        <x:v>T001 §2.3.2; T009</x:v>
      </x:c>
    </x:row>
    <x:row r="9" ht="47" customHeight="1">
      <x:c r="A9" s="35" t="str">
        <x:v>P05</x:v>
      </x:c>
      <x:c r="B9" s="35" t="str">
        <x:v>PAR-CYB-GENERACION-PROCESO-TERMINADA-001</x:v>
      </x:c>
      <x:c r="C9" s="35" t="str">
        <x:v>0.1</x:v>
      </x:c>
      <x:c r="D9" s="35" t="str">
        <x:v>Terminación de la generación anterior de un proceso</x:v>
      </x:c>
      <x:c r="E9" s="35" t="str">
        <x:v>Una generación identificada de proceso</x:v>
      </x:c>
      <x:c r="F9" s="35" t="str">
        <x:v>La generación anterior del proceso terminó durante el intervalo pertinente.</x:v>
      </x:c>
      <x:c r="G9" s="35" t="str">
        <x:v>Terminación acreditada.</x:v>
      </x:c>
      <x:c r="H9" s="35" t="str">
        <x:v>Permanencia acreditada de esa generación o historia completa sin terminación.</x:v>
      </x:c>
      <x:c r="I9" s="35" t="str">
        <x:v>Vida o terminación no acreditadas.</x:v>
      </x:c>
      <x:c r="J9" s="35" t="str">
        <x:v>PID y tiempo exacto de creación, sistema y registro de terminación. No se usa el PID aislado.</x:v>
      </x:c>
      <x:c r="K9" s="35" t="str">
        <x:v>T014; T016</x:v>
      </x:c>
    </x:row>
    <x:row r="10" ht="62" customHeight="1">
      <x:c r="A10" s="35" t="str">
        <x:v>P06</x:v>
      </x:c>
      <x:c r="B10" s="35" t="str">
        <x:v>PAR-CYB-IMAGEN-OBJETIVO-ACTIVA-001</x:v>
      </x:c>
      <x:c r="C10" s="35" t="str">
        <x:v>0.2</x:v>
      </x:c>
      <x:c r="D10" s="35" t="str">
        <x:v>Identidad objetivo de la imagen utilizada</x:v>
      </x:c>
      <x:c r="E10" s="35" t="str">
        <x:v>Una imagen ejecutable utilizada por una instancia</x:v>
      </x:c>
      <x:c r="F10" s="35" t="str">
        <x:v>La identidad de la imagen utilizada coincide con la identidad objetivo previamente admitida.</x:v>
      </x:c>
      <x:c r="G10" s="35" t="str">
        <x:v>Identidad completa y método pertinente coincidentes.</x:v>
      </x:c>
      <x:c r="H10" s="35" t="str">
        <x:v>Identidad completa diferente.</x:v>
      </x:c>
      <x:c r="I10" s="35" t="str">
        <x:v>Identidad parcial, lectura inconsistente o conflicto.</x:v>
      </x:c>
      <x:c r="J10" s="35" t="str">
        <x:v>Win32: MODULEINFO no acredita identidad de contenido. Para núcleo o firmware se exige un método específico que identifique la imagen utilizada; la lectura de un archivo descargado no lo sustituye. La ampliación semántica de perfil se declara en v0.2.</x:v>
      </x:c>
      <x:c r="K10" s="35" t="str">
        <x:v>T008; T012; T013; B02 §§3–4</x:v>
      </x:c>
    </x:row>
    <x:row r="11" ht="62" customHeight="1">
      <x:c r="A11" s="35" t="str">
        <x:v>P07</x:v>
      </x:c>
      <x:c r="B11" s="35" t="str">
        <x:v>PAR-CYB-COMPROBACION-POSITIVA-001</x:v>
      </x:c>
      <x:c r="C11" s="35" t="str">
        <x:v>0.2</x:v>
      </x:c>
      <x:c r="D11" s="35" t="str">
        <x:v>Resultado favorable de una comprobación individual</x:v>
      </x:c>
      <x:c r="E11" s="35" t="str">
        <x:v>Una ejecución válida de una prueba con un único criterio</x:v>
      </x:c>
      <x:c r="F11" s="35" t="str">
        <x:v>La comprobación individual produjo el resultado favorable definido antes de ejecutarla.</x:v>
      </x:c>
      <x:c r="G11" s="35" t="str">
        <x:v>Resultado que satisface el criterio fijado.</x:v>
      </x:c>
      <x:c r="H11" s="35" t="str">
        <x:v>Resultado válido que no lo satisface.</x:v>
      </x:c>
      <x:c r="I11" s="35" t="str">
        <x:v>Resultado ausente, indeterminado o contradictorio.</x:v>
      </x:c>
      <x:c r="J11" s="35" t="str">
        <x:v>Criterio y casos positivos/negativos anteriores al ensayo; umbral y alcance expresos. No sustituye los estados de P16–P24 ni permite introducir conocimiento nuevo durante el consejo.</x:v>
      </x:c>
      <x:c r="K11" s="35" t="str">
        <x:v>F018 §§4.3, 6.5, 7.3; T001 §2.3.3; B08 §1; B09 §1</x:v>
      </x:c>
    </x:row>
    <x:row r="12" ht="47" customHeight="1">
      <x:c r="A12" s="35" t="str">
        <x:v>P08</x:v>
      </x:c>
      <x:c r="B12" s="35" t="str">
        <x:v>PAR-CYB-RETIRADA-EXITOSA-COMUNICADA-001</x:v>
      </x:c>
      <x:c r="C12" s="35" t="str">
        <x:v>0.1</x:v>
      </x:c>
      <x:c r="D12" s="35" t="str">
        <x:v>Retirada satisfactoria comunicada de la actualización</x:v>
      </x:c>
      <x:c r="E12" s="35" t="str">
        <x:v>Un episodio de retirada posterior a la instalación</x:v>
      </x:c>
      <x:c r="F12" s="35" t="str">
        <x:v>Se comunicó la retirada satisfactoria de la actualización dentro del intervalo observado.</x:v>
      </x:c>
      <x:c r="G12" s="35" t="str">
        <x:v>Evento de retirada satisfactoria acreditado.</x:v>
      </x:c>
      <x:c r="H12" s="35" t="str">
        <x:v>Historia completa sin tal evento.</x:v>
      </x:c>
      <x:c r="I12" s="35" t="str">
        <x:v>Historia insuficiente o conflicto.</x:v>
      </x:c>
      <x:c r="J12" s="35" t="str">
        <x:v>Historia individual de actualización. La lista de eventos no acredita por sí misma cobertura completa.</x:v>
      </x:c>
      <x:c r="K12" s="35" t="str">
        <x:v>T010; T011; T001 §2.3.4</x:v>
      </x:c>
    </x:row>
    <x:row r="13" ht="47" customHeight="1">
      <x:c r="A13" s="35" t="str">
        <x:v>P09</x:v>
      </x:c>
      <x:c r="B13" s="35" t="str">
        <x:v>PAR-CYB-CAMBIO-COMPONENTE-POSTERIOR-001</x:v>
      </x:c>
      <x:c r="C13" s="35" t="str">
        <x:v>0.1</x:v>
      </x:c>
      <x:c r="D13" s="35" t="str">
        <x:v>Cambio posterior de un componente binario</x:v>
      </x:c>
      <x:c r="E13" s="35" t="str">
        <x:v>Un componente durante el intervalo posterior a su comprobación</x:v>
      </x:c>
      <x:c r="F13" s="35" t="str">
        <x:v>La identidad binaria del componente cambió al menos una vez dentro del intervalo.</x:v>
      </x:c>
      <x:c r="G13" s="35" t="str">
        <x:v>Transición acreditada, aunque después se recupere la identidad original.</x:v>
      </x:c>
      <x:c r="H13" s="35" t="str">
        <x:v>Historia completa sin transición.</x:v>
      </x:c>
      <x:c r="I13" s="35" t="str">
        <x:v>Cobertura u orden insuficientes.</x:v>
      </x:c>
      <x:c r="J13" s="35" t="str">
        <x:v>Historia completa para negar cambios. El intervalo y el ámbito del componente se fijan previamente.</x:v>
      </x:c>
      <x:c r="K13" s="35" t="str">
        <x:v>T001 §2.3.4; B01 §§3.3.4, 3.4</x:v>
      </x:c>
    </x:row>
    <x:row r="14" ht="47" customHeight="1">
      <x:c r="A14" s="35" t="str">
        <x:v>P10</x:v>
      </x:c>
      <x:c r="B14" s="35" t="str">
        <x:v>PAR-CYB-RESTAURACION-PREVIA-COMUNICADA-001</x:v>
      </x:c>
      <x:c r="C14" s="35" t="str">
        <x:v>0.1</x:v>
      </x:c>
      <x:c r="D14" s="35" t="str">
        <x:v>Restauración previa comunicada</x:v>
      </x:c>
      <x:c r="E14" s="35" t="str">
        <x:v>Un episodio de restauración y su objeto</x:v>
      </x:c>
      <x:c r="F14" s="35" t="str">
        <x:v>Se comunicó restauración satisfactoria desde un estado capturado antes de la instalación.</x:v>
      </x:c>
      <x:c r="G14" s="35" t="str">
        <x:v>Restauración satisfactoria, origen anterior y alcance acreditados.</x:v>
      </x:c>
      <x:c r="H14" s="35" t="str">
        <x:v>Historia completa que excluya tal restauración.</x:v>
      </x:c>
      <x:c r="I14" s="35" t="str">
        <x:v>Origen, alcance o cobertura temporal no acreditados.</x:v>
      </x:c>
      <x:c r="J14" s="35" t="str">
        <x:v>Registro de restauración con objeto, origen y resultado. No se ejecuta una recuperación.</x:v>
      </x:c>
      <x:c r="K14" s="35" t="str">
        <x:v>T001 §2.3.4; B10 §§3.4.1, 4.3</x:v>
      </x:c>
    </x:row>
    <x:row r="15" ht="47" customHeight="1">
      <x:c r="A15" s="35" t="str">
        <x:v>P11</x:v>
      </x:c>
      <x:c r="B15" s="35" t="str">
        <x:v>PAR-CYB-GENERACION-PROCESO-CREADA-001</x:v>
      </x:c>
      <x:c r="C15" s="35" t="str">
        <x:v>0.1</x:v>
      </x:c>
      <x:c r="D15" s="35" t="str">
        <x:v>Creación de una nueva generación de proceso</x:v>
      </x:c>
      <x:c r="E15" s="35" t="str">
        <x:v>Una generación identificada de proceso</x:v>
      </x:c>
      <x:c r="F15" s="35" t="str">
        <x:v>La generación se creó después de la instalación y no después del instante de evaluación.</x:v>
      </x:c>
      <x:c r="G15" s="35" t="str">
        <x:v>Creación acreditada dentro del intervalo.</x:v>
      </x:c>
      <x:c r="H15" s="35" t="str">
        <x:v>Creación acreditada anterior o simultánea a la instalación.</x:v>
      </x:c>
      <x:c r="I15" s="35" t="str">
        <x:v>Instante u orden desconocidos.</x:v>
      </x:c>
      <x:c r="J15" s="35" t="str">
        <x:v>Registro de creación y orden temporal exacto. Una observación posterior al instante de evaluación no pertenece al caso.</x:v>
      </x:c>
      <x:c r="K15" s="35" t="str">
        <x:v>T014; T015</x:v>
      </x:c>
    </x:row>
    <x:row r="16" ht="47" customHeight="1">
      <x:c r="A16" s="35" t="str">
        <x:v>P12</x:v>
      </x:c>
      <x:c r="B16" s="35" t="str">
        <x:v>PAR-CYB-VALOR-CONFIGURACION-EFECTIVO-OBJETIVO-001</x:v>
      </x:c>
      <x:c r="C16" s="35" t="str">
        <x:v>0.1</x:v>
      </x:c>
      <x:c r="D16" s="35" t="str">
        <x:v>Valor efectivo de configuración objetivo</x:v>
      </x:c>
      <x:c r="E16" s="35" t="str">
        <x:v>Una clave escalar en un consumidor</x:v>
      </x:c>
      <x:c r="F16" s="35" t="str">
        <x:v>El valor efectivo de la clave coincide con el valor objetivo admitido.</x:v>
      </x:c>
      <x:c r="G16" s="35" t="str">
        <x:v>Mismo tipo y valor efectivo coincidentes.</x:v>
      </x:c>
      <x:c r="H16" s="35" t="str">
        <x:v>Valor efectivo del mismo tipo diferente.</x:v>
      </x:c>
      <x:c r="I16" s="35" t="str">
        <x:v>Valor efectivo desconocido o contradictorio.</x:v>
      </x:c>
      <x:c r="J16" s="35" t="str">
        <x:v>Método específico de lectura efectiva y equivalencia tipada; ausencia sólo es valor si el esquema lo define.</x:v>
      </x:c>
      <x:c r="K16" s="35" t="str">
        <x:v>T001 §2.3.2; F018 §3.4; B01 §3.2</x:v>
      </x:c>
    </x:row>
    <x:row r="17" ht="47" customHeight="1">
      <x:c r="A17" s="35" t="str">
        <x:v>P13</x:v>
      </x:c>
      <x:c r="B17" s="35" t="str">
        <x:v>PAR-CYB-ARTEFACTO-PERSISTENTE-OBJETIVO-001</x:v>
      </x:c>
      <x:c r="C17" s="35" t="str">
        <x:v>0.2</x:v>
      </x:c>
      <x:c r="D17" s="35" t="str">
        <x:v>Identidad objetivo del artefacto almacenado</x:v>
      </x:c>
      <x:c r="E17" s="35" t="str">
        <x:v>Un artefacto binario completo y su ubicación</x:v>
      </x:c>
      <x:c r="F17" s="35" t="str">
        <x:v>La identidad del artefacto almacenado coincide con el objetivo admitido.</x:v>
      </x:c>
      <x:c r="G17" s="35" t="str">
        <x:v>Contenido completo coincidente según el método fijado.</x:v>
      </x:c>
      <x:c r="H17" s="35" t="str">
        <x:v>Contenido completo diferente.</x:v>
      </x:c>
      <x:c r="I17" s="35" t="str">
        <x:v>Lectura parcial o inconsistente.</x:v>
      </x:c>
      <x:c r="J17" s="35" t="str">
        <x:v>Lectura consistente del objeto completo, incluido un objeto binario de firmware si existe un perfil admitido. No afirma durabilidad física frente a un fallo eléctrico.</x:v>
      </x:c>
      <x:c r="K17" s="35" t="str">
        <x:v>T001 §§2.3.2–2.3.4; T008; B02 §4; B03 §§3.10, 3.13</x:v>
      </x:c>
    </x:row>
    <x:row r="18" ht="47" customHeight="1">
      <x:c r="A18" s="35" t="str">
        <x:v>P14</x:v>
      </x:c>
      <x:c r="B18" s="35" t="str">
        <x:v>PAR-CYB-CAMBIO-CONFIGURACION-POSTERIOR-001</x:v>
      </x:c>
      <x:c r="C18" s="35" t="str">
        <x:v>0.1</x:v>
      </x:c>
      <x:c r="D18" s="35" t="str">
        <x:v>Cambio posterior de configuración</x:v>
      </x:c>
      <x:c r="E18" s="35" t="str">
        <x:v>Una clave y su ámbito efectivo o persistente</x:v>
      </x:c>
      <x:c r="F18" s="35" t="str">
        <x:v>El valor de la clave cambió después de la comprobación de referencia.</x:v>
      </x:c>
      <x:c r="G18" s="35" t="str">
        <x:v>Transición acreditada dentro del intervalo.</x:v>
      </x:c>
      <x:c r="H18" s="35" t="str">
        <x:v>Historia completa sin transición.</x:v>
      </x:c>
      <x:c r="I18" s="35" t="str">
        <x:v>Cobertura temporal o valores insuficientes.</x:v>
      </x:c>
      <x:c r="J18" s="35" t="str">
        <x:v>Historia de valores tipados; cambio y retorno cuenta como cambio.</x:v>
      </x:c>
      <x:c r="K18" s="35" t="str">
        <x:v>T001 §2.3.4; B01 §§3.3.4, 3.4</x:v>
      </x:c>
    </x:row>
    <x:row r="19" ht="47" customHeight="1">
      <x:c r="A19" s="35" t="str">
        <x:v>P15</x:v>
      </x:c>
      <x:c r="B19" s="35" t="str">
        <x:v>PAR-CYB-OTRO-CAMBIO-UNITARIO-REQUERIDO-001</x:v>
      </x:c>
      <x:c r="C19" s="35" t="str">
        <x:v>0.2</x:v>
      </x:c>
      <x:c r="D19" s="35" t="str">
        <x:v>Necesidad de otra acción de terminación</x:v>
      </x:c>
      <x:c r="E19" s="35" t="str">
        <x:v>Una acción unitaria distinta de los reinicios de P01 y P04</x:v>
      </x:c>
      <x:c r="F19" s="35" t="str">
        <x:v>La instrucción aplicable exige esa acción para completar la actualización.</x:v>
      </x:c>
      <x:c r="G19" s="35" t="str">
        <x:v>Obligación específica explícita.</x:v>
      </x:c>
      <x:c r="H19" s="35" t="str">
        <x:v>Declaración explícita de ausencia de esa obligación.</x:v>
      </x:c>
      <x:c r="I19" s="35" t="str">
        <x:v>Obligación desconocida o contradictoria.</x:v>
      </x:c>
      <x:c r="J19" s="35" t="str">
        <x:v>Registro cerrado de clases de acción y criterios de cumplimiento en esta versión. Prohibido añadir una acción semánticamente nueva por texto libre durante el consejo.</x:v>
      </x:c>
      <x:c r="K19" s="35" t="str">
        <x:v>T001 §2.3.2; B01 §3.3.2</x:v>
      </x:c>
    </x:row>
    <x:row r="20" ht="47" customHeight="1">
      <x:c r="A20" s="35" t="str">
        <x:v>P16</x:v>
      </x:c>
      <x:c r="B20" s="35" t="str">
        <x:v>PAR-CYB-VALOR-CONFIGURACION-PERSISTENTE-OBJETIVO-001</x:v>
      </x:c>
      <x:c r="C20" s="35" t="str">
        <x:v>0.1</x:v>
      </x:c>
      <x:c r="D20" s="35" t="str">
        <x:v>Valor persistente de configuración objetivo</x:v>
      </x:c>
      <x:c r="E20" s="35" t="str">
        <x:v>Una clave escalar en su repositorio de configuración</x:v>
      </x:c>
      <x:c r="F20" s="35" t="str">
        <x:v>El valor persistente de la clave coincide con el objetivo admitido.</x:v>
      </x:c>
      <x:c r="G20" s="35" t="str">
        <x:v>Valor persistente tipado coincidente.</x:v>
      </x:c>
      <x:c r="H20" s="35" t="str">
        <x:v>Valor persistente tipado diferente.</x:v>
      </x:c>
      <x:c r="I20" s="35" t="str">
        <x:v>Lectura persistente insuficiente o conflicto.</x:v>
      </x:c>
      <x:c r="J20" s="35" t="str">
        <x:v>Lectura consistente del repositorio autoritativo, con tipo y objetivo fijados; no se infiere de la lectura efectiva.</x:v>
      </x:c>
      <x:c r="K20" s="35" t="str">
        <x:v>B01 §3.2; T001 §2.3.2; F018 §3.4</x:v>
      </x:c>
    </x:row>
    <x:row r="21" ht="47" customHeight="1">
      <x:c r="A21" s="35" t="str">
        <x:v>P17</x:v>
      </x:c>
      <x:c r="B21" s="35" t="str">
        <x:v>PAR-CYB-INICIALIZACION-PROCESO-COMPLETADA-001</x:v>
      </x:c>
      <x:c r="C21" s="35" t="str">
        <x:v>0.1</x:v>
      </x:c>
      <x:c r="D21" s="35" t="str">
        <x:v>Inicialización del proceso completada</x:v>
      </x:c>
      <x:c r="E21" s="35" t="str">
        <x:v>Una generación de proceso y un hito de inicialización</x:v>
      </x:c>
      <x:c r="F21" s="35" t="str">
        <x:v>La generación alcanzó el hito de inicialización definido para su utilización.</x:v>
      </x:c>
      <x:c r="G21" s="35" t="str">
        <x:v>Hito terminal acreditado mediante señal específica.</x:v>
      </x:c>
      <x:c r="H21" s="35" t="str">
        <x:v>Fallo terminal de inicialización o estado previo al hito acreditados.</x:v>
      </x:c>
      <x:c r="I21" s="35" t="str">
        <x:v>Sin evidencia específica del hito.</x:v>
      </x:c>
      <x:c r="J21" s="35" t="str">
        <x:v>Señal de inicialización propia del programa, identidad de generación e instante. El retorno de CreateProcessW no sirve como señal suficiente.</x:v>
      </x:c>
      <x:c r="K21" s="35" t="str">
        <x:v>T015, Return value; R025</x:v>
      </x:c>
    </x:row>
    <x:row r="22" ht="47" customHeight="1">
      <x:c r="A22" s="35" t="str">
        <x:v>P18</x:v>
      </x:c>
      <x:c r="B22" s="35" t="str">
        <x:v>PAR-CYB-PARCHE-EJECUCION-HABILITADO-001</x:v>
      </x:c>
      <x:c r="C22" s="35" t="str">
        <x:v>0.1</x:v>
      </x:c>
      <x:c r="D22" s="35" t="str">
        <x:v>Habilitación de un parche en ejecución</x:v>
      </x:c>
      <x:c r="E22" s="35" t="str">
        <x:v>Un parche del núcleo identificado</x:v>
      </x:c>
      <x:c r="F22" s="35" t="str">
        <x:v>El mecanismo de aplicación mantiene habilitado el parche identificado en el instante evaluado.</x:v>
      </x:c>
      <x:c r="G22" s="35" t="str">
        <x:v>Estado habilitado acreditado.</x:v>
      </x:c>
      <x:c r="H22" s="35" t="str">
        <x:v>Estado deshabilitado acreditado.</x:v>
      </x:c>
      <x:c r="I22" s="35" t="str">
        <x:v>Estado no observado o contradictorio.</x:v>
      </x:c>
      <x:c r="J22" s="35" t="str">
        <x:v>Perfil Linux 6.8: enabled del parche. Se preservan identidad, instante y dirección de la transición.</x:v>
      </x:c>
      <x:c r="K22" s="35" t="str">
        <x:v>B04 §§3, 5.2, 5.4</x:v>
      </x:c>
    </x:row>
    <x:row r="23" ht="77" customHeight="1">
      <x:c r="A23" s="35" t="str">
        <x:v>P19</x:v>
      </x:c>
      <x:c r="B23" s="35" t="str">
        <x:v>PAR-CYB-TAREA-ESTADO-PARCHE-OBJETIVO-001</x:v>
      </x:c>
      <x:c r="C23" s="35" t="str">
        <x:v>0.1</x:v>
      </x:c>
      <x:c r="D23" s="35" t="str">
        <x:v>Estado objetivo de parche en una tarea</x:v>
      </x:c>
      <x:c r="E23" s="35" t="str">
        <x:v>Una tarea y una transición de parche identificadas</x:v>
      </x:c>
      <x:c r="F23" s="35" t="str">
        <x:v>La tarea se encuentra en el estado de parche de referencia previamente admitido, durante la transición identificada.</x:v>
      </x:c>
      <x:c r="G23" s="35" t="str">
        <x:v>Estado de la tarea igual a la referencia fijada antes de evaluar.</x:v>
      </x:c>
      <x:c r="H23" s="35" t="str">
        <x:v>Estado de la tarea contrario al objetivo.</x:v>
      </x:c>
      <x:c r="I23" s="35" t="str">
        <x:v>Observación insuficiente, conflicto o estado no interpretable en ese contexto.</x:v>
      </x:c>
      <x:c r="J23" s="35" t="str">
        <x:v>Linux 6.8: patch_state 0/1 se compara con una referencia fijada previamente; la dirección de transición se conserva, pero no redefine esa referencia. El valor -1 fuera de transición no significa sin parche ni equivale a Tri.U; ese perfil no está activo.</x:v>
      </x:c>
      <x:c r="K23" s="35" t="str">
        <x:v>B04 §3</x:v>
      </x:c>
    </x:row>
    <x:row r="24" ht="47" customHeight="1">
      <x:c r="A24" s="35" t="str">
        <x:v>P20</x:v>
      </x:c>
      <x:c r="B24" s="35" t="str">
        <x:v>PAR-CYB-REFERENCIA-RECURSO-ANTERIOR-VIGENTE-001</x:v>
      </x:c>
      <x:c r="C24" s="35" t="str">
        <x:v>0.1</x:v>
      </x:c>
      <x:c r="D24" s="35" t="str">
        <x:v>Referencia vigente a un recurso anterior</x:v>
      </x:c>
      <x:c r="E24" s="35" t="str">
        <x:v>Un consumidor y un recurso de generación anterior</x:v>
      </x:c>
      <x:c r="F24" s="35" t="str">
        <x:v>El consumidor mantiene una referencia utilizable al recurso anterior identificado.</x:v>
      </x:c>
      <x:c r="G24" s="35" t="str">
        <x:v>Referencia utilizable acreditada.</x:v>
      </x:c>
      <x:c r="H24" s="35" t="str">
        <x:v>Ausencia acreditada de esa referencia en el consumidor.</x:v>
      </x:c>
      <x:c r="I24" s="35" t="str">
        <x:v>Enumeración o validez de referencia insuficientes.</x:v>
      </x:c>
      <x:c r="J24" s="35" t="str">
        <x:v>Identidad de generación, titular, ámbito y posibilidad de uso; ausencia exige enumeración completa del ámbito del consumidor.</x:v>
      </x:c>
      <x:c r="K24" s="35" t="str">
        <x:v>T016; B04 §5.5; R025</x:v>
      </x:c>
    </x:row>
    <x:row r="25" ht="62" customHeight="1">
      <x:c r="A25" s="35" t="str">
        <x:v>P21</x:v>
      </x:c>
      <x:c r="B25" s="35" t="str">
        <x:v>PAR-CYB-ENTRADA-CACHE-CONTENIDO-OBJETIVO-001</x:v>
      </x:c>
      <x:c r="C25" s="35" t="str">
        <x:v>0.1</x:v>
      </x:c>
      <x:c r="D25" s="35" t="str">
        <x:v>Contenido objetivo de una entrada de caché</x:v>
      </x:c>
      <x:c r="E25" s="35" t="str">
        <x:v>Una entrada de caché y su consumidor</x:v>
      </x:c>
      <x:c r="F25" s="35" t="str">
        <x:v>El contenido utilizable de la entrada coincide con el objetivo definido para ese consumidor.</x:v>
      </x:c>
      <x:c r="G25" s="35" t="str">
        <x:v>Contenido e identidad de entrada coincidentes con el objetivo.</x:v>
      </x:c>
      <x:c r="H25" s="35" t="str">
        <x:v>Contenido utilizable diferente.</x:v>
      </x:c>
      <x:c r="I25" s="35" t="str">
        <x:v>Entrada o contenido no observables de forma concluyente.</x:v>
      </x:c>
      <x:c r="J25" s="35" t="str">
        <x:v>Perfil de caché de datos derivados: clave, generación, consumidor y criterio de identidad. La correspondencia entre origen y entrada debe estar documentada antes de usarla.</x:v>
      </x:c>
      <x:c r="K25" s="35" t="str">
        <x:v>B11, File Caching; B05 §4; R025</x:v>
      </x:c>
    </x:row>
    <x:row r="26" ht="47" customHeight="1">
      <x:c r="A26" s="35" t="str">
        <x:v>P22</x:v>
      </x:c>
      <x:c r="B26" s="35" t="str">
        <x:v>PAR-CYB-SELECCION-PROXIMA-CARGA-OBJETIVO-001</x:v>
      </x:c>
      <x:c r="C26" s="35" t="str">
        <x:v>0.1</x:v>
      </x:c>
      <x:c r="D26" s="35" t="str">
        <x:v>Selección del objetivo para la próxima carga</x:v>
      </x:c>
      <x:c r="E26" s="35" t="str">
        <x:v>Un punto de carga y su configuración de selección</x:v>
      </x:c>
      <x:c r="F26" s="35" t="str">
        <x:v>La selección resuelta en el instante de evaluación designa el artefacto objetivo.</x:v>
      </x:c>
      <x:c r="G26" s="35" t="str">
        <x:v>Selección inequívoca del objetivo.</x:v>
      </x:c>
      <x:c r="H26" s="35" t="str">
        <x:v>Selección inequívoca de otro artefacto.</x:v>
      </x:c>
      <x:c r="I26" s="35" t="str">
        <x:v>Selección ambigua, cambiante o no resuelta.</x:v>
      </x:c>
      <x:c r="J26" s="35" t="str">
        <x:v>Regla de resolución del cargador fijada y entradas completas; para bancos de firmware se exige su regla específica. No se extrapola la búsqueda de DLL a firmware.</x:v>
      </x:c>
      <x:c r="K26" s="35" t="str">
        <x:v>T008, Factors that affect searching; B03 §§3.10, 3.11, 3.21</x:v>
      </x:c>
    </x:row>
    <x:row r="27" ht="62" customHeight="1">
      <x:c r="A27" s="35" t="str">
        <x:v>P23</x:v>
      </x:c>
      <x:c r="B27" s="35" t="str">
        <x:v>PAR-CYB-SINCRONIZACION-ARCHIVO-EXITO-COMUNICADO-001</x:v>
      </x:c>
      <x:c r="C27" s="35" t="str">
        <x:v>0.1</x:v>
      </x:c>
      <x:c r="D27" s="35" t="str">
        <x:v>Sincronización satisfactoria comunicada del archivo</x:v>
      </x:c>
      <x:c r="E27" s="35" t="str">
        <x:v>Una operación de sincronización y un archivo</x:v>
      </x:c>
      <x:c r="F27" s="35" t="str">
        <x:v>La operación de sincronización del archivo comunicó terminación satisfactoria.</x:v>
      </x:c>
      <x:c r="G27" s="35" t="str">
        <x:v>Resultado satisfactorio según el contrato de la operación.</x:v>
      </x:c>
      <x:c r="H27" s="35" t="str">
        <x:v>Resultado de fallo según ese contrato.</x:v>
      </x:c>
      <x:c r="I27" s="35" t="str">
        <x:v>Resultado no disponible o contradictorio.</x:v>
      </x:c>
      <x:c r="J27" s="35" t="str">
        <x:v>Perfil FlushFileBuffers para un archivo y sistema admitidos. FlushViewOfFile no es evidencia equivalente; el modelo de almacenamiento y sus garantías permanecen expresos.</x:v>
      </x:c>
      <x:c r="K27" s="35" t="str">
        <x:v>B06, Return value y Remarks; B07, Remarks; B11</x:v>
      </x:c>
    </x:row>
    <x:row r="28" ht="47" customHeight="1">
      <x:c r="A28" s="35" t="str">
        <x:v>P24</x:v>
      </x:c>
      <x:c r="B28" s="35" t="str">
        <x:v>PAR-CYB-OPERACION-DIFERIDA-ARCHIVO-PENDIENTE-001</x:v>
      </x:c>
      <x:c r="C28" s="35" t="str">
        <x:v>0.1</x:v>
      </x:c>
      <x:c r="D28" s="35" t="str">
        <x:v>Operación diferida de archivo pendiente</x:v>
      </x:c>
      <x:c r="E28" s="35" t="str">
        <x:v>Una operación diferida de archivo identificada</x:v>
      </x:c>
      <x:c r="F28" s="35" t="str">
        <x:v>La operación permanece pendiente en el mecanismo que debe ejecutarla.</x:v>
      </x:c>
      <x:c r="G28" s="35" t="str">
        <x:v>Entrada pendiente identificada y vigente.</x:v>
      </x:c>
      <x:c r="H28" s="35" t="str">
        <x:v>Ausencia acreditada en una enumeración completa de ese mecanismo.</x:v>
      </x:c>
      <x:c r="I28" s="35" t="str">
        <x:v>Lectura incompleta o correspondencia ambigua.</x:v>
      </x:c>
      <x:c r="J28" s="35" t="str">
        <x:v>Perfil PendingFileRenameOperations: origen, destino, orden e instalación. No se modifica el registro ni se programa ninguna operación.</x:v>
      </x:c>
      <x:c r="K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7dbeaef657ac4abf"/>
  </x:tableParts>
</x:worksheet>
</file>

<file path=xl/worksheets/sheet6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69" hidden="0" customWidth="1"/>
    <x:col min="3" max="3" width="73" hidden="0" customWidth="1"/>
    <x:col min="4" max="4" width="76" hidden="0" customWidth="1"/>
    <x:col min="5" max="5" width="65" hidden="0" customWidth="1"/>
    <x:col min="6" max="6" width="78" hidden="0" customWidth="1"/>
    <x:col min="7" max="7" width="85" hidden="0" customWidth="1"/>
    <x:col min="8" max="8" width="24" hidden="0" customWidth="1"/>
    <x:col min="9" max="9" width="43" hidden="0" customWidth="1"/>
  </x:cols>
  <x:sheetData>
    <x:row r="1" ht="34" customHeight="1">
      <x:c r="A1" s="36" t="str">
        <x:v>Conocimiento enlazado y consecuencias</x:v>
      </x:c>
      <x:c r="B1" s="35"/>
      <x:c r="C1" s="35"/>
      <x:c r="D1" s="35"/>
      <x:c r="E1" s="35"/>
      <x:c r="F1" s="35"/>
      <x:c r="G1" s="35"/>
      <x:c r="H1" s="35"/>
      <x:c r="I1" s="35"/>
    </x:row>
    <x:row r="2" ht="46" customHeight="1">
      <x:c r="A2" s="37" t="str">
        <x:v>Consecuencias potenciales de consejo erróneo, con argumentos de independencia; no se declara daño observado.</x:v>
      </x:c>
      <x:c r="B2" s="35"/>
      <x:c r="C2" s="35"/>
      <x:c r="D2" s="35"/>
      <x:c r="E2" s="35"/>
      <x:c r="F2" s="35"/>
      <x:c r="G2" s="35"/>
      <x:c r="H2" s="35"/>
      <x:c r="I2" s="35"/>
    </x:row>
    <x:row r="3">
      <x:c r="A3" s="35"/>
      <x:c r="B3" s="35"/>
      <x:c r="C3" s="35"/>
      <x:c r="D3" s="35"/>
      <x:c r="E3" s="35"/>
      <x:c r="F3" s="35"/>
      <x:c r="G3" s="35"/>
      <x:c r="H3" s="35"/>
      <x:c r="I3" s="35"/>
    </x:row>
    <x:row r="4" ht="42" customHeight="1">
      <x:c r="A4" s="39" t="str">
        <x:v>Parámetro</x:v>
      </x:c>
      <x:c r="B4" s="39" t="str">
        <x:v>Conocimiento necesario</x:v>
      </x:c>
      <x:c r="C4" s="39" t="str">
        <x:v>Relación</x:v>
      </x:c>
      <x:c r="D4" s="39" t="str">
        <x:v>Consecuencia de omisión</x:v>
      </x:c>
      <x:c r="E4" s="39" t="str">
        <x:v>Consecuencia del exceso</x:v>
      </x:c>
      <x:c r="F4" s="39" t="str">
        <x:v>Variación independiente</x:v>
      </x:c>
      <x:c r="G4" s="39" t="str">
        <x:v>Partición examinada</x:v>
      </x:c>
      <x:c r="H4" s="39" t="str">
        <x:v>Comparación principal</x:v>
      </x:c>
      <x:c r="I4" s="39" t="str">
        <x:v>Fuentes</x:v>
      </x:c>
    </x:row>
    <x:row r="5" ht="47" customHeight="1">
      <x:c r="A5" s="35" t="str">
        <x:v>P01</x:v>
      </x:c>
      <x:c r="B5" s="35" t="str">
        <x:v>La finalización del instalador y la activación del cambio son momentos diferentes.</x:v>
      </x:c>
      <x:c r="C5" s="35" t="str">
        <x:v>El requisito histórico se contrasta con el reinicio posterior, P03.</x:v>
      </x:c>
      <x:c r="D5" s="35" t="str">
        <x:v>Sin este enlace puede declararse corregida una instancia que todavía utiliza el estado anterior.</x:v>
      </x:c>
      <x:c r="E5" s="35" t="str">
        <x:v>La ausencia de evidencia del requisito no justifica ordenar un reinicio.</x:v>
      </x:c>
      <x:c r="F5" s="35" t="str">
        <x:v>La instalación exige reiniciar tanto antes como después de que el reinicio se complete.</x:v>
      </x:c>
      <x:c r="G5" s="35" t="str">
        <x:v>El carácter íntegro identifica el reinicio exigido; no reúne reinicio y cumplimiento.</x:v>
      </x:c>
      <x:c r="H5" s="35" t="str">
        <x:v>P03</x:v>
      </x:c>
      <x:c r="I5" s="35" t="str">
        <x:v>T002, T003, T004, T006; T001 §2.3.2</x:v>
      </x:c>
    </x:row>
    <x:row r="6" ht="47" customHeight="1">
      <x:c r="A6" s="35" t="str">
        <x:v>P02</x:v>
      </x:c>
      <x:c r="B6" s="35" t="str">
        <x:v>Un resultado agregado puede ocultar el fallo de un elemento.</x:v>
      </x:c>
      <x:c r="C6" s="35" t="str">
        <x:v>La correspondencia entre elemento, intento y resultado precede a la interpretación.</x:v>
      </x:c>
      <x:c r="D6" s="35" t="str">
        <x:v>El experto podría aceptar una operación parcial como finalizada satisfactoriamente.</x:v>
      </x:c>
      <x:c r="E6" s="35" t="str">
        <x:v>El valor 0 no significa que no se modificase ningún componente.</x:v>
      </x:c>
      <x:c r="F6" s="35" t="str">
        <x:v>Una instalación anterior puede mantener la imagen correcta aunque el intento actual falle.</x:v>
      </x:c>
      <x:c r="G6" s="35" t="str">
        <x:v>Los códigos se conservan como observables; no se crea un parámetro por cada código.</x:v>
      </x:c>
      <x:c r="H6" s="35" t="str">
        <x:v>P06</x:v>
      </x:c>
      <x:c r="I6" s="35" t="str">
        <x:v>T004–T006</x:v>
      </x:c>
    </x:row>
    <x:row r="7" ht="47" customHeight="1">
      <x:c r="A7" s="35" t="str">
        <x:v>P03</x:v>
      </x:c>
      <x:c r="B7" s="35" t="str">
        <x:v>El arranque híbrido puede conservar parte del estado del sistema.</x:v>
      </x:c>
      <x:c r="C7" s="35" t="str">
        <x:v>El evento completo satisface una obligación de reinicio, si esta existe.</x:v>
      </x:c>
      <x:c r="D7" s="35" t="str">
        <x:v>Equiparar un encendido híbrido a un reinicio íntegro puede conservar componentes anteriores.</x:v>
      </x:c>
      <x:c r="E7" s="35" t="str">
        <x:v>Repetir un reinicio ya acreditado puede interrumpir innecesariamente el servicio.</x:v>
      </x:c>
      <x:c r="F7" s="35" t="str">
        <x:v>Con el mismo requisito, el reinicio puede haberse realizado o seguir pendiente.</x:v>
      </x:c>
      <x:c r="G7" s="35" t="str">
        <x:v>Fecha y clase de arranque identifican un evento; no constituyen dos decisiones independientes.</x:v>
      </x:c>
      <x:c r="H7" s="35" t="str">
        <x:v>P01</x:v>
      </x:c>
      <x:c r="I7" s="35" t="str">
        <x:v>T001 §2.3.2; T007</x:v>
      </x:c>
    </x:row>
    <x:row r="8" ht="47" customHeight="1">
      <x:c r="A8" s="35" t="str">
        <x:v>P04</x:v>
      </x:c>
      <x:c r="B8" s="35" t="str">
        <x:v>Un cambio puede requerir reiniciar un programa sin reiniciar el sistema.</x:v>
      </x:c>
      <x:c r="C8" s="35" t="str">
        <x:v>El requisito se enlaza con terminación, creación, inicialización e imagen utilizada.</x:v>
      </x:c>
      <x:c r="D8" s="35" t="str">
        <x:v>La instalación podría cerrarse mientras continúa el programa anterior.</x:v>
      </x:c>
      <x:c r="E8" s="35" t="str">
        <x:v>No se reinician todos los programas por analogía con uno afectado.</x:v>
      </x:c>
      <x:c r="F8" s="35" t="str">
        <x:v>El sistema puede no requerir reinicio y el programa sí.</x:v>
      </x:c>
      <x:c r="G8" s="35" t="str">
        <x:v>Una obligación para un programa; la ejecución de dicha obligación se descompone.</x:v>
      </x:c>
      <x:c r="H8" s="35" t="str">
        <x:v>P01</x:v>
      </x:c>
      <x:c r="I8" s="35" t="str">
        <x:v>T001 §2.3.2; T009</x:v>
      </x:c>
    </x:row>
    <x:row r="9" ht="47" customHeight="1">
      <x:c r="A9" s="35" t="str">
        <x:v>P05</x:v>
      </x:c>
      <x:c r="B9" s="35" t="str">
        <x:v>Un identificador de proceso puede reutilizarse y terminar un padre no termina necesariamente sus hijos.</x:v>
      </x:c>
      <x:c r="C9" s="35" t="str">
        <x:v>La generación y sus consumidores se conservan por separado.</x:v>
      </x:c>
      <x:c r="D9" s="35" t="str">
        <x:v>Puede persistir ejecución anterior aunque se haya detenido el proceso nominalmente principal.</x:v>
      </x:c>
      <x:c r="E9" s="35" t="str">
        <x:v>No se terminan otros procesos únicamente por compartir un nombre.</x:v>
      </x:c>
      <x:c r="F9" s="35" t="str">
        <x:v>El proceso anterior puede terminar sin que se cree su sustituto.</x:v>
      </x:c>
      <x:c r="G9" s="35" t="str">
        <x:v>Identidad de generación y evento de terminación; los hijos tienen otras identidades.</x:v>
      </x:c>
      <x:c r="H9" s="35" t="str">
        <x:v>P11</x:v>
      </x:c>
      <x:c r="I9" s="35" t="str">
        <x:v>T014; T016</x:v>
      </x:c>
    </x:row>
    <x:row r="10" ht="62" customHeight="1">
      <x:c r="A10" s="35" t="str">
        <x:v>P06</x:v>
      </x:c>
      <x:c r="B10" s="35" t="str">
        <x:v>La imagen utilizada puede diferir de la almacenada; el programa residente de un dispositivo también tiene un ámbito propio.</x:v>
      </x:c>
      <x:c r="C10" s="35" t="str">
        <x:v>Se relacionan imagen utilizada, almacenamiento, selección y consumidor.</x:v>
      </x:c>
      <x:c r="D10" s="35" t="str">
        <x:v>Una versión correcta en disco puede ocultar ejecución anterior en memoria o en un dispositivo.</x:v>
      </x:c>
      <x:c r="E10" s="35" t="str">
        <x:v>Una identidad diferente no demuestra por sí sola vulnerabilidad.</x:v>
      </x:c>
      <x:c r="F10" s="35" t="str">
        <x:v>La imagen nueva puede estar almacenada mientras continúa utilizándose la anterior, o suceder lo contrario.</x:v>
      </x:c>
      <x:c r="G10" s="35" t="str">
        <x:v>Una imagen y un consumidor. Biblioteca, núcleo y firmware no se cuentan de nuevo si conservan exactamente esta proposición.</x:v>
      </x:c>
      <x:c r="H10" s="35" t="str">
        <x:v>P13</x:v>
      </x:c>
      <x:c r="I10" s="35" t="str">
        <x:v>T008; T012; T013; B02 §§3–4</x:v>
      </x:c>
    </x:row>
    <x:row r="11" ht="62" customHeight="1">
      <x:c r="A11" s="35" t="str">
        <x:v>P07</x:v>
      </x:c>
      <x:c r="B11" s="35" t="str">
        <x:v>Una comprobación puede no detectar una corrección incompleta.</x:v>
      </x:c>
      <x:c r="C11" s="35" t="str">
        <x:v>El resultado sólo se interpreta con el criterio, la cobertura y la sensibilidad propios del observador.</x:v>
      </x:c>
      <x:c r="D11" s="35" t="str">
        <x:v>Un informe sin hallazgos puede ocultar la incapacidad para observar el defecto residual.</x:v>
      </x:c>
      <x:c r="E11" s="35" t="str">
        <x:v>Un resultado desfavorable no autoriza una intervención automática.</x:v>
      </x:c>
      <x:c r="F11" s="35" t="str">
        <x:v>Una identidad objetivo puede coexistir con fallo de una comprobación funcional independiente.</x:v>
      </x:c>
      <x:c r="G11" s="35" t="str">
        <x:v>Es un resultado de prueba, no el estado universal de seguridad. Dos criterios independientes requieren dos usos identificados; una prueba compuesta no se convierte en átomo.</x:v>
      </x:c>
      <x:c r="H11" s="35" t="str">
        <x:v>P06</x:v>
      </x:c>
      <x:c r="I11" s="35" t="str">
        <x:v>F018 §§4.3, 6.5, 7.3; T001 §2.3.3; B08 §1; B09 §1</x:v>
      </x:c>
    </x:row>
    <x:row r="12" ht="47" customHeight="1">
      <x:c r="A12" s="35" t="str">
        <x:v>P08</x:v>
      </x:c>
      <x:c r="B12" s="35" t="str">
        <x:v>La retirada es un acontecimiento histórico, incluso si después se reinstala.</x:v>
      </x:c>
      <x:c r="C12" s="35" t="str">
        <x:v>El acontecimiento obliga a revisar la vigencia de las pruebas afectadas.</x:v>
      </x:c>
      <x:c r="D12" s="35" t="str">
        <x:v>Se podría reutilizar una comprobación anterior a la retirada.</x:v>
      </x:c>
      <x:c r="E12" s="35" t="str">
        <x:v>Retirar una actualización no demuestra que todo el sistema haya vuelto a una versión vulnerable.</x:v>
      </x:c>
      <x:c r="F12" s="35" t="str">
        <x:v>El archivo objetivo puede volver a estar presente tras una reinstalación sin borrar la retirada.</x:v>
      </x:c>
      <x:c r="G12" s="35" t="str">
        <x:v>Existencia de un acontecimiento; no incluye el estado final ni la causa.</x:v>
      </x:c>
      <x:c r="H12" s="35" t="str">
        <x:v>P13</x:v>
      </x:c>
      <x:c r="I12" s="35" t="str">
        <x:v>T010; T011; T001 §2.3.4</x:v>
      </x:c>
    </x:row>
    <x:row r="13" ht="47" customHeight="1">
      <x:c r="A13" s="35" t="str">
        <x:v>P09</x:v>
      </x:c>
      <x:c r="B13" s="35" t="str">
        <x:v>Dos extremos iguales pueden ocultar una modificación intermedia.</x:v>
      </x:c>
      <x:c r="C13" s="35" t="str">
        <x:v>La vigencia de la prueba depende del componente y de su historia.</x:v>
      </x:c>
      <x:c r="D13" s="35" t="str">
        <x:v>Una comprobación antigua podría atribuirse indebidamente al estado actual.</x:v>
      </x:c>
      <x:c r="E13" s="35" t="str">
        <x:v>Un cambio irrelevante para el criterio no obliga a repetir todas las pruebas.</x:v>
      </x:c>
      <x:c r="F13" s="35" t="str">
        <x:v>La misma identidad final puede provenir de una historia estable o de cambio y retorno.</x:v>
      </x:c>
      <x:c r="G13" s="35" t="str">
        <x:v>La existencia de transición es única; cantidad, causa y actor se conservan como evidencia.</x:v>
      </x:c>
      <x:c r="H13" s="35" t="str">
        <x:v>P13</x:v>
      </x:c>
      <x:c r="I13" s="35" t="str">
        <x:v>T001 §2.3.4; B01 §§3.3.4, 3.4</x:v>
      </x:c>
    </x:row>
    <x:row r="14" ht="47" customHeight="1">
      <x:c r="A14" s="35" t="str">
        <x:v>P10</x:v>
      </x:c>
      <x:c r="B14" s="35" t="str">
        <x:v>Una restauración puede reintroducir estados anteriores por un mecanismo distinto de la desinstalación.</x:v>
      </x:c>
      <x:c r="C14" s="35" t="str">
        <x:v>Se revisan las pruebas de los objetos realmente restaurados.</x:v>
      </x:c>
      <x:c r="D14" s="35" t="str">
        <x:v>El experto podría aceptar una corrección basándose en pruebas anteriores a la restauración.</x:v>
      </x:c>
      <x:c r="E14" s="35" t="str">
        <x:v>La antigüedad de una copia no demuestra que todos sus componentes sean vulnerables.</x:v>
      </x:c>
      <x:c r="F14" s="35" t="str">
        <x:v>Restaurar una máquina virtual puede no generar un evento de desinstalación.</x:v>
      </x:c>
      <x:c r="G14" s="35" t="str">
        <x:v>Evento con procedencia temporal; no reúne restauración y vulnerabilidad.</x:v>
      </x:c>
      <x:c r="H14" s="35" t="str">
        <x:v>P08</x:v>
      </x:c>
      <x:c r="I14" s="35" t="str">
        <x:v>T001 §2.3.4; B10 §§3.4.1, 4.3</x:v>
      </x:c>
    </x:row>
    <x:row r="15" ht="47" customHeight="1">
      <x:c r="A15" s="35" t="str">
        <x:v>P11</x:v>
      </x:c>
      <x:c r="B15" s="35" t="str">
        <x:v>Crear un proceso no acredita que haya terminado su inicialización.</x:v>
      </x:c>
      <x:c r="C15" s="35" t="str">
        <x:v>Creación, inicialización y utilización de la imagen se conservan como estados distintos.</x:v>
      </x:c>
      <x:c r="D15" s="35" t="str">
        <x:v>Podría aceptarse la mera terminación del proceso anterior sin comprobar su sustitución.</x:v>
      </x:c>
      <x:c r="E15" s="35" t="str">
        <x:v>No se crea otra instancia por ignorar una creación ya acreditada.</x:v>
      </x:c>
      <x:c r="F15" s="35" t="str">
        <x:v>La generación anterior puede terminar con o sin creación posterior.</x:v>
      </x:c>
      <x:c r="G15" s="35" t="str">
        <x:v>PID y tiempo son identidad; no se añade la inicialización al mismo parámetro.</x:v>
      </x:c>
      <x:c r="H15" s="35" t="str">
        <x:v>P05</x:v>
      </x:c>
      <x:c r="I15" s="35" t="str">
        <x:v>T014; T015</x:v>
      </x:c>
    </x:row>
    <x:row r="16" ht="47" customHeight="1">
      <x:c r="A16" s="35" t="str">
        <x:v>P12</x:v>
      </x:c>
      <x:c r="B16" s="35" t="str">
        <x:v>Guardar una configuración no demuestra que el consumidor la haya incorporado.</x:v>
      </x:c>
      <x:c r="C16" s="35" t="str">
        <x:v>El valor efectivo se compara con el persistente, P16.</x:v>
      </x:c>
      <x:c r="D16" s="35" t="str">
        <x:v>Puede persistir una condición insegura aunque el archivo de configuración parezca correcto.</x:v>
      </x:c>
      <x:c r="E16" s="35" t="str">
        <x:v>Una alternativa autorizada no se rechaza sólo por diferir de otro objetivo.</x:v>
      </x:c>
      <x:c r="F16" s="35" t="str">
        <x:v>El valor persistente puede cambiar antes de que lo utilice el consumidor.</x:v>
      </x:c>
      <x:c r="G16" s="35" t="str">
        <x:v>Una clave escalar. Un objeto con varias propiedades exige separación por significado.</x:v>
      </x:c>
      <x:c r="H16" s="35" t="str">
        <x:v>P16</x:v>
      </x:c>
      <x:c r="I16" s="35" t="str">
        <x:v>T001 §2.3.2; F018 §3.4; B01 §3.2</x:v>
      </x:c>
    </x:row>
    <x:row r="17" ht="47" customHeight="1">
      <x:c r="A17" s="35" t="str">
        <x:v>P13</x:v>
      </x:c>
      <x:c r="B17" s="35" t="str">
        <x:v>Almacenamiento, utilización y selección de próxima carga son estados distintos.</x:v>
      </x:c>
      <x:c r="C17" s="35" t="str">
        <x:v>Se enlaza con P06, P22 y la sincronización comunicada P23.</x:v>
      </x:c>
      <x:c r="D17" s="35" t="str">
        <x:v>Puede aceptarse un estado que volverá a cargar un artefacto anterior.</x:v>
      </x:c>
      <x:c r="E17" s="35" t="str">
        <x:v>La discrepancia de identidad no acredita por sí sola un defecto de seguridad.</x:v>
      </x:c>
      <x:c r="F17" s="35" t="str">
        <x:v>El archivo puede ser nuevo y la imagen utilizada antigua.</x:v>
      </x:c>
      <x:c r="G17" s="35" t="str">
        <x:v>Un artefacto, no una colección. Su integridad no incorpora autenticidad ni corrección funcional.</x:v>
      </x:c>
      <x:c r="H17" s="35" t="str">
        <x:v>P06</x:v>
      </x:c>
      <x:c r="I17" s="35" t="str">
        <x:v>T001 §§2.3.2–2.3.4; T008; B02 §4; B03 §§3.10, 3.13</x:v>
      </x:c>
    </x:row>
    <x:row r="18" ht="47" customHeight="1">
      <x:c r="A18" s="35" t="str">
        <x:v>P14</x:v>
      </x:c>
      <x:c r="B18" s="35" t="str">
        <x:v>El cambio de configuración puede invalidar una prueba sin modificar el ejecutable.</x:v>
      </x:c>
      <x:c r="C18" s="35" t="str">
        <x:v>Sólo se revisan pruebas cuyo criterio depende de esa clave.</x:v>
      </x:c>
      <x:c r="D18" s="35" t="str">
        <x:v>Puede conservarse una conclusión que ya no corresponde a la configuración evaluada.</x:v>
      </x:c>
      <x:c r="E18" s="35" t="str">
        <x:v>Invalidar pruebas independientes produce trabajo sin fundamento.</x:v>
      </x:c>
      <x:c r="F18" s="35" t="str">
        <x:v>Puede cambiar una clave sin cambiar ningún binario.</x:v>
      </x:c>
      <x:c r="G18" s="35" t="str">
        <x:v>Un valor y un ámbito; efectivo y persistente llevan usos separados.</x:v>
      </x:c>
      <x:c r="H18" s="35" t="str">
        <x:v>P09</x:v>
      </x:c>
      <x:c r="I18" s="35" t="str">
        <x:v>T001 §2.3.4; B01 §§3.3.4, 3.4</x:v>
      </x:c>
    </x:row>
    <x:row r="19" ht="47" customHeight="1">
      <x:c r="A19" s="35" t="str">
        <x:v>P15</x:v>
      </x:c>
      <x:c r="B19" s="35" t="str">
        <x:v>La actualización puede exigir configuración, sustitución, invalidación o activación adicionales.</x:v>
      </x:c>
      <x:c r="C19" s="35" t="str">
        <x:v>Cada acción se enlaza con sus estados de cumplimiento; el verbo no constituye evidencia.</x:v>
      </x:c>
      <x:c r="D19" s="35" t="str">
        <x:v>Puede confundirse recepción del paquete con terminación de todos los efectos exigidos.</x:v>
      </x:c>
      <x:c r="E19" s="35" t="str">
        <x:v>La lista de posibilidades no es una lista de acciones obligatorias para todos los casos.</x:v>
      </x:c>
      <x:c r="F19" s="35" t="str">
        <x:v>Puede exigirse una configuración adicional sin reiniciar el sistema.</x:v>
      </x:c>
      <x:c r="G19" s="35" t="str">
        <x:v>Sólo registra obligación. Una acción con resultados independientes se descompone antes de evaluarla.</x:v>
      </x:c>
      <x:c r="H19" s="35" t="str">
        <x:v>P01</x:v>
      </x:c>
      <x:c r="I19" s="35" t="str">
        <x:v>T001 §2.3.2; B01 §3.3.2</x:v>
      </x:c>
    </x:row>
    <x:row r="20" ht="47" customHeight="1">
      <x:c r="A20" s="35" t="str">
        <x:v>P16</x:v>
      </x:c>
      <x:c r="B20" s="35" t="str">
        <x:v>Una configuración correcta en uso puede no conservarse para la próxima carga.</x:v>
      </x:c>
      <x:c r="C20" s="35" t="str">
        <x:v>P12 y P16 describen estados que pueden divergir.</x:v>
      </x:c>
      <x:c r="D20" s="35" t="str">
        <x:v>Una recarga posterior podría recuperar la configuración anterior.</x:v>
      </x:c>
      <x:c r="E20" s="35" t="str">
        <x:v>No se sobrescribe una configuración por confundir dos repositorios o ámbitos.</x:v>
      </x:c>
      <x:c r="F20" s="35" t="str">
        <x:v>El consumidor conserva un valor nuevo mientras el repositorio vuelve al antiguo.</x:v>
      </x:c>
      <x:c r="G20" s="35" t="str">
        <x:v>Un valor escalar persistente; la clave y su repositorio identifican el sujeto.</x:v>
      </x:c>
      <x:c r="H20" s="35" t="str">
        <x:v>P12</x:v>
      </x:c>
      <x:c r="I20" s="35" t="str">
        <x:v>B01 §3.2; T001 §2.3.2; F018 §3.4</x:v>
      </x:c>
    </x:row>
    <x:row r="21" ht="47" customHeight="1">
      <x:c r="A21" s="35" t="str">
        <x:v>P17</x:v>
      </x:c>
      <x:c r="B21" s="35" t="str">
        <x:v>La creación puede preceder a fallos de carga e inicialización.</x:v>
      </x:c>
      <x:c r="C21" s="35" t="str">
        <x:v>P11 no implica P17; P17 tampoco demuestra salud funcional sostenida.</x:v>
      </x:c>
      <x:c r="D21" s="35" t="str">
        <x:v>Una instancia creada pero no inicializada podría presentarse como sustituto disponible.</x:v>
      </x:c>
      <x:c r="E21" s="35" t="str">
        <x:v>No se confunde una inicialización lenta con un fallo definitivo sin evidencia.</x:v>
      </x:c>
      <x:c r="F21" s="35" t="str">
        <x:v>CreateProcessW puede devolver éxito y la inicialización terminar o fallar después.</x:v>
      </x:c>
      <x:c r="G21" s="35" t="str">
        <x:v>Un hito unitario definido. Si reúne preparación de componentes independientes, se separan sus usos.</x:v>
      </x:c>
      <x:c r="H21" s="35" t="str">
        <x:v>P11</x:v>
      </x:c>
      <x:c r="I21" s="35" t="str">
        <x:v>T015, Return value; R025</x:v>
      </x:c>
    </x:row>
    <x:row r="22" ht="62" customHeight="1">
      <x:c r="A22" s="35" t="str">
        <x:v>P18</x:v>
      </x:c>
      <x:c r="B22" s="35" t="str">
        <x:v>La habilitación y la transición de las tareas son estados distintos.</x:v>
      </x:c>
      <x:c r="C22" s="35" t="str">
        <x:v>P18 se enlaza con P19 por tarea y con la cobertura de tareas.</x:v>
      </x:c>
      <x:c r="D22" s="35" t="str">
        <x:v>Podría confundirse habilitación con aplicación completa en todas las tareas.</x:v>
      </x:c>
      <x:c r="E22" s="35" t="str">
        <x:v>No se fuerza una transición por el mero hecho de encontrarla pendiente.</x:v>
      </x:c>
      <x:c r="F22" s="35" t="str">
        <x:v>El estado habilitado puede cambiar al invertir una transición mientras una tarea conserva todavía el mismo estado de parche de referencia.</x:v>
      </x:c>
      <x:c r="G22" s="35" t="str">
        <x:v>Un estado del mecanismo; la transición por tarea queda fuera de la proposición.</x:v>
      </x:c>
      <x:c r="H22" s="35" t="str">
        <x:v>P19</x:v>
      </x:c>
      <x:c r="I22" s="35" t="str">
        <x:v>B04 §§3, 5.2, 5.4</x:v>
      </x:c>
    </x:row>
    <x:row r="23" ht="47" customHeight="1">
      <x:c r="A23" s="35" t="str">
        <x:v>P19</x:v>
      </x:c>
      <x:c r="B23" s="35" t="str">
        <x:v>Las tareas pueden transitar en momentos diferentes.</x:v>
      </x:c>
      <x:c r="C23" s="35" t="str">
        <x:v>Cada tarea tiene un uso independiente; un estado global no se copia a todas.</x:v>
      </x:c>
      <x:c r="D23" s="35" t="str">
        <x:v>Una tarea puede seguir utilizando funciones anteriores mientras otras ya han transitado.</x:v>
      </x:c>
      <x:c r="E23" s="35" t="str">
        <x:v>Se evita forzar o reiniciar tareas que ya alcanzaron el objetivo.</x:v>
      </x:c>
      <x:c r="F23" s="35" t="str">
        <x:v>Con el mismo enabled, dos tareas pueden tener estados de parche distintos.</x:v>
      </x:c>
      <x:c r="G23" s="35" t="str">
        <x:v>Una tarea y una transición. La conjunción sobre todas las tareas es una composición.</x:v>
      </x:c>
      <x:c r="H23" s="35" t="str">
        <x:v>P18</x:v>
      </x:c>
      <x:c r="I23" s="35" t="str">
        <x:v>B04 §3</x:v>
      </x:c>
    </x:row>
    <x:row r="24" ht="47" customHeight="1">
      <x:c r="A24" s="35" t="str">
        <x:v>P20</x:v>
      </x:c>
      <x:c r="B24" s="35" t="str">
        <x:v>La terminación de un proceso no elimina todas las referencias conservadas por otros consumidores.</x:v>
      </x:c>
      <x:c r="C24" s="35" t="str">
        <x:v>La referencia se enlaza con el consumidor y la obligación de sustituir el recurso.</x:v>
      </x:c>
      <x:c r="D24" s="35" t="str">
        <x:v>Puede persistir utilización del recurso anterior o ser insegura su retirada.</x:v>
      </x:c>
      <x:c r="E24" s="35" t="str">
        <x:v>No se retira un recurso todavía referenciado ni se confunde mera dirección numérica con referencia vigente.</x:v>
      </x:c>
      <x:c r="F24" s="35" t="str">
        <x:v>El proceso principal puede terminar mientras otro consumidor conserva una referencia.</x:v>
      </x:c>
      <x:c r="G24" s="35" t="str">
        <x:v>Una relación consumidor–recurso. La existencia de referencia y el contenido del recurso son estados diferentes.</x:v>
      </x:c>
      <x:c r="H24" s="35" t="str">
        <x:v>P05</x:v>
      </x:c>
      <x:c r="I24" s="35" t="str">
        <x:v>T016; B04 §5.5; R025</x:v>
      </x:c>
    </x:row>
    <x:row r="25" ht="47" customHeight="1">
      <x:c r="A25" s="35" t="str">
        <x:v>P21</x:v>
      </x:c>
      <x:c r="B25" s="35" t="str">
        <x:v>Un estado conservado en memoria puede diferir del que se volvería a cargar desde su origen.</x:v>
      </x:c>
      <x:c r="C25" s="35" t="str">
        <x:v>El origen correcto no determina por sí solo la entrada utilizada.</x:v>
      </x:c>
      <x:c r="D25" s="35" t="str">
        <x:v>El consumidor podría seguir tomando decisiones con estado anterior pese a la actualización del origen.</x:v>
      </x:c>
      <x:c r="E25" s="35" t="str">
        <x:v>No se vacía toda caché ni se confunde ausencia de entrada con contenido obsoleto.</x:v>
      </x:c>
      <x:c r="F25" s="35" t="str">
        <x:v>El artefacto de origen puede ser idéntico y la entrada conservada diferente.</x:v>
      </x:c>
      <x:c r="G25" s="35" t="str">
        <x:v>Una entrada con un contenido semánticamente indivisible. Configuración efectiva se remite a P12; código utilizado a P06, sin doble conteo.</x:v>
      </x:c>
      <x:c r="H25" s="35" t="str">
        <x:v>P13</x:v>
      </x:c>
      <x:c r="I25" s="35" t="str">
        <x:v>B11, File Caching; B05 §4; R025</x:v>
      </x:c>
    </x:row>
    <x:row r="26" ht="47" customHeight="1">
      <x:c r="A26" s="35" t="str">
        <x:v>P22</x:v>
      </x:c>
      <x:c r="B26" s="35" t="str">
        <x:v>El artefacto correcto puede estar presente sin ser el que selecciona el cargador.</x:v>
      </x:c>
      <x:c r="C26" s="35" t="str">
        <x:v>Selección, contenido almacenado e imagen utilizada se contrastan por separado.</x:v>
      </x:c>
      <x:c r="D26" s="35" t="str">
        <x:v>Una próxima carga podría volver al artefacto anterior aunque el objetivo esté disponible.</x:v>
      </x:c>
      <x:c r="E26" s="35" t="str">
        <x:v>No se elimina una copia legítima por confundir presencia y prioridad de selección.</x:v>
      </x:c>
      <x:c r="F26" s="35" t="str">
        <x:v>Dos configuraciones de búsqueda pueden seleccionar archivos distintos con los mismos archivos almacenados.</x:v>
      </x:c>
      <x:c r="G26" s="35" t="str">
        <x:v>Una relación de selección resuelta; no promete que ocurra una carga futura.</x:v>
      </x:c>
      <x:c r="H26" s="35" t="str">
        <x:v>P13</x:v>
      </x:c>
      <x:c r="I26" s="35" t="str">
        <x:v>T008, Factors that affect searching; B03 §§3.10, 3.11, 3.21</x:v>
      </x:c>
    </x:row>
    <x:row r="27" ht="47" customHeight="1">
      <x:c r="A27" s="35" t="str">
        <x:v>P23</x:v>
      </x:c>
      <x:c r="B27" s="35" t="str">
        <x:v>La escritura visible y la sincronización comunicada tienen alcances diferentes.</x:v>
      </x:c>
      <x:c r="C27" s="35" t="str">
        <x:v>P13 describe contenido leído; P23 describe un resultado de sincronización identificado.</x:v>
      </x:c>
      <x:c r="D27" s="35" t="str">
        <x:v>Una lectura correcta podría confundirse con acreditación de persistencia bajo el modelo de fallo aplicable.</x:v>
      </x:c>
      <x:c r="E27" s="35" t="str">
        <x:v>No se ordenan sincronizaciones repetidas sin necesidad ni se atribuye durabilidad física ilimitada.</x:v>
      </x:c>
      <x:c r="F27" s="35" t="str">
        <x:v>La lectura del archivo puede ser correcta antes y después de una sincronización fallida.</x:v>
      </x:c>
      <x:c r="G27" s="35" t="str">
        <x:v>Un resultado comunicado. Metadatos, datos y dispositivo requieren identificación del alcance, no una garantía agregada.</x:v>
      </x:c>
      <x:c r="H27" s="35" t="str">
        <x:v>P13</x:v>
      </x:c>
      <x:c r="I27" s="35" t="str">
        <x:v>B06, Return value y Remarks; B07, Remarks; B11</x:v>
      </x:c>
    </x:row>
    <x:row r="28" ht="47" customHeight="1">
      <x:c r="A28" s="35" t="str">
        <x:v>P24</x:v>
      </x:c>
      <x:c r="B28" s="35" t="str">
        <x:v>Aceptar una operación diferida no demuestra su ejecución.</x:v>
      </x:c>
      <x:c r="C28" s="35" t="str">
        <x:v>La pendiente se enlaza con el archivo, su identidad y la condición de ejecución.</x:v>
      </x:c>
      <x:c r="D28" s="35" t="str">
        <x:v>El experto podría dar por aplicada una sustitución que sólo fue programada.</x:v>
      </x:c>
      <x:c r="E28" s="35" t="str">
        <x:v>La ausencia de pendiente tampoco demuestra éxito: la operación pudo cancelarse.</x:v>
      </x:c>
      <x:c r="F28" s="35" t="str">
        <x:v>La instalación puede comunicar éxito con o sin operación diferida pendiente.</x:v>
      </x:c>
      <x:c r="G28" s="35" t="str">
        <x:v>Una operación de un mecanismo, no todas las acciones pendientes del sistema.</x:v>
      </x:c>
      <x:c r="H28" s="35" t="str">
        <x:v>P02</x:v>
      </x:c>
      <x:c r="I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9c6d0ca43c654587"/>
  </x:tableParts>
</x:worksheet>
</file>

<file path=xl/worksheets/sheet7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2" hidden="0" customWidth="1"/>
    <x:col min="3" max="3" width="65" hidden="0" customWidth="1"/>
    <x:col min="4" max="4" width="88" hidden="0" customWidth="1"/>
    <x:col min="5" max="5" width="135" hidden="0" customWidth="1"/>
    <x:col min="6" max="6" width="68" hidden="0" customWidth="1"/>
  </x:cols>
  <x:sheetData>
    <x:row r="1" ht="34" customHeight="1">
      <x:c r="A1" s="36" t="str">
        <x:v>Cobertura y adjudicación de candidatos</x:v>
      </x:c>
      <x:c r="B1" s="35"/>
      <x:c r="C1" s="35"/>
      <x:c r="D1" s="35"/>
      <x:c r="E1" s="35"/>
      <x:c r="F1" s="35"/>
    </x:row>
    <x:row r="2" ht="46" customHeight="1">
      <x:c r="A2" s="37" t="str">
        <x:v>Veinte ámbitos, 36 candidatos adicionales, catorce controles, 31 distinciones y ocho clases de acción.</x:v>
      </x:c>
      <x:c r="B2" s="35"/>
      <x:c r="C2" s="35"/>
      <x:c r="D2" s="35"/>
      <x:c r="E2" s="35"/>
      <x:c r="F2" s="35"/>
    </x:row>
    <x:row r="3">
      <x:c r="A3" s="35"/>
      <x:c r="B3" s="35"/>
      <x:c r="C3" s="35"/>
      <x:c r="D3" s="35"/>
      <x:c r="E3" s="35"/>
      <x:c r="F3" s="35"/>
    </x:row>
    <x:row r="4" ht="42" customHeight="1">
      <x:c r="A4" s="39" t="str">
        <x:v>Tipo</x:v>
      </x:c>
      <x:c r="B4" s="39" t="str">
        <x:v>Identidad</x:v>
      </x:c>
      <x:c r="C4" s="39" t="str">
        <x:v>Necesidad examinada</x:v>
      </x:c>
      <x:c r="D4" s="39" t="str">
        <x:v>Representación o resolución</x:v>
      </x:c>
      <x:c r="E4" s="39" t="str">
        <x:v>Justificación y contraejemplo</x:v>
      </x:c>
      <x:c r="F4" s="39" t="str">
        <x:v>Fundamento</x:v>
      </x:c>
    </x:row>
    <x:row r="5" ht="47" customHeight="1">
      <x:c r="A5" s="35" t="str">
        <x:v>Ámbito</x:v>
      </x:c>
      <x:c r="B5" s="35" t="str">
        <x:v>A01</x:v>
      </x:c>
      <x:c r="C5" s="35" t="str">
        <x:v>Correspondencia del caso</x:v>
      </x:c>
      <x:c r="D5" s="35" t="str">
        <x:v>C01</x:v>
      </x:c>
      <x:c r="E5" s="35" t="str">
        <x:v>La igualdad nominal no acredita identidad; las precondiciones de plataforma se resuelven antes de activar los parámetros.</x:v>
      </x:c>
      <x:c r="F5" s="35" t="str">
        <x:v>T001 §3.2; B03 §§3.3–3.6</x:v>
      </x:c>
    </x:row>
    <x:row r="6" ht="47" customHeight="1">
      <x:c r="A6" s="35" t="str">
        <x:v>Ámbito</x:v>
      </x:c>
      <x:c r="B6" s="35" t="str">
        <x:v>A02</x:v>
      </x:c>
      <x:c r="C6" s="35" t="str">
        <x:v>Autenticidad y custodia</x:v>
      </x:c>
      <x:c r="D6" s="35" t="str">
        <x:v>C02, C14</x:v>
      </x:c>
      <x:c r="E6" s="35" t="str">
        <x:v>Una firma válida no implica autorización; una huella correcta no autentica al productor. Cada requisito se comprueba por separado.</x:v>
      </x:c>
      <x:c r="F6" s="35" t="str">
        <x:v>T001 §2.3.1; B03 §§3.7, 3.13, 3.15, 3.25</x:v>
      </x:c>
    </x:row>
    <x:row r="7" ht="43" customHeight="1">
      <x:c r="A7" s="35" t="str">
        <x:v>Ámbito</x:v>
      </x:c>
      <x:c r="B7" s="35" t="str">
        <x:v>A03</x:v>
      </x:c>
      <x:c r="C7" s="35" t="str">
        <x:v>Resultado de instalación</x:v>
      </x:c>
      <x:c r="D7" s="35" t="str">
        <x:v>P02, C03</x:v>
      </x:c>
      <x:c r="E7" s="35" t="str">
        <x:v>Se conserva el resultado completo del emisor y la correspondencia con el elemento instalado.</x:v>
      </x:c>
      <x:c r="F7" s="35" t="str">
        <x:v>T004–T006</x:v>
      </x:c>
    </x:row>
    <x:row r="8" ht="43" customHeight="1">
      <x:c r="A8" s="35" t="str">
        <x:v>Ámbito</x:v>
      </x:c>
      <x:c r="B8" s="35" t="str">
        <x:v>A04</x:v>
      </x:c>
      <x:c r="C8" s="35" t="str">
        <x:v>Reinicio del sistema</x:v>
      </x:c>
      <x:c r="D8" s="35" t="str">
        <x:v>P01, P03</x:v>
      </x:c>
      <x:c r="E8" s="35" t="str">
        <x:v>La necesidad y su cumplimiento no se fusionan.</x:v>
      </x:c>
      <x:c r="F8" s="35" t="str">
        <x:v>T002; T007</x:v>
      </x:c>
    </x:row>
    <x:row r="9" ht="43" customHeight="1">
      <x:c r="A9" s="35" t="str">
        <x:v>Ámbito</x:v>
      </x:c>
      <x:c r="B9" s="35" t="str">
        <x:v>A05</x:v>
      </x:c>
      <x:c r="C9" s="35" t="str">
        <x:v>Reinicio de programas</x:v>
      </x:c>
      <x:c r="D9" s="35" t="str">
        <x:v>P04, P05, P11, P17, P20</x:v>
      </x:c>
      <x:c r="E9" s="35" t="str">
        <x:v>La cadena completa impide aceptar la sola creación o terminación como reinicio suficiente.</x:v>
      </x:c>
      <x:c r="F9" s="35" t="str">
        <x:v>T009; T014–T016</x:v>
      </x:c>
    </x:row>
    <x:row r="10" ht="43" customHeight="1">
      <x:c r="A10" s="35" t="str">
        <x:v>Ámbito</x:v>
      </x:c>
      <x:c r="B10" s="35" t="str">
        <x:v>A06</x:v>
      </x:c>
      <x:c r="C10" s="35" t="str">
        <x:v>Estado de ejecutables</x:v>
      </x:c>
      <x:c r="D10" s="35" t="str">
        <x:v>P06, P13, P22</x:v>
      </x:c>
      <x:c r="E10" s="35" t="str">
        <x:v>Tres estados independientes, con perfil específico para bibliotecas, núcleo o firmware.</x:v>
      </x:c>
      <x:c r="F10" s="35" t="str">
        <x:v>T008; B02 §4; B03 §§3.10–3.13</x:v>
      </x:c>
    </x:row>
    <x:row r="11" ht="43" customHeight="1">
      <x:c r="A11" s="35" t="str">
        <x:v>Ámbito</x:v>
      </x:c>
      <x:c r="B11" s="35" t="str">
        <x:v>A07</x:v>
      </x:c>
      <x:c r="C11" s="35" t="str">
        <x:v>Configuración</x:v>
      </x:c>
      <x:c r="D11" s="35" t="str">
        <x:v>P12, P14, P16</x:v>
      </x:c>
      <x:c r="E11" s="35" t="str">
        <x:v>Las claves se individualizan; la configuración no se reduce al archivo completo.</x:v>
      </x:c>
      <x:c r="F11" s="35" t="str">
        <x:v>B01 §§3.2–3.4; F018 §3.4</x:v>
      </x:c>
    </x:row>
    <x:row r="12" ht="43" customHeight="1">
      <x:c r="A12" s="35" t="str">
        <x:v>Ámbito</x:v>
      </x:c>
      <x:c r="B12" s="35" t="str">
        <x:v>A08</x:v>
      </x:c>
      <x:c r="C12" s="35" t="str">
        <x:v>Parche en ejecución</x:v>
      </x:c>
      <x:c r="D12" s="35" t="str">
        <x:v>P18, P19, C05</x:v>
      </x:c>
      <x:c r="E12" s="35" t="str">
        <x:v>Se distinguen los estados por tarea y se cubren las tareas pertinentes; -1 no se convierte en 0.</x:v>
      </x:c>
      <x:c r="F12" s="35" t="str">
        <x:v>B04 §§3–5</x:v>
      </x:c>
    </x:row>
    <x:row r="13" ht="43" customHeight="1">
      <x:c r="A13" s="35" t="str">
        <x:v>Ámbito</x:v>
      </x:c>
      <x:c r="B13" s="35" t="str">
        <x:v>A09</x:v>
      </x:c>
      <x:c r="C13" s="35" t="str">
        <x:v>Estado residual</x:v>
      </x:c>
      <x:c r="D13" s="35" t="str">
        <x:v>P20, P21</x:v>
      </x:c>
      <x:c r="E13" s="35" t="str">
        <x:v>Se sigue cada consumidor y recurso pertinente. La palabra caché no justifica una limpieza indiscriminada.</x:v>
      </x:c>
      <x:c r="F13" s="35" t="str">
        <x:v>T016; B05 §4; B11</x:v>
      </x:c>
    </x:row>
    <x:row r="14" ht="43" customHeight="1">
      <x:c r="A14" s="35" t="str">
        <x:v>Ámbito</x:v>
      </x:c>
      <x:c r="B14" s="35" t="str">
        <x:v>A10</x:v>
      </x:c>
      <x:c r="C14" s="35" t="str">
        <x:v>Escritura y diferimiento</x:v>
      </x:c>
      <x:c r="D14" s="35" t="str">
        <x:v>P13, P23, P24</x:v>
      </x:c>
      <x:c r="E14" s="35" t="str">
        <x:v>Lectura, sincronización y programación diferida conservan evidencias separadas.</x:v>
      </x:c>
      <x:c r="F14" s="35" t="str">
        <x:v>B06; B07; B12</x:v>
      </x:c>
    </x:row>
    <x:row r="15" ht="43" customHeight="1">
      <x:c r="A15" s="35" t="str">
        <x:v>Ámbito</x:v>
      </x:c>
      <x:c r="B15" s="35" t="str">
        <x:v>A11</x:v>
      </x:c>
      <x:c r="C15" s="35" t="str">
        <x:v>Otros efectos exigidos</x:v>
      </x:c>
      <x:c r="D15" s="35" t="str">
        <x:v>P15 y registro de clases</x:v>
      </x:c>
      <x:c r="E15" s="35" t="str">
        <x:v>No se admite una clase nueva por texto libre; cada efecto se asigna al estado que lo acredita.</x:v>
      </x:c>
      <x:c r="F15" s="35" t="str">
        <x:v>T001 §2.3.2; B05 §§2–4</x:v>
      </x:c>
    </x:row>
    <x:row r="16" ht="43" customHeight="1">
      <x:c r="A16" s="35" t="str">
        <x:v>Ámbito</x:v>
      </x:c>
      <x:c r="B16" s="35" t="str">
        <x:v>A12</x:v>
      </x:c>
      <x:c r="C16" s="35" t="str">
        <x:v>Corrección íntegra</x:v>
      </x:c>
      <x:c r="D16" s="35" t="str">
        <x:v>P07, C04, C06</x:v>
      </x:c>
      <x:c r="E16" s="35" t="str">
        <x:v>Cada obligación de corrección se verifica; compilar o reconocer un fragmento no cierra el conjunto.</x:v>
      </x:c>
      <x:c r="F16" s="35" t="str">
        <x:v>B08 §1; B09 §1; F018 §4.3</x:v>
      </x:c>
    </x:row>
    <x:row r="17" ht="43" customHeight="1">
      <x:c r="A17" s="35" t="str">
        <x:v>Ámbito</x:v>
      </x:c>
      <x:c r="B17" s="35" t="str">
        <x:v>A13</x:v>
      </x:c>
      <x:c r="C17" s="35" t="str">
        <x:v>Alcance de observación</x:v>
      </x:c>
      <x:c r="D17" s="35" t="str">
        <x:v>C02, C06</x:v>
      </x:c>
      <x:c r="E17" s="35" t="str">
        <x:v>Casos favorables y desfavorables independientes del resultado esperado; límites de acceso explícitos.</x:v>
      </x:c>
      <x:c r="F17" s="35" t="str">
        <x:v>F018 §§4.3, 6.5, 7.3</x:v>
      </x:c>
    </x:row>
    <x:row r="18" ht="47" customHeight="1">
      <x:c r="A18" s="35" t="str">
        <x:v>Ámbito</x:v>
      </x:c>
      <x:c r="B18" s="35" t="str">
        <x:v>A14</x:v>
      </x:c>
      <x:c r="C18" s="35" t="str">
        <x:v>Instancias y dependencias</x:v>
      </x:c>
      <x:c r="D18" s="35" t="str">
        <x:v>C05 y usos independientes</x:v>
      </x:c>
      <x:c r="E18" s="35" t="str">
        <x:v>Cada sujeto posee su propio estado; el recorrido termina al cubrir todas las relaciones pertinentes o declarar una frontera responsable.</x:v>
      </x:c>
      <x:c r="F18" s="35" t="str">
        <x:v>T001 §3.2; B01 §3.3.3</x:v>
      </x:c>
    </x:row>
    <x:row r="19" ht="43" customHeight="1">
      <x:c r="A19" s="35" t="str">
        <x:v>Ámbito</x:v>
      </x:c>
      <x:c r="B19" s="35" t="str">
        <x:v>A15</x:v>
      </x:c>
      <x:c r="C19" s="35" t="str">
        <x:v>Pérdida de vigencia</x:v>
      </x:c>
      <x:c r="D19" s="35" t="str">
        <x:v>P08, P09, P10, P14, C07</x:v>
      </x:c>
      <x:c r="E19" s="35" t="str">
        <x:v>El cambio y retorno se conserva; una modificación sólo afecta a la evidencia dependiente de ella.</x:v>
      </x:c>
      <x:c r="F19" s="35" t="str">
        <x:v>T001 §2.3.4; B01 §3.3.4</x:v>
      </x:c>
    </x:row>
    <x:row r="20" ht="43" customHeight="1">
      <x:c r="A20" s="35" t="str">
        <x:v>Ámbito</x:v>
      </x:c>
      <x:c r="B20" s="35" t="str">
        <x:v>A16</x:v>
      </x:c>
      <x:c r="C20" s="35" t="str">
        <x:v>Efecto funcional y datos</x:v>
      </x:c>
      <x:c r="D20" s="35" t="str">
        <x:v>P07 por criterio; C08</x:v>
      </x:c>
      <x:c r="E20" s="35" t="str">
        <x:v>Los criterios se separan; una prueba de disponibilidad no sustituye una prueba de integridad.</x:v>
      </x:c>
      <x:c r="F20" s="35" t="str">
        <x:v>B01 §3.3.3; B10 §3.2</x:v>
      </x:c>
    </x:row>
    <x:row r="21" ht="43" customHeight="1">
      <x:c r="A21" s="35" t="str">
        <x:v>Ámbito</x:v>
      </x:c>
      <x:c r="B21" s="35" t="str">
        <x:v>A17</x:v>
      </x:c>
      <x:c r="C21" s="35" t="str">
        <x:v>Alternativas y recuperación</x:v>
      </x:c>
      <x:c r="D21" s="35" t="str">
        <x:v>C09; P07 por comprobación</x:v>
      </x:c>
      <x:c r="E21" s="35" t="str">
        <x:v>Se comparan resultados y perjuicios; ninguna alternativa cambia el hecho de si la corrección está acreditada.</x:v>
      </x:c>
      <x:c r="F21" s="35" t="str">
        <x:v>T001 §§3.3–3.5; B10 §§3.4, 4.3</x:v>
      </x:c>
    </x:row>
    <x:row r="22" ht="43" customHeight="1">
      <x:c r="A22" s="35" t="str">
        <x:v>Ámbito</x:v>
      </x:c>
      <x:c r="B22" s="35" t="str">
        <x:v>A18</x:v>
      </x:c>
      <x:c r="C22" s="35" t="str">
        <x:v>Tiempo y autorización</x:v>
      </x:c>
      <x:c r="D22" s="35" t="str">
        <x:v>C10, C11</x:v>
      </x:c>
      <x:c r="E22" s="35" t="str">
        <x:v>Una ventana disponible no constituye autorización; un permiso vencido no se conserva como vigente.</x:v>
      </x:c>
      <x:c r="F22" s="35" t="str">
        <x:v>B01 §§3.3.1–3.3.2; B10 §3.2</x:v>
      </x:c>
    </x:row>
    <x:row r="23" ht="47" customHeight="1">
      <x:c r="A23" s="35" t="str">
        <x:v>Ámbito</x:v>
      </x:c>
      <x:c r="B23" s="35" t="str">
        <x:v>A19</x:v>
      </x:c>
      <x:c r="C23" s="35" t="str">
        <x:v>Proporcionalidad</x:v>
      </x:c>
      <x:c r="D23" s="35" t="str">
        <x:v>C08, C12</x:v>
      </x:c>
      <x:c r="E23" s="35" t="str">
        <x:v>Se conserva la incertidumbre económica y lo no monetizable; no se sustituye el valor del servicio por el precio del equipo.</x:v>
      </x:c>
      <x:c r="F23" s="35" t="str">
        <x:v>R035; T001 §3.1; B10 §3.2</x:v>
      </x:c>
    </x:row>
    <x:row r="24" ht="47" customHeight="1">
      <x:c r="A24" s="35" t="str">
        <x:v>Ámbito</x:v>
      </x:c>
      <x:c r="B24" s="35" t="str">
        <x:v>A20</x:v>
      </x:c>
      <x:c r="C24" s="35" t="str">
        <x:v>Explicación y gobierno</x:v>
      </x:c>
      <x:c r="D24" s="35" t="str">
        <x:v>C13, C14</x:v>
      </x:c>
      <x:c r="E24" s="35" t="str">
        <x:v>El informe permite reconstruir el consejo; no se presenta como Frame SV antes de constituir su representación legítima.</x:v>
      </x:c>
      <x:c r="F24" s="35" t="str">
        <x:v>Acta del español; instrucción aprobada; contrato de atomicidad</x:v>
      </x:c>
    </x:row>
    <x:row r="25" ht="43" customHeight="1">
      <x:c r="A25" s="35" t="str">
        <x:v>Candidato</x:v>
      </x:c>
      <x:c r="B25" s="35" t="str">
        <x:v>R01</x:v>
      </x:c>
      <x:c r="C25" s="35" t="str">
        <x:v>Activo correctamente identificado</x:v>
      </x:c>
      <x:c r="D25" s="35" t="str">
        <x:v>Contexto; C01</x:v>
      </x:c>
      <x:c r="E25" s="35" t="str">
        <x:v>Es la identidad que hace admisible el caso; su defecto no representa el estado de la corrección.</x:v>
      </x:c>
      <x:c r="F25" s="35" t="str">
        <x:v>Adjudicación según contrato SV-AT</x:v>
      </x:c>
    </x:row>
    <x:row r="26" ht="47" customHeight="1">
      <x:c r="A26" s="35" t="str">
        <x:v>Candidato</x:v>
      </x:c>
      <x:c r="B26" s="35" t="str">
        <x:v>R02</x:v>
      </x:c>
      <x:c r="C26" s="35" t="str">
        <x:v>Actualización aplicable</x:v>
      </x:c>
      <x:c r="D26" s="35" t="str">
        <x:v>Control; C01</x:v>
      </x:c>
      <x:c r="E26" s="35" t="str">
        <x:v>La conjunción de arquitectura, precursor, versión y condiciones se resuelve antes de activar; no se comprime en un átomo.</x:v>
      </x:c>
      <x:c r="F26" s="35" t="str">
        <x:v>Adjudicación según contrato SV-AT</x:v>
      </x:c>
    </x:row>
    <x:row r="27" ht="43" customHeight="1">
      <x:c r="A27" s="35" t="str">
        <x:v>Candidato</x:v>
      </x:c>
      <x:c r="B27" s="35" t="str">
        <x:v>R03</x:v>
      </x:c>
      <x:c r="C27" s="35" t="str">
        <x:v>Firma válida</x:v>
      </x:c>
      <x:c r="D27" s="35" t="str">
        <x:v>Control; C02</x:v>
      </x:c>
      <x:c r="E27" s="35" t="str">
        <x:v>La admisión distingue comprobación criptográfica, identidad del firmante y autorización.</x:v>
      </x:c>
      <x:c r="F27" s="35" t="str">
        <x:v>Adjudicación según contrato SV-AT</x:v>
      </x:c>
    </x:row>
    <x:row r="28" ht="43" customHeight="1">
      <x:c r="A28" s="35" t="str">
        <x:v>Candidato</x:v>
      </x:c>
      <x:c r="B28" s="35" t="str">
        <x:v>R04</x:v>
      </x:c>
      <x:c r="C28" s="35" t="str">
        <x:v>Huella coincidente de evidencia</x:v>
      </x:c>
      <x:c r="D28" s="35" t="str">
        <x:v>Control; C02</x:v>
      </x:c>
      <x:c r="E28" s="35" t="str">
        <x:v>Identifica bytes de prueba; no es el estado del activo ni autentica el productor.</x:v>
      </x:c>
      <x:c r="F28" s="35" t="str">
        <x:v>Adjudicación según contrato SV-AT</x:v>
      </x:c>
    </x:row>
    <x:row r="29" ht="43" customHeight="1">
      <x:c r="A29" s="35" t="str">
        <x:v>Candidato</x:v>
      </x:c>
      <x:c r="B29" s="35" t="str">
        <x:v>R05</x:v>
      </x:c>
      <x:c r="C29" s="35" t="str">
        <x:v>Prueba procedente de autoridad válida</x:v>
      </x:c>
      <x:c r="D29" s="35" t="str">
        <x:v>Control; C02</x:v>
      </x:c>
      <x:c r="E29" s="35" t="str">
        <x:v>Controla qué evidencia se admite y conserva su motivo de rechazo.</x:v>
      </x:c>
      <x:c r="F29" s="35" t="str">
        <x:v>Adjudicación según contrato SV-AT</x:v>
      </x:c>
    </x:row>
    <x:row r="30" ht="43" customHeight="1">
      <x:c r="A30" s="35" t="str">
        <x:v>Candidato</x:v>
      </x:c>
      <x:c r="B30" s="35" t="str">
        <x:v>R06</x:v>
      </x:c>
      <x:c r="C30" s="35" t="str">
        <x:v>Referencia normativa vigente</x:v>
      </x:c>
      <x:c r="D30" s="35" t="str">
        <x:v>Control; C14</x:v>
      </x:c>
      <x:c r="E30" s="35" t="str">
        <x:v>La revisión del conocimiento requiere decisión humana y no altera Tri.</x:v>
      </x:c>
      <x:c r="F30" s="35" t="str">
        <x:v>Adjudicación según contrato SV-AT</x:v>
      </x:c>
    </x:row>
    <x:row r="31" ht="43" customHeight="1">
      <x:c r="A31" s="35" t="str">
        <x:v>Candidato</x:v>
      </x:c>
      <x:c r="B31" s="35" t="str">
        <x:v>R07</x:v>
      </x:c>
      <x:c r="C31" s="35" t="str">
        <x:v>Todos los archivos actualizados</x:v>
      </x:c>
      <x:c r="D31" s="35" t="str">
        <x:v>Composición; P13; C05</x:v>
      </x:c>
      <x:c r="E31" s="35" t="str">
        <x:v>Cada archivo mantiene su estado; se exige cobertura del conjunto.</x:v>
      </x:c>
      <x:c r="F31" s="35" t="str">
        <x:v>Adjudicación según contrato SV-AT</x:v>
      </x:c>
    </x:row>
    <x:row r="32" ht="43" customHeight="1">
      <x:c r="A32" s="35" t="str">
        <x:v>Candidato</x:v>
      </x:c>
      <x:c r="B32" s="35" t="str">
        <x:v>R08</x:v>
      </x:c>
      <x:c r="C32" s="35" t="str">
        <x:v>Todo el software reiniciado</x:v>
      </x:c>
      <x:c r="D32" s="35" t="str">
        <x:v>Composición; P04, P05, P11, P17, P20</x:v>
      </x:c>
      <x:c r="E32" s="35" t="str">
        <x:v>Agrupa obligaciones e instancias independientes.</x:v>
      </x:c>
      <x:c r="F32" s="35" t="str">
        <x:v>Adjudicación según contrato SV-AT</x:v>
      </x:c>
    </x:row>
    <x:row r="33" ht="47" customHeight="1">
      <x:c r="A33" s="35" t="str">
        <x:v>Candidato</x:v>
      </x:c>
      <x:c r="B33" s="35" t="str">
        <x:v>R09</x:v>
      </x:c>
      <x:c r="C33" s="35" t="str">
        <x:v>Proceso actualmente vivo</x:v>
      </x:c>
      <x:c r="D33" s="35" t="str">
        <x:v>Derivable en el perfil; P05, P11; historia de generación</x:v>
      </x:c>
      <x:c r="E33" s="35" t="str">
        <x:v>Para una generación con nacimiento y terminación completamente conocidos, la vida al corte se deriva. Si falta historia, la proposición no adquiere evidencia nueva por cambiarle el nombre.</x:v>
      </x:c>
      <x:c r="F33" s="35" t="str">
        <x:v>Adjudicación según contrato SV-AT</x:v>
      </x:c>
    </x:row>
    <x:row r="34" ht="43" customHeight="1">
      <x:c r="A34" s="35" t="str">
        <x:v>Candidato</x:v>
      </x:c>
      <x:c r="B34" s="35" t="str">
        <x:v>R10</x:v>
      </x:c>
      <x:c r="C34" s="35" t="str">
        <x:v>PID nuevo</x:v>
      </x:c>
      <x:c r="D34" s="35" t="str">
        <x:v>Observable; P11; T014</x:v>
      </x:c>
      <x:c r="E34" s="35" t="str">
        <x:v>Un PID aislado no identifica una generación nueva.</x:v>
      </x:c>
      <x:c r="F34" s="35" t="str">
        <x:v>Adjudicación según contrato SV-AT</x:v>
      </x:c>
    </x:row>
    <x:row r="35" ht="43" customHeight="1">
      <x:c r="A35" s="35" t="str">
        <x:v>Candidato</x:v>
      </x:c>
      <x:c r="B35" s="35" t="str">
        <x:v>R11</x:v>
      </x:c>
      <x:c r="C35" s="35" t="str">
        <x:v>Programa saludable</x:v>
      </x:c>
      <x:c r="D35" s="35" t="str">
        <x:v>Composición; P07 por función; C06</x:v>
      </x:c>
      <x:c r="E35" s="35" t="str">
        <x:v>Disponibilidad, corrección funcional e integridad pueden variar independientemente.</x:v>
      </x:c>
      <x:c r="F35" s="35" t="str">
        <x:v>Adjudicación según contrato SV-AT</x:v>
      </x:c>
    </x:row>
    <x:row r="36" ht="43" customHeight="1">
      <x:c r="A36" s="35" t="str">
        <x:v>Candidato</x:v>
      </x:c>
      <x:c r="B36" s="35" t="str">
        <x:v>R12</x:v>
      </x:c>
      <x:c r="C36" s="35" t="str">
        <x:v>Versión textual correcta</x:v>
      </x:c>
      <x:c r="D36" s="35" t="str">
        <x:v>Observable; P06, P13</x:v>
      </x:c>
      <x:c r="E36" s="35" t="str">
        <x:v>Una etiqueta no sustituye la identidad y el método exigidos.</x:v>
      </x:c>
      <x:c r="F36" s="35" t="str">
        <x:v>Adjudicación según contrato SV-AT</x:v>
      </x:c>
    </x:row>
    <x:row r="37" ht="43" customHeight="1">
      <x:c r="A37" s="35" t="str">
        <x:v>Candidato</x:v>
      </x:c>
      <x:c r="B37" s="35" t="str">
        <x:v>R13</x:v>
      </x:c>
      <x:c r="C37" s="35" t="str">
        <x:v>Firmware correcto</x:v>
      </x:c>
      <x:c r="D37" s="35" t="str">
        <x:v>Composición; P06, P13, P22, P07; C01</x:v>
      </x:c>
      <x:c r="E37" s="35" t="str">
        <x:v>Almacenamiento, selección, utilización y corrección son diferentes.</x:v>
      </x:c>
      <x:c r="F37" s="35" t="str">
        <x:v>Adjudicación según contrato SV-AT</x:v>
      </x:c>
    </x:row>
    <x:row r="38" ht="43" customHeight="1">
      <x:c r="A38" s="35" t="str">
        <x:v>Candidato</x:v>
      </x:c>
      <x:c r="B38" s="35" t="str">
        <x:v>R14</x:v>
      </x:c>
      <x:c r="C38" s="35" t="str">
        <x:v>Dirección de memoria reiniciada</x:v>
      </x:c>
      <x:c r="D38" s="35" t="str">
        <x:v>Observable; P20</x:v>
      </x:c>
      <x:c r="E38" s="35" t="str">
        <x:v>El valor numérico de una dirección no acredita identidad, vigencia ni uso del recurso.</x:v>
      </x:c>
      <x:c r="F38" s="35" t="str">
        <x:v>Adjudicación según contrato SV-AT</x:v>
      </x:c>
    </x:row>
    <x:row r="39" ht="43" customHeight="1">
      <x:c r="A39" s="35" t="str">
        <x:v>Candidato</x:v>
      </x:c>
      <x:c r="B39" s="35" t="str">
        <x:v>R15</x:v>
      </x:c>
      <x:c r="C39" s="35" t="str">
        <x:v>Caché completamente limpia</x:v>
      </x:c>
      <x:c r="D39" s="35" t="str">
        <x:v>Composición; P21; C05</x:v>
      </x:c>
      <x:c r="E39" s="35" t="str">
        <x:v>La pertinencia se establece por entradas y consumidores; vacío no significa correcto.</x:v>
      </x:c>
      <x:c r="F39" s="35" t="str">
        <x:v>Adjudicación según contrato SV-AT</x:v>
      </x:c>
    </x:row>
    <x:row r="40" ht="43" customHeight="1">
      <x:c r="A40" s="35" t="str">
        <x:v>Candidato</x:v>
      </x:c>
      <x:c r="B40" s="35" t="str">
        <x:v>R16</x:v>
      </x:c>
      <x:c r="C40" s="35" t="str">
        <x:v>Parche completo en todas las tareas</x:v>
      </x:c>
      <x:c r="D40" s="35" t="str">
        <x:v>Composición; P19; C05</x:v>
      </x:c>
      <x:c r="E40" s="35" t="str">
        <x:v>Conjunción de estados por tarea, no parámetro adicional.</x:v>
      </x:c>
      <x:c r="F40" s="35" t="str">
        <x:v>Adjudicación según contrato SV-AT</x:v>
      </x:c>
    </x:row>
    <x:row r="41" ht="43" customHeight="1">
      <x:c r="A41" s="35" t="str">
        <x:v>Candidato</x:v>
      </x:c>
      <x:c r="B41" s="35" t="str">
        <x:v>R17</x:v>
      </x:c>
      <x:c r="C41" s="35" t="str">
        <x:v>Transición terminada sin riesgo</x:v>
      </x:c>
      <x:c r="D41" s="35" t="str">
        <x:v>Composición; P19, P20; C06</x:v>
      </x:c>
      <x:c r="E41" s="35" t="str">
        <x:v>Estado de transición y seguridad de la operación no se fusionan.</x:v>
      </x:c>
      <x:c r="F41" s="35" t="str">
        <x:v>Adjudicación según contrato SV-AT</x:v>
      </x:c>
    </x:row>
    <x:row r="42" ht="47" customHeight="1">
      <x:c r="A42" s="35" t="str">
        <x:v>Candidato</x:v>
      </x:c>
      <x:c r="B42" s="35" t="str">
        <x:v>R18</x:v>
      </x:c>
      <x:c r="C42" s="35" t="str">
        <x:v>Valor -1 de patch_state</x:v>
      </x:c>
      <x:c r="D42" s="35" t="str">
        <x:v>Fuera del perfil; P19</x:v>
      </x:c>
      <x:c r="E42" s="35" t="str">
        <x:v>Fuera de transición no se interpreta como ausencia de parche. Es un estado del mecanismo que cambia la activación del perfil.</x:v>
      </x:c>
      <x:c r="F42" s="35" t="str">
        <x:v>Adjudicación según contrato SV-AT</x:v>
      </x:c>
    </x:row>
    <x:row r="43" ht="43" customHeight="1">
      <x:c r="A43" s="35" t="str">
        <x:v>Candidato</x:v>
      </x:c>
      <x:c r="B43" s="35" t="str">
        <x:v>R19</x:v>
      </x:c>
      <x:c r="C43" s="35" t="str">
        <x:v>Retirada y reversión equivalentes</x:v>
      </x:c>
      <x:c r="D43" s="35" t="str">
        <x:v>Desestimado; P08, P10, P09, P14</x:v>
      </x:c>
      <x:c r="E43" s="35" t="str">
        <x:v>Los mecanismos e historias difieren; no se crea un átomo que los equipare.</x:v>
      </x:c>
      <x:c r="F43" s="35" t="str">
        <x:v>Adjudicación según contrato SV-AT</x:v>
      </x:c>
    </x:row>
    <x:row r="44" ht="43" customHeight="1">
      <x:c r="A44" s="35" t="str">
        <x:v>Candidato</x:v>
      </x:c>
      <x:c r="B44" s="35" t="str">
        <x:v>R20</x:v>
      </x:c>
      <x:c r="C44" s="35" t="str">
        <x:v>Corrección íntegra de la vulnerabilidad</x:v>
      </x:c>
      <x:c r="D44" s="35" t="str">
        <x:v>Composición; C04, C05, C06; P07</x:v>
      </x:c>
      <x:c r="E44" s="35" t="str">
        <x:v>Es el resultado profesional que se debe justificar; hacerlo átomo ocultaría sus requisitos.</x:v>
      </x:c>
      <x:c r="F44" s="35" t="str">
        <x:v>Adjudicación según contrato SV-AT</x:v>
      </x:c>
    </x:row>
    <x:row r="45" ht="43" customHeight="1">
      <x:c r="A45" s="35" t="str">
        <x:v>Candidato</x:v>
      </x:c>
      <x:c r="B45" s="35" t="str">
        <x:v>R21</x:v>
      </x:c>
      <x:c r="C45" s="35" t="str">
        <x:v>Sin hallazgos de vulnerabilidad</x:v>
      </x:c>
      <x:c r="D45" s="35" t="str">
        <x:v>Resultado de prueba; P07; C06</x:v>
      </x:c>
      <x:c r="E45" s="35" t="str">
        <x:v>Sólo tiene sentido con cobertura y sensibilidad; no acredita ausencia universal.</x:v>
      </x:c>
      <x:c r="F45" s="35" t="str">
        <x:v>Adjudicación según contrato SV-AT</x:v>
      </x:c>
    </x:row>
    <x:row r="46" ht="43" customHeight="1">
      <x:c r="A46" s="35" t="str">
        <x:v>Candidato</x:v>
      </x:c>
      <x:c r="B46" s="35" t="str">
        <x:v>R22</x:v>
      </x:c>
      <x:c r="C46" s="35" t="str">
        <x:v>Conjunto de dependencias completo</x:v>
      </x:c>
      <x:c r="D46" s="35" t="str">
        <x:v>Control; C05</x:v>
      </x:c>
      <x:c r="E46" s="35" t="str">
        <x:v>La cobertura debe acreditarse mediante inventario y fronteras, no por un booleano autodeclarado.</x:v>
      </x:c>
      <x:c r="F46" s="35" t="str">
        <x:v>Adjudicación según contrato SV-AT</x:v>
      </x:c>
    </x:row>
    <x:row r="47" ht="43" customHeight="1">
      <x:c r="A47" s="35" t="str">
        <x:v>Candidato</x:v>
      </x:c>
      <x:c r="B47" s="35" t="str">
        <x:v>R23</x:v>
      </x:c>
      <x:c r="C47" s="35" t="str">
        <x:v>Observador suficientemente sensible</x:v>
      </x:c>
      <x:c r="D47" s="35" t="str">
        <x:v>Control; C06</x:v>
      </x:c>
      <x:c r="E47" s="35" t="str">
        <x:v>Se demuestra por pruebas pertinentes; no se permite que el resultado se autentique a sí mismo.</x:v>
      </x:c>
      <x:c r="F47" s="35" t="str">
        <x:v>Adjudicación según contrato SV-AT</x:v>
      </x:c>
    </x:row>
    <x:row r="48" ht="43" customHeight="1">
      <x:c r="A48" s="35" t="str">
        <x:v>Candidato</x:v>
      </x:c>
      <x:c r="B48" s="35" t="str">
        <x:v>R24</x:v>
      </x:c>
      <x:c r="C48" s="35" t="str">
        <x:v>Permiso para intervenir</x:v>
      </x:c>
      <x:c r="D48" s="35" t="str">
        <x:v>Control humano; C11</x:v>
      </x:c>
      <x:c r="E48" s="35" t="str">
        <x:v>Se conserva el acto de autorización, su alcance y vigencia; la IA no crea esa autoridad.</x:v>
      </x:c>
      <x:c r="F48" s="35" t="str">
        <x:v>Adjudicación según contrato SV-AT</x:v>
      </x:c>
    </x:row>
    <x:row r="49" ht="43" customHeight="1">
      <x:c r="A49" s="35" t="str">
        <x:v>Candidato</x:v>
      </x:c>
      <x:c r="B49" s="35" t="str">
        <x:v>R25</x:v>
      </x:c>
      <x:c r="C49" s="35" t="str">
        <x:v>Ventana suficiente</x:v>
      </x:c>
      <x:c r="D49" s="35" t="str">
        <x:v>Juicio y contexto; C10</x:v>
      </x:c>
      <x:c r="E49" s="35" t="str">
        <x:v>Depende de tiempos, dependencias y recuperación; sus magnitudes permanecen separadas.</x:v>
      </x:c>
      <x:c r="F49" s="35" t="str">
        <x:v>Adjudicación según contrato SV-AT</x:v>
      </x:c>
    </x:row>
    <x:row r="50" ht="43" customHeight="1">
      <x:c r="A50" s="35" t="str">
        <x:v>Candidato</x:v>
      </x:c>
      <x:c r="B50" s="35" t="str">
        <x:v>R26</x:v>
      </x:c>
      <x:c r="C50" s="35" t="str">
        <x:v>Coste proporcionado</x:v>
      </x:c>
      <x:c r="D50" s="35" t="str">
        <x:v>Juicio humano; C12</x:v>
      </x:c>
      <x:c r="E50" s="35" t="str">
        <x:v>No se convierte una valoración multicriterio en un estado técnico ni en suma arbitraria.</x:v>
      </x:c>
      <x:c r="F50" s="35" t="str">
        <x:v>Adjudicación según contrato SV-AT</x:v>
      </x:c>
    </x:row>
    <x:row r="51" ht="43" customHeight="1">
      <x:c r="A51" s="35" t="str">
        <x:v>Candidato</x:v>
      </x:c>
      <x:c r="B51" s="35" t="str">
        <x:v>R27</x:v>
      </x:c>
      <x:c r="C51" s="35" t="str">
        <x:v>Disponibilidad tras actualizar</x:v>
      </x:c>
      <x:c r="D51" s="35" t="str">
        <x:v>Resultado de prueba; P07 por criterio; C08</x:v>
      </x:c>
      <x:c r="E51" s="35" t="str">
        <x:v>Se comprueba la función concreta y el horizonte; no se presume por inicialización.</x:v>
      </x:c>
      <x:c r="F51" s="35" t="str">
        <x:v>Adjudicación según contrato SV-AT</x:v>
      </x:c>
    </x:row>
    <x:row r="52" ht="43" customHeight="1">
      <x:c r="A52" s="35" t="str">
        <x:v>Candidato</x:v>
      </x:c>
      <x:c r="B52" s="35" t="str">
        <x:v>R28</x:v>
      </x:c>
      <x:c r="C52" s="35" t="str">
        <x:v>Datos íntegros tras migrar</x:v>
      </x:c>
      <x:c r="D52" s="35" t="str">
        <x:v>Composición de criterios; P07 por invariante; AC07</x:v>
      </x:c>
      <x:c r="E52" s="35" t="str">
        <x:v>Los invariantes se fijan antes de probar y se separan si generan consecuencias independientes.</x:v>
      </x:c>
      <x:c r="F52" s="35" t="str">
        <x:v>Adjudicación según contrato SV-AT</x:v>
      </x:c>
    </x:row>
    <x:row r="53" ht="43" customHeight="1">
      <x:c r="A53" s="35" t="str">
        <x:v>Candidato</x:v>
      </x:c>
      <x:c r="B53" s="35" t="str">
        <x:v>R29</x:v>
      </x:c>
      <x:c r="C53" s="35" t="str">
        <x:v>Reversión segura garantizada</x:v>
      </x:c>
      <x:c r="D53" s="35" t="str">
        <x:v>Composición y referencia; C09; P07; C05</x:v>
      </x:c>
      <x:c r="E53" s="35" t="str">
        <x:v>Requiere capacidad de recuperación y alcance propios; no es permiso ni resultado del cambio.</x:v>
      </x:c>
      <x:c r="F53" s="35" t="str">
        <x:v>Adjudicación según contrato SV-AT</x:v>
      </x:c>
    </x:row>
    <x:row r="54" ht="43" customHeight="1">
      <x:c r="A54" s="35" t="str">
        <x:v>Candidato</x:v>
      </x:c>
      <x:c r="B54" s="35" t="str">
        <x:v>R30</x:v>
      </x:c>
      <x:c r="C54" s="35" t="str">
        <x:v>Durabilidad física garantizada</x:v>
      </x:c>
      <x:c r="D54" s="35" t="str">
        <x:v>Composición de garantías; P23; C02; C06</x:v>
      </x:c>
      <x:c r="E54" s="35" t="str">
        <x:v>El retorno de una operación no acredita todos los supuestos del dispositivo y del modelo de fallo.</x:v>
      </x:c>
      <x:c r="F54" s="35" t="str">
        <x:v>Adjudicación según contrato SV-AT</x:v>
      </x:c>
    </x:row>
    <x:row r="55" ht="43" customHeight="1">
      <x:c r="A55" s="35" t="str">
        <x:v>Candidato</x:v>
      </x:c>
      <x:c r="B55" s="35" t="str">
        <x:v>R31</x:v>
      </x:c>
      <x:c r="C55" s="35" t="str">
        <x:v>Sin operación pendiente, luego aplicada</x:v>
      </x:c>
      <x:c r="D55" s="35" t="str">
        <x:v>Desestimado; P24, P13</x:v>
      </x:c>
      <x:c r="E55" s="35" t="str">
        <x:v>La cancelación ofrece un contraejemplo; ausencia de pendiente no implica éxito.</x:v>
      </x:c>
      <x:c r="F55" s="35" t="str">
        <x:v>Adjudicación según contrato SV-AT</x:v>
      </x:c>
    </x:row>
    <x:row r="56" ht="43" customHeight="1">
      <x:c r="A56" s="35" t="str">
        <x:v>Candidato</x:v>
      </x:c>
      <x:c r="B56" s="35" t="str">
        <x:v>R32</x:v>
      </x:c>
      <x:c r="C56" s="35" t="str">
        <x:v>OT actualizado con reglas IT</x:v>
      </x:c>
      <x:c r="D56" s="35" t="str">
        <x:v>Fuera de alcance; CYO-14</x:v>
      </x:c>
      <x:c r="E56" s="35" t="str">
        <x:v>El proceso físico y su autoridad exigen otro universo; la frontera se declara.</x:v>
      </x:c>
      <x:c r="F56" s="35" t="str">
        <x:v>Adjudicación según contrato SV-AT</x:v>
      </x:c>
    </x:row>
    <x:row r="57" ht="47" customHeight="1">
      <x:c r="A57" s="35" t="str">
        <x:v>Candidato</x:v>
      </x:c>
      <x:c r="B57" s="35" t="str">
        <x:v>R33</x:v>
      </x:c>
      <x:c r="C57" s="35" t="str">
        <x:v>Modelo de IA robusto después de actualizar</x:v>
      </x:c>
      <x:c r="D57" s="35" t="str">
        <x:v>Fuera de alcance sustantivo; CYO-23; C09</x:v>
      </x:c>
      <x:c r="E57" s="35" t="str">
        <x:v>OP-CYB-001 puede seguir su artefacto de software; robustez, sesgo y privacidad necesitan criterios del universo de IA.</x:v>
      </x:c>
      <x:c r="F57" s="35" t="str">
        <x:v>Adjudicación según contrato SV-AT</x:v>
      </x:c>
    </x:row>
    <x:row r="58" ht="43" customHeight="1">
      <x:c r="A58" s="35" t="str">
        <x:v>Candidato</x:v>
      </x:c>
      <x:c r="B58" s="35" t="str">
        <x:v>R34</x:v>
      </x:c>
      <x:c r="C58" s="35" t="str">
        <x:v>Nuevo CVE obliga a cambiar automáticamente</x:v>
      </x:c>
      <x:c r="D58" s="35" t="str">
        <x:v>Desestimado; C14</x:v>
      </x:c>
      <x:c r="E58" s="35" t="str">
        <x:v>La adquisición externa no modifica por sí sola el conocimiento admitido.</x:v>
      </x:c>
      <x:c r="F58" s="35" t="str">
        <x:v>Adjudicación según contrato SV-AT</x:v>
      </x:c>
    </x:row>
    <x:row r="59" ht="43" customHeight="1">
      <x:c r="A59" s="35" t="str">
        <x:v>Candidato</x:v>
      </x:c>
      <x:c r="B59" s="35" t="str">
        <x:v>R35</x:v>
      </x:c>
      <x:c r="C59" s="35" t="str">
        <x:v>Puntuación única de seguridad</x:v>
      </x:c>
      <x:c r="D59" s="35" t="str">
        <x:v>Desestimado; C13</x:v>
      </x:c>
      <x:c r="E59" s="35" t="str">
        <x:v>Ocultaría incertidumbres, condiciones y consecuencias no compensables.</x:v>
      </x:c>
      <x:c r="F59" s="35" t="str">
        <x:v>Adjudicación según contrato SV-AT</x:v>
      </x:c>
    </x:row>
    <x:row r="60" ht="43" customHeight="1">
      <x:c r="A60" s="35" t="str">
        <x:v>Candidato</x:v>
      </x:c>
      <x:c r="B60" s="35" t="str">
        <x:v>R36</x:v>
      </x:c>
      <x:c r="C60" s="35" t="str">
        <x:v>Parámetro adicional para completar 25 posiciones</x:v>
      </x:c>
      <x:c r="D60" s="35" t="str">
        <x:v>Desestimado; Doctrina SV</x:v>
      </x:c>
      <x:c r="E60" s="35" t="str">
        <x:v>La geometría no crea una distinción profesional; no se añade relleno.</x:v>
      </x:c>
      <x:c r="F60" s="35" t="str">
        <x:v>Adjudicación según contrato SV-AT</x:v>
      </x:c>
    </x:row>
    <x:row r="61" ht="77" customHeight="1">
      <x:c r="A61" s="35" t="str">
        <x:v>Control</x:v>
      </x:c>
      <x:c r="B61" s="35" t="str">
        <x:v>C01</x:v>
      </x:c>
      <x:c r="C61" s="35" t="str">
        <x:v>Identidad y aplicabilidad</x:v>
      </x:c>
      <x:c r="D61" s="35" t="str">
        <x:v>Contexto, evidencia o gobierno</x:v>
      </x:c>
      <x:c r="E61" s="35" t="str">
        <x:v>Identificar activo, componente, vulnerabilidad, actualización, episodio y horizonte. Resolver por separado las condiciones del aviso aplicable: plataforma, arquitectura, versión, precursor y configuración. Si falta una condición decisiva, la aplicabilidad queda sin resolver. Una exclusión exige evidencia de que la regla no corresponde al caso. Contraejemplo: Nombre coincidente en otro equipo; paquete para otra arquitectura; condición desconocida.</x:v>
      </x:c>
      <x:c r="F61" s="35" t="str">
        <x:v>T001 §3.2; B03 §§3.3–3.6</x:v>
      </x:c>
    </x:row>
    <x:row r="62" ht="92" customHeight="1">
      <x:c r="A62" s="35" t="str">
        <x:v>Control</x:v>
      </x:c>
      <x:c r="B62" s="35" t="str">
        <x:v>C02</x:v>
      </x:c>
      <x:c r="C62" s="35" t="str">
        <x:v>Admisión de evidencia</x:v>
      </x:c>
      <x:c r="D62" s="35" t="str">
        <x:v>Contexto, evidencia o gobierno</x:v>
      </x:c>
      <x:c r="E62" s="35" t="str">
        <x:v>Conservar original, origen, productor, método, versión, permisos de observación, ámbito, instante, precisión, normalización y cadena de custodia. Verificar separadamente integridad, autenticidad y autorización. Conservar magnitudes exactas antes de conversión. Un defecto de admisión no se transforma en un estado del activo. Contraejemplo: Huella rehecha sobre evidencia falsificada; firma válida de autor no autorizado; lector sin permisos; tipo cambiado.</x:v>
      </x:c>
      <x:c r="F62" s="35" t="str">
        <x:v>T001 §2.3.1; F018 §7.4; B03 §§3.13, 3.15, 3.25</x:v>
      </x:c>
    </x:row>
    <x:row r="63" ht="77" customHeight="1">
      <x:c r="A63" s="35" t="str">
        <x:v>Control</x:v>
      </x:c>
      <x:c r="B63" s="35" t="str">
        <x:v>C03</x:v>
      </x:c>
      <x:c r="C63" s="35" t="str">
        <x:v>Correspondencia e interpretación de resultados</x:v>
      </x:c>
      <x:c r="D63" s="35" t="str">
        <x:v>Contexto, evidencia o gobierno</x:v>
      </x:c>
      <x:c r="E63" s="35" t="str">
        <x:v>Vincular cada resultado al intento y elemento originales. Conservar códigos y errores completos. Un éxito con errores exige analizar qué efectos se produjeron; no prueba éxito íntegro ni ausencia total de modificación. El fallo de instalación es un hecho distinto del fallo al observarla. Contraejemplo: Índice de otra colección; éxito agregado con elemento fallido; confusión entre error de operación y de lectura.</x:v>
      </x:c>
      <x:c r="F63" s="35" t="str">
        <x:v>T004–T006</x:v>
      </x:c>
    </x:row>
    <x:row r="64" ht="77" customHeight="1">
      <x:c r="A64" s="35" t="str">
        <x:v>Control</x:v>
      </x:c>
      <x:c r="B64" s="35" t="str">
        <x:v>C04</x:v>
      </x:c>
      <x:c r="C64" s="35" t="str">
        <x:v>Integridad de obligaciones</x:v>
      </x:c>
      <x:c r="D64" s="35" t="str">
        <x:v>Contexto, evidencia o gobierno</x:v>
      </x:c>
      <x:c r="E64" s="35" t="str">
        <x:v>Enumerar las obligaciones específicas y sus efectos exigidos. Cada obligación se asigna a una de las ocho clases y a estados de cumplimiento individualizados. Una lista vacía exige evidencia de que no existen acciones adicionales. Ninguna obligación pertinente queda sustituida por un texto genérico de suficiencia. Contraejemplo: Sólo se comprueba un efecto de una acción compuesta; lista vacía sin fuente; nueva clase añadida durante el consejo.</x:v>
      </x:c>
      <x:c r="F64" s="35" t="str">
        <x:v>T001 §2.3.2; B01 §3.3.2</x:v>
      </x:c>
    </x:row>
    <x:row r="65" ht="92" customHeight="1">
      <x:c r="A65" s="35" t="str">
        <x:v>Control</x:v>
      </x:c>
      <x:c r="B65" s="35" t="str">
        <x:v>C05</x:v>
      </x:c>
      <x:c r="C65" s="35" t="str">
        <x:v>Cobertura de sujetos y dependencias</x:v>
      </x:c>
      <x:c r="D65" s="35" t="str">
        <x:v>Contexto, evidencia o gobierno</x:v>
      </x:c>
      <x:c r="E65" s="35" t="str">
        <x:v>Conservar conjuntos finitos de componentes, consumidores, instancias y relaciones pertinentes. Recorrer las dependencias hasta que no aparezcan sujetos nuevos, conservando ciclos sin repetir nodos. Cada frontera externa identifica responsable, contrato y evidencia o insuficiencia. Un límite de búsqueda alcanzado no prueba cobertura. Contraejemplo: Segunda réplica omitida; recurso compartido sin titular; ciclo de dependencias; inventario vacío injustificado.</x:v>
      </x:c>
      <x:c r="F65" s="35" t="str">
        <x:v>T001 §3.2; B01 §3.3.3; B04 §3</x:v>
      </x:c>
    </x:row>
    <x:row r="66" ht="77" customHeight="1">
      <x:c r="A66" s="35" t="str">
        <x:v>Control</x:v>
      </x:c>
      <x:c r="B66" s="35" t="str">
        <x:v>C06</x:v>
      </x:c>
      <x:c r="C66" s="35" t="str">
        <x:v>Validez de la comprobación</x:v>
      </x:c>
      <x:c r="D66" s="35" t="str">
        <x:v>Contexto, evidencia o gobierno</x:v>
      </x:c>
      <x:c r="E66" s="35" t="str">
        <x:v>Fijar antes de probar el criterio unitario, su referencia, condiciones, observador, alcance y tolerancias justificadas. Contrastar casos que deben distinguirse y registrar falsos positivos y negativos. El resultado de una prueba no acredita por sí mismo la sensibilidad de su observador. Contraejemplo: Escáner sin acceso; versión detectada sin corrección íntegra; dos herramientas con igual limitación; criterio elegido después del resultado.</x:v>
      </x:c>
      <x:c r="F66" s="35" t="str">
        <x:v>F018 §§4.3, 6.5, 7.3; B08 §1; B09 §1</x:v>
      </x:c>
    </x:row>
    <x:row r="67" ht="92" customHeight="1">
      <x:c r="A67" s="35" t="str">
        <x:v>Control</x:v>
      </x:c>
      <x:c r="B67" s="35" t="str">
        <x:v>C07</x:v>
      </x:c>
      <x:c r="C67" s="35" t="str">
        <x:v>Vigencia y orden de los hechos</x:v>
      </x:c>
      <x:c r="D67" s="35" t="str">
        <x:v>Contexto, evidencia o gobierno</x:v>
      </x:c>
      <x:c r="E67" s="35" t="str">
        <x:v>Relacionar cada evidencia con sus objetos, condiciones e intervalo. Examinar cambios posteriores sólo en las dependencias que afectan al criterio. Conservar cambio y retorno. Una nueva escritura puede dejar fuera de alcance una sincronización anterior. Una comprobación posterior pertinente puede renovar la evidencia sin borrar la historia. Contraejemplo: Extremos iguales con cambio intermedio; sincronización de otra escritura; restauración fuera del ámbito de la prueba.</x:v>
      </x:c>
      <x:c r="F67" s="35" t="str">
        <x:v>T001 §2.3.4; B01 §§3.3.4, 3.4; B06</x:v>
      </x:c>
    </x:row>
    <x:row r="68" ht="77" customHeight="1">
      <x:c r="A68" s="35" t="str">
        <x:v>Control</x:v>
      </x:c>
      <x:c r="B68" s="35" t="str">
        <x:v>C08</x:v>
      </x:c>
      <x:c r="C68" s="35" t="str">
        <x:v>Impactos sobre servicios y datos</x:v>
      </x:c>
      <x:c r="D68" s="35" t="str">
        <x:v>Contexto, evidencia o gobierno</x:v>
      </x:c>
      <x:c r="E68" s="35" t="str">
        <x:v>Identificar funciones protegidas y consecuencias de indisponibilidad, degradación, pérdida de integridad o exposición. Separar datos observados, hipótesis y valoración humana. Un objetivo de recuperación no es una recuperación demostrada. Contraejemplo: Equipo barato del que depende un servicio de alto valor; impacto no monetizado convertido en cero.</x:v>
      </x:c>
      <x:c r="F68" s="35" t="str">
        <x:v>B01 §3.3.3; B10 §3.2</x:v>
      </x:c>
    </x:row>
    <x:row r="69" ht="77" customHeight="1">
      <x:c r="A69" s="35" t="str">
        <x:v>Control</x:v>
      </x:c>
      <x:c r="B69" s="35" t="str">
        <x:v>C09</x:v>
      </x:c>
      <x:c r="C69" s="35" t="str">
        <x:v>Comparación de alternativas</x:v>
      </x:c>
      <x:c r="D69" s="35" t="str">
        <x:v>Contexto, evidencia o gobierno</x:v>
      </x:c>
      <x:c r="E69" s="35" t="str">
        <x:v>Describir completar, aplazar con medidas, sustituir, aislar o recuperar cuando sean pertinentes. Comparar el efecto corrector, los perjuicios y los requisitos de cada opción. Una medida compensatoria o una aceptación de riesgo no se presenta como corrección realizada. Contraejemplo: Aislamiento tratado como parche aplicado; restauración propuesta sin conocer su capacidad o alcance.</x:v>
      </x:c>
      <x:c r="F69" s="35" t="str">
        <x:v>T001 §§3.3–3.5; B10 §§3.4, 4.3</x:v>
      </x:c>
    </x:row>
    <x:row r="70" ht="77" customHeight="1">
      <x:c r="A70" s="35" t="str">
        <x:v>Control</x:v>
      </x:c>
      <x:c r="B70" s="35" t="str">
        <x:v>C10</x:v>
      </x:c>
      <x:c r="C70" s="35" t="str">
        <x:v>Viabilidad temporal</x:v>
      </x:c>
      <x:c r="D70" s="35" t="str">
        <x:v>Contexto, evidencia o gobierno</x:v>
      </x:c>
      <x:c r="E70" s="35" t="str">
        <x:v>Declarar ventana, duración de actuación, validación y recuperación, con dependencias y márgenes justificados. Las estimaciones desconocidas se mantienen abiertas. Este análisis sólo se activa si el consejo contempla una actuación pendiente. Contraejemplo: Duración de reinicio considerada sin tiempo de recuperación; ventana disponible confundida con permiso.</x:v>
      </x:c>
      <x:c r="F70" s="35" t="str">
        <x:v>B10 §3.2; B01 §3.3.2</x:v>
      </x:c>
    </x:row>
    <x:row r="71" ht="77" customHeight="1">
      <x:c r="A71" s="35" t="str">
        <x:v>Control</x:v>
      </x:c>
      <x:c r="B71" s="35" t="str">
        <x:v>C11</x:v>
      </x:c>
      <x:c r="C71" s="35" t="str">
        <x:v>Autoridad concreta</x:v>
      </x:c>
      <x:c r="D71" s="35" t="str">
        <x:v>Contexto, evidencia o gobierno</x:v>
      </x:c>
      <x:c r="E71" s="35" t="str">
        <x:v>Identificar responsable, acto autorizado, objeto, alcance temporal y restricciones. El consejo no crea autorización. La revocación o caducidad de un permiso impide tratarlo como vigente. La admisión del conocimiento corresponde a la autoridad humana competente del proyecto. Contraejemplo: Permiso para otro activo; autorización vencida; IA que se concede una excepción.</x:v>
      </x:c>
      <x:c r="F71" s="35" t="str">
        <x:v>B01 §§3.3.1–3.3.2; SV-IN y mandato humano posterior</x:v>
      </x:c>
    </x:row>
    <x:row r="72" ht="77" customHeight="1">
      <x:c r="A72" s="35" t="str">
        <x:v>Control</x:v>
      </x:c>
      <x:c r="B72" s="35" t="str">
        <x:v>C12</x:v>
      </x:c>
      <x:c r="C72" s="35" t="str">
        <x:v>Proporcionalidad de coste y valor</x:v>
      </x:c>
      <x:c r="D72" s="35" t="str">
        <x:v>Contexto, evidencia o gobierno</x:v>
      </x:c>
      <x:c r="E72" s="35" t="str">
        <x:v>Comparar costes totales pertinentes y valor del servicio protegido en un mismo horizonte y con unidades compatibles. Evitar doble cómputo y probabilidades inventadas. Conservar perjuicios no monetizados. Presentar al experto alternativas no ordenables con la evidencia disponible. Contraejemplo: Coste de seguridad comparado sólo con precio del equipo; suma de pérdidas que representan el mismo perjuicio.</x:v>
      </x:c>
      <x:c r="F72" s="35" t="str">
        <x:v>R035; T001 §3.1; B10 §3.2; principio del Director</x:v>
      </x:c>
    </x:row>
    <x:row r="73" ht="77" customHeight="1">
      <x:c r="A73" s="35" t="str">
        <x:v>Control</x:v>
      </x:c>
      <x:c r="B73" s="35" t="str">
        <x:v>C13</x:v>
      </x:c>
      <x:c r="C73" s="35" t="str">
        <x:v>Dictamen explicado</x:v>
      </x:c>
      <x:c r="D73" s="35" t="str">
        <x:v>Contexto, evidencia o gobierno</x:v>
      </x:c>
      <x:c r="E73" s="35" t="str">
        <x:v>Conservar la cadena entre pregunta, fuente, regla, observación, estado, relación, incertidumbre y consecuencia. Identificar el destinatario responsable y el alcance de suficiencia. Un fallo técnico produce registro técnico, sin salida alternativa del dominio. No denominar Frame a un informe sin representación SV constituida. Contraejemplo: Conclusión sin relación causal declarada; suma de estados heterogéneos; incertidumbre omitida.</x:v>
      </x:c>
      <x:c r="F73" s="35" t="str">
        <x:v>SV-IN; SV-AT</x:v>
      </x:c>
    </x:row>
    <x:row r="74" ht="77" customHeight="1">
      <x:c r="A74" s="35" t="str">
        <x:v>Control</x:v>
      </x:c>
      <x:c r="B74" s="35" t="str">
        <x:v>C14</x:v>
      </x:c>
      <x:c r="C74" s="35" t="str">
        <x:v>Control de versiones del conocimiento</x:v>
      </x:c>
      <x:c r="D74" s="35" t="str">
        <x:v>Contexto, evidencia o gobierno</x:v>
      </x:c>
      <x:c r="E74" s="35" t="str">
        <x:v>Fijar las fuentes y reglas antes de cada evaluación. Adquirir novedades en una actividad separada y someter su admisión a decisión humana. Los cambios de catálogos externos pueden exigir revisión, pero no sustituyen automáticamente el conocimiento ni añaden valores a Tri. Contraejemplo: Uso de latest; cambio de CVE equiparado a técnica retirada de otro catálogo; actualización silenciosa de criterio.</x:v>
      </x:c>
      <x:c r="F74" s="35" t="str">
        <x:v>SV-IN §§5.4–5.5; mandato del Director</x:v>
      </x:c>
    </x:row>
    <x:row r="75" ht="43" customHeight="1">
      <x:c r="A75" s="35" t="str">
        <x:v>Distinción</x:v>
      </x:c>
      <x:c r="B75" s="35" t="str">
        <x:v>QCY-01-D1</x:v>
      </x:c>
      <x:c r="C75" s="35" t="str">
        <x:v>Identidad del activo</x:v>
      </x:c>
      <x:c r="D75" s="35" t="str">
        <x:v>C01</x:v>
      </x:c>
      <x:c r="E75" s="35" t="str">
        <x:v>Identidad antecedente conservada y resolución actual individualizada.</x:v>
      </x:c>
      <x:c r="F75" s="35" t="str">
        <x:v>Manifiesto antecedente; revisión v0.2</x:v>
      </x:c>
    </x:row>
    <x:row r="76" ht="43" customHeight="1">
      <x:c r="A76" s="35" t="str">
        <x:v>Distinción</x:v>
      </x:c>
      <x:c r="B76" s="35" t="str">
        <x:v>QCY-01-D2</x:v>
      </x:c>
      <x:c r="C76" s="35" t="str">
        <x:v>Componente y configuración</x:v>
      </x:c>
      <x:c r="D76" s="35" t="str">
        <x:v>C01, C05; P06, P12, P13, P16</x:v>
      </x:c>
      <x:c r="E76" s="35" t="str">
        <x:v>Identidad antecedente conservada y resolución actual individualizada.</x:v>
      </x:c>
      <x:c r="F76" s="35" t="str">
        <x:v>Manifiesto antecedente; revisión v0.2</x:v>
      </x:c>
    </x:row>
    <x:row r="77" ht="43" customHeight="1">
      <x:c r="A77" s="35" t="str">
        <x:v>Distinción</x:v>
      </x:c>
      <x:c r="B77" s="35" t="str">
        <x:v>QCY-01-D3</x:v>
      </x:c>
      <x:c r="C77" s="35" t="str">
        <x:v>Referencia de vulnerabilidad</x:v>
      </x:c>
      <x:c r="D77" s="35" t="str">
        <x:v>C01, C14</x:v>
      </x:c>
      <x:c r="E77" s="35" t="str">
        <x:v>Identidad antecedente conservada y resolución actual individualizada.</x:v>
      </x:c>
      <x:c r="F77" s="35" t="str">
        <x:v>Manifiesto antecedente; revisión v0.2</x:v>
      </x:c>
    </x:row>
    <x:row r="78" ht="43" customHeight="1">
      <x:c r="A78" s="35" t="str">
        <x:v>Distinción</x:v>
      </x:c>
      <x:c r="B78" s="35" t="str">
        <x:v>QCY-01-D4</x:v>
      </x:c>
      <x:c r="C78" s="35" t="str">
        <x:v>Aplicabilidad de la actualización</x:v>
      </x:c>
      <x:c r="D78" s="35" t="str">
        <x:v>C01, C02</x:v>
      </x:c>
      <x:c r="E78" s="35" t="str">
        <x:v>Identidad antecedente conservada y resolución actual individualizada.</x:v>
      </x:c>
      <x:c r="F78" s="35" t="str">
        <x:v>Manifiesto antecedente; revisión v0.2</x:v>
      </x:c>
    </x:row>
    <x:row r="79" ht="43" customHeight="1">
      <x:c r="A79" s="35" t="str">
        <x:v>Distinción</x:v>
      </x:c>
      <x:c r="B79" s="35" t="str">
        <x:v>QCY-02-D1</x:v>
      </x:c>
      <x:c r="C79" s="35" t="str">
        <x:v>Identidad del episodio</x:v>
      </x:c>
      <x:c r="D79" s="35" t="str">
        <x:v>C01, C03, C07</x:v>
      </x:c>
      <x:c r="E79" s="35" t="str">
        <x:v>Identidad antecedente conservada y resolución actual individualizada.</x:v>
      </x:c>
      <x:c r="F79" s="35" t="str">
        <x:v>Manifiesto antecedente; revisión v0.2</x:v>
      </x:c>
    </x:row>
    <x:row r="80" ht="43" customHeight="1">
      <x:c r="A80" s="35" t="str">
        <x:v>Distinción</x:v>
      </x:c>
      <x:c r="B80" s="35" t="str">
        <x:v>QCY-02-D2</x:v>
      </x:c>
      <x:c r="C80" s="35" t="str">
        <x:v>Integridad de la evidencia</x:v>
      </x:c>
      <x:c r="D80" s="35" t="str">
        <x:v>C02</x:v>
      </x:c>
      <x:c r="E80" s="35" t="str">
        <x:v>Identidad antecedente conservada y resolución actual individualizada.</x:v>
      </x:c>
      <x:c r="F80" s="35" t="str">
        <x:v>Manifiesto antecedente; revisión v0.2</x:v>
      </x:c>
    </x:row>
    <x:row r="81" ht="43" customHeight="1">
      <x:c r="A81" s="35" t="str">
        <x:v>Distinción</x:v>
      </x:c>
      <x:c r="B81" s="35" t="str">
        <x:v>QCY-02-D3</x:v>
      </x:c>
      <x:c r="C81" s="35" t="str">
        <x:v>Procedencia y admisión</x:v>
      </x:c>
      <x:c r="D81" s="35" t="str">
        <x:v>C02, C11, C14</x:v>
      </x:c>
      <x:c r="E81" s="35" t="str">
        <x:v>Identidad antecedente conservada y resolución actual individualizada.</x:v>
      </x:c>
      <x:c r="F81" s="35" t="str">
        <x:v>Manifiesto antecedente; revisión v0.2</x:v>
      </x:c>
    </x:row>
    <x:row r="82" ht="43" customHeight="1">
      <x:c r="A82" s="35" t="str">
        <x:v>Distinción</x:v>
      </x:c>
      <x:c r="B82" s="35" t="str">
        <x:v>QCY-03-D1</x:v>
      </x:c>
      <x:c r="C82" s="35" t="str">
        <x:v>Operación individual</x:v>
      </x:c>
      <x:c r="D82" s="35" t="str">
        <x:v>C03</x:v>
      </x:c>
      <x:c r="E82" s="35" t="str">
        <x:v>Identidad antecedente conservada y resolución actual individualizada.</x:v>
      </x:c>
      <x:c r="F82" s="35" t="str">
        <x:v>Manifiesto antecedente; revisión v0.2</x:v>
      </x:c>
    </x:row>
    <x:row r="83" ht="43" customHeight="1">
      <x:c r="A83" s="35" t="str">
        <x:v>Distinción</x:v>
      </x:c>
      <x:c r="B83" s="35" t="str">
        <x:v>QCY-03-D2</x:v>
      </x:c>
      <x:c r="C83" s="35" t="str">
        <x:v>Resultado terminal comunicado</x:v>
      </x:c>
      <x:c r="D83" s="35" t="str">
        <x:v>P02; C03</x:v>
      </x:c>
      <x:c r="E83" s="35" t="str">
        <x:v>Identidad antecedente conservada y resolución actual individualizada.</x:v>
      </x:c>
      <x:c r="F83" s="35" t="str">
        <x:v>Manifiesto antecedente; revisión v0.2</x:v>
      </x:c>
    </x:row>
    <x:row r="84" ht="43" customHeight="1">
      <x:c r="A84" s="35" t="str">
        <x:v>Distinción</x:v>
      </x:c>
      <x:c r="B84" s="35" t="str">
        <x:v>QCY-03-D3</x:v>
      </x:c>
      <x:c r="C84" s="35" t="str">
        <x:v>Errores asociados</x:v>
      </x:c>
      <x:c r="D84" s="35" t="str">
        <x:v>C03; P07 por criterio afectado</x:v>
      </x:c>
      <x:c r="E84" s="35" t="str">
        <x:v>Identidad antecedente conservada y resolución actual individualizada.</x:v>
      </x:c>
      <x:c r="F84" s="35" t="str">
        <x:v>Manifiesto antecedente; revisión v0.2</x:v>
      </x:c>
    </x:row>
    <x:row r="85" ht="43" customHeight="1">
      <x:c r="A85" s="35" t="str">
        <x:v>Distinción</x:v>
      </x:c>
      <x:c r="B85" s="35" t="str">
        <x:v>QCY-04-D1</x:v>
      </x:c>
      <x:c r="C85" s="35" t="str">
        <x:v>Necesidad de reinicio del sistema</x:v>
      </x:c>
      <x:c r="D85" s="35" t="str">
        <x:v>P01</x:v>
      </x:c>
      <x:c r="E85" s="35" t="str">
        <x:v>Identidad antecedente conservada y resolución actual individualizada.</x:v>
      </x:c>
      <x:c r="F85" s="35" t="str">
        <x:v>Manifiesto antecedente; revisión v0.2</x:v>
      </x:c>
    </x:row>
    <x:row r="86" ht="43" customHeight="1">
      <x:c r="A86" s="35" t="str">
        <x:v>Distinción</x:v>
      </x:c>
      <x:c r="B86" s="35" t="str">
        <x:v>QCY-04-D2</x:v>
      </x:c>
      <x:c r="C86" s="35" t="str">
        <x:v>Reinicio íntegro realizado</x:v>
      </x:c>
      <x:c r="D86" s="35" t="str">
        <x:v>P03</x:v>
      </x:c>
      <x:c r="E86" s="35" t="str">
        <x:v>Identidad antecedente conservada y resolución actual individualizada.</x:v>
      </x:c>
      <x:c r="F86" s="35" t="str">
        <x:v>Manifiesto antecedente; revisión v0.2</x:v>
      </x:c>
    </x:row>
    <x:row r="87" ht="43" customHeight="1">
      <x:c r="A87" s="35" t="str">
        <x:v>Distinción</x:v>
      </x:c>
      <x:c r="B87" s="35" t="str">
        <x:v>QCY-04-D3</x:v>
      </x:c>
      <x:c r="C87" s="35" t="str">
        <x:v>Otros cambios requeridos</x:v>
      </x:c>
      <x:c r="D87" s="35" t="str">
        <x:v>P04, P15; C04; AC01–AC08</x:v>
      </x:c>
      <x:c r="E87" s="35" t="str">
        <x:v>Identidad antecedente conservada y resolución actual individualizada.</x:v>
      </x:c>
      <x:c r="F87" s="35" t="str">
        <x:v>Manifiesto antecedente; revisión v0.2</x:v>
      </x:c>
    </x:row>
    <x:row r="88" ht="43" customHeight="1">
      <x:c r="A88" s="35" t="str">
        <x:v>Distinción</x:v>
      </x:c>
      <x:c r="B88" s="35" t="str">
        <x:v>QCY-04-D4</x:v>
      </x:c>
      <x:c r="C88" s="35" t="str">
        <x:v>Cumplimiento de los cambios</x:v>
      </x:c>
      <x:c r="D88" s="35" t="str">
        <x:v>P05, P06, P07, P11–P13, P16–P24; C04, C05</x:v>
      </x:c>
      <x:c r="E88" s="35" t="str">
        <x:v>Identidad antecedente conservada y resolución actual individualizada.</x:v>
      </x:c>
      <x:c r="F88" s="35" t="str">
        <x:v>Manifiesto antecedente; revisión v0.2</x:v>
      </x:c>
    </x:row>
    <x:row r="89" ht="43" customHeight="1">
      <x:c r="A89" s="35" t="str">
        <x:v>Distinción</x:v>
      </x:c>
      <x:c r="B89" s="35" t="str">
        <x:v>QCY-05-D1</x:v>
      </x:c>
      <x:c r="C89" s="35" t="str">
        <x:v>Criterio de comprobación</x:v>
      </x:c>
      <x:c r="D89" s="35" t="str">
        <x:v>C06</x:v>
      </x:c>
      <x:c r="E89" s="35" t="str">
        <x:v>Identidad antecedente conservada y resolución actual individualizada.</x:v>
      </x:c>
      <x:c r="F89" s="35" t="str">
        <x:v>Manifiesto antecedente; revisión v0.2</x:v>
      </x:c>
    </x:row>
    <x:row r="90" ht="43" customHeight="1">
      <x:c r="A90" s="35" t="str">
        <x:v>Distinción</x:v>
      </x:c>
      <x:c r="B90" s="35" t="str">
        <x:v>QCY-05-D2</x:v>
      </x:c>
      <x:c r="C90" s="35" t="str">
        <x:v>Estado utilizado y estados relacionados</x:v>
      </x:c>
      <x:c r="D90" s="35" t="str">
        <x:v>P06, P12, P13, P16–P24; C05, C07</x:v>
      </x:c>
      <x:c r="E90" s="35" t="str">
        <x:v>Identidad antecedente conservada y resolución actual individualizada.</x:v>
      </x:c>
      <x:c r="F90" s="35" t="str">
        <x:v>Manifiesto antecedente; revisión v0.2</x:v>
      </x:c>
    </x:row>
    <x:row r="91" ht="43" customHeight="1">
      <x:c r="A91" s="35" t="str">
        <x:v>Distinción</x:v>
      </x:c>
      <x:c r="B91" s="35" t="str">
        <x:v>QCY-05-D3</x:v>
      </x:c>
      <x:c r="C91" s="35" t="str">
        <x:v>Resultado de la comprobación</x:v>
      </x:c>
      <x:c r="D91" s="35" t="str">
        <x:v>P07; C06</x:v>
      </x:c>
      <x:c r="E91" s="35" t="str">
        <x:v>Identidad antecedente conservada y resolución actual individualizada.</x:v>
      </x:c>
      <x:c r="F91" s="35" t="str">
        <x:v>Manifiesto antecedente; revisión v0.2</x:v>
      </x:c>
    </x:row>
    <x:row r="92" ht="43" customHeight="1">
      <x:c r="A92" s="35" t="str">
        <x:v>Distinción</x:v>
      </x:c>
      <x:c r="B92" s="35" t="str">
        <x:v>QCY-06-D1</x:v>
      </x:c>
      <x:c r="C92" s="35" t="str">
        <x:v>Servicio afectado</x:v>
      </x:c>
      <x:c r="D92" s="35" t="str">
        <x:v>C05, C08</x:v>
      </x:c>
      <x:c r="E92" s="35" t="str">
        <x:v>Identidad antecedente conservada y resolución actual individualizada.</x:v>
      </x:c>
      <x:c r="F92" s="35" t="str">
        <x:v>Manifiesto antecedente; revisión v0.2</x:v>
      </x:c>
    </x:row>
    <x:row r="93" ht="43" customHeight="1">
      <x:c r="A93" s="35" t="str">
        <x:v>Distinción</x:v>
      </x:c>
      <x:c r="B93" s="35" t="str">
        <x:v>QCY-06-D2</x:v>
      </x:c>
      <x:c r="C93" s="35" t="str">
        <x:v>Dependencias</x:v>
      </x:c>
      <x:c r="D93" s="35" t="str">
        <x:v>C05; P20 por relación pertinente</x:v>
      </x:c>
      <x:c r="E93" s="35" t="str">
        <x:v>Identidad antecedente conservada y resolución actual individualizada.</x:v>
      </x:c>
      <x:c r="F93" s="35" t="str">
        <x:v>Manifiesto antecedente; revisión v0.2</x:v>
      </x:c>
    </x:row>
    <x:row r="94" ht="43" customHeight="1">
      <x:c r="A94" s="35" t="str">
        <x:v>Distinción</x:v>
      </x:c>
      <x:c r="B94" s="35" t="str">
        <x:v>QCY-06-D3</x:v>
      </x:c>
      <x:c r="C94" s="35" t="str">
        <x:v>Consecuencias de interrupción</x:v>
      </x:c>
      <x:c r="D94" s="35" t="str">
        <x:v>C08, C10, C12</x:v>
      </x:c>
      <x:c r="E94" s="35" t="str">
        <x:v>Identidad antecedente conservada y resolución actual individualizada.</x:v>
      </x:c>
      <x:c r="F94" s="35" t="str">
        <x:v>Manifiesto antecedente; revisión v0.2</x:v>
      </x:c>
    </x:row>
    <x:row r="95" ht="43" customHeight="1">
      <x:c r="A95" s="35" t="str">
        <x:v>Distinción</x:v>
      </x:c>
      <x:c r="B95" s="35" t="str">
        <x:v>QCY-07-D1</x:v>
      </x:c>
      <x:c r="C95" s="35" t="str">
        <x:v>Alternativas</x:v>
      </x:c>
      <x:c r="D95" s="35" t="str">
        <x:v>C09</x:v>
      </x:c>
      <x:c r="E95" s="35" t="str">
        <x:v>Identidad antecedente conservada y resolución actual individualizada.</x:v>
      </x:c>
      <x:c r="F95" s="35" t="str">
        <x:v>Manifiesto antecedente; revisión v0.2</x:v>
      </x:c>
    </x:row>
    <x:row r="96" ht="43" customHeight="1">
      <x:c r="A96" s="35" t="str">
        <x:v>Distinción</x:v>
      </x:c>
      <x:c r="B96" s="35" t="str">
        <x:v>QCY-07-D2</x:v>
      </x:c>
      <x:c r="C96" s="35" t="str">
        <x:v>Ventana temporal</x:v>
      </x:c>
      <x:c r="D96" s="35" t="str">
        <x:v>C10</x:v>
      </x:c>
      <x:c r="E96" s="35" t="str">
        <x:v>Identidad antecedente conservada y resolución actual individualizada.</x:v>
      </x:c>
      <x:c r="F96" s="35" t="str">
        <x:v>Manifiesto antecedente; revisión v0.2</x:v>
      </x:c>
    </x:row>
    <x:row r="97" ht="43" customHeight="1">
      <x:c r="A97" s="35" t="str">
        <x:v>Distinción</x:v>
      </x:c>
      <x:c r="B97" s="35" t="str">
        <x:v>QCY-07-D3</x:v>
      </x:c>
      <x:c r="C97" s="35" t="str">
        <x:v>Autoridad para actuar</x:v>
      </x:c>
      <x:c r="D97" s="35" t="str">
        <x:v>C11</x:v>
      </x:c>
      <x:c r="E97" s="35" t="str">
        <x:v>Identidad antecedente conservada y resolución actual individualizada.</x:v>
      </x:c>
      <x:c r="F97" s="35" t="str">
        <x:v>Manifiesto antecedente; revisión v0.2</x:v>
      </x:c>
    </x:row>
    <x:row r="98" ht="43" customHeight="1">
      <x:c r="A98" s="35" t="str">
        <x:v>Distinción</x:v>
      </x:c>
      <x:c r="B98" s="35" t="str">
        <x:v>QCY-07-D4</x:v>
      </x:c>
      <x:c r="C98" s="35" t="str">
        <x:v>Balance de coste y valor</x:v>
      </x:c>
      <x:c r="D98" s="35" t="str">
        <x:v>C08, C12</x:v>
      </x:c>
      <x:c r="E98" s="35" t="str">
        <x:v>Identidad antecedente conservada y resolución actual individualizada.</x:v>
      </x:c>
      <x:c r="F98" s="35" t="str">
        <x:v>Manifiesto antecedente; revisión v0.2</x:v>
      </x:c>
    </x:row>
    <x:row r="99" ht="43" customHeight="1">
      <x:c r="A99" s="35" t="str">
        <x:v>Distinción</x:v>
      </x:c>
      <x:c r="B99" s="35" t="str">
        <x:v>QCY-08-D1</x:v>
      </x:c>
      <x:c r="C99" s="35" t="str">
        <x:v>Retirada y reversión</x:v>
      </x:c>
      <x:c r="D99" s="35" t="str">
        <x:v>P08; P06, P13, P18, P19 según mecanismo; C07</x:v>
      </x:c>
      <x:c r="E99" s="35" t="str">
        <x:v>Identidad antecedente conservada y resolución actual individualizada.</x:v>
      </x:c>
      <x:c r="F99" s="35" t="str">
        <x:v>Manifiesto antecedente; revisión v0.2</x:v>
      </x:c>
    </x:row>
    <x:row r="100" ht="43" customHeight="1">
      <x:c r="A100" s="35" t="str">
        <x:v>Distinción</x:v>
      </x:c>
      <x:c r="B100" s="35" t="str">
        <x:v>QCY-08-D2</x:v>
      </x:c>
      <x:c r="C100" s="35" t="str">
        <x:v>Cambio posterior de componente</x:v>
      </x:c>
      <x:c r="D100" s="35" t="str">
        <x:v>P09, P14; C07</x:v>
      </x:c>
      <x:c r="E100" s="35" t="str">
        <x:v>Identidad antecedente conservada y resolución actual individualizada.</x:v>
      </x:c>
      <x:c r="F100" s="35" t="str">
        <x:v>Manifiesto antecedente; revisión v0.2</x:v>
      </x:c>
    </x:row>
    <x:row r="101" ht="43" customHeight="1">
      <x:c r="A101" s="35" t="str">
        <x:v>Distinción</x:v>
      </x:c>
      <x:c r="B101" s="35" t="str">
        <x:v>QCY-08-D3</x:v>
      </x:c>
      <x:c r="C101" s="35" t="str">
        <x:v>Restauración anterior</x:v>
      </x:c>
      <x:c r="D101" s="35" t="str">
        <x:v>P10; C07, C09</x:v>
      </x:c>
      <x:c r="E101" s="35" t="str">
        <x:v>Identidad antecedente conservada y resolución actual individualizada.</x:v>
      </x:c>
      <x:c r="F101" s="35" t="str">
        <x:v>Manifiesto antecedente; revisión v0.2</x:v>
      </x:c>
    </x:row>
    <x:row r="102" ht="43" customHeight="1">
      <x:c r="A102" s="35" t="str">
        <x:v>Distinción</x:v>
      </x:c>
      <x:c r="B102" s="35" t="str">
        <x:v>QCY-09-D1</x:v>
      </x:c>
      <x:c r="C102" s="35" t="str">
        <x:v>Cobertura de dependencias</x:v>
      </x:c>
      <x:c r="D102" s="35" t="str">
        <x:v>C05</x:v>
      </x:c>
      <x:c r="E102" s="35" t="str">
        <x:v>Identidad antecedente conservada y resolución actual individualizada.</x:v>
      </x:c>
      <x:c r="F102" s="35" t="str">
        <x:v>Manifiesto antecedente; revisión v0.2</x:v>
      </x:c>
    </x:row>
    <x:row r="103" ht="43" customHeight="1">
      <x:c r="A103" s="35" t="str">
        <x:v>Distinción</x:v>
      </x:c>
      <x:c r="B103" s="35" t="str">
        <x:v>QCY-09-D2</x:v>
      </x:c>
      <x:c r="C103" s="35" t="str">
        <x:v>Incertidumbres</x:v>
      </x:c>
      <x:c r="D103" s="35" t="str">
        <x:v>U propia de cada parámetro; C02, C06, C13</x:v>
      </x:c>
      <x:c r="E103" s="35" t="str">
        <x:v>Identidad antecedente conservada y resolución actual individualizada.</x:v>
      </x:c>
      <x:c r="F103" s="35" t="str">
        <x:v>Manifiesto antecedente; revisión v0.2</x:v>
      </x:c>
    </x:row>
    <x:row r="104" ht="43" customHeight="1">
      <x:c r="A104" s="35" t="str">
        <x:v>Distinción</x:v>
      </x:c>
      <x:c r="B104" s="35" t="str">
        <x:v>QCY-09-D3</x:v>
      </x:c>
      <x:c r="C104" s="35" t="str">
        <x:v>Justificación del consejo</x:v>
      </x:c>
      <x:c r="D104" s="35" t="str">
        <x:v>C13, C14</x:v>
      </x:c>
      <x:c r="E104" s="35" t="str">
        <x:v>Identidad antecedente conservada y resolución actual individualizada.</x:v>
      </x:c>
      <x:c r="F104" s="35" t="str">
        <x:v>Manifiesto antecedente; revisión v0.2</x:v>
      </x:c>
    </x:row>
    <x:row r="105" ht="43" customHeight="1">
      <x:c r="A105" s="35" t="str">
        <x:v>Distinción</x:v>
      </x:c>
      <x:c r="B105" s="35" t="str">
        <x:v>QCY-09-D4</x:v>
      </x:c>
      <x:c r="C105" s="35" t="str">
        <x:v>Destinatario responsable</x:v>
      </x:c>
      <x:c r="D105" s="35" t="str">
        <x:v>C11, C13</x:v>
      </x:c>
      <x:c r="E105" s="35" t="str">
        <x:v>Identidad antecedente conservada y resolución actual individualizada.</x:v>
      </x:c>
      <x:c r="F105" s="35" t="str">
        <x:v>Manifiesto antecedente; revisión v0.2</x:v>
      </x:c>
    </x:row>
    <x:row r="106" ht="43" customHeight="1">
      <x:c r="A106" s="35" t="str">
        <x:v>Clase de acción</x:v>
      </x:c>
      <x:c r="B106" s="35" t="str">
        <x:v>AC01</x:v>
      </x:c>
      <x:c r="C106" s="35" t="str">
        <x:v>Reinicio del sistema</x:v>
      </x:c>
      <x:c r="D106" s="35" t="str">
        <x:v>P01; P03; P06 cuando corresponda</x:v>
      </x:c>
      <x:c r="E106" s="35" t="str">
        <x:v>Un reinicio solicitado no es un reinicio completado.</x:v>
      </x:c>
      <x:c r="F106" s="35" t="str">
        <x:v>T001 §2.3.2; perfiles citados en los parámetros</x:v>
      </x:c>
    </x:row>
    <x:row r="107" ht="43" customHeight="1">
      <x:c r="A107" s="35" t="str">
        <x:v>Clase de acción</x:v>
      </x:c>
      <x:c r="B107" s="35" t="str">
        <x:v>AC02</x:v>
      </x:c>
      <x:c r="C107" s="35" t="str">
        <x:v>Reinicio de un programa</x:v>
      </x:c>
      <x:c r="D107" s="35" t="str">
        <x:v>P04; P05, P11, P17, P06, P20 y P07 por función exigida</x:v>
      </x:c>
      <x:c r="E107" s="35" t="str">
        <x:v>No se exige detener consumidores ajenos al programa.</x:v>
      </x:c>
      <x:c r="F107" s="35" t="str">
        <x:v>T001 §2.3.2; perfiles citados en los parámetros</x:v>
      </x:c>
    </x:row>
    <x:row r="108" ht="43" customHeight="1">
      <x:c r="A108" s="35" t="str">
        <x:v>Clase de acción</x:v>
      </x:c>
      <x:c r="B108" s="35" t="str">
        <x:v>AC03</x:v>
      </x:c>
      <x:c r="C108" s="35" t="str">
        <x:v>Modificación de configuración</x:v>
      </x:c>
      <x:c r="D108" s="35" t="str">
        <x:v>P15; P12, P16, P14; P07 por efecto requerido</x:v>
      </x:c>
      <x:c r="E108" s="35" t="str">
        <x:v>Una clave por estado y ámbito.</x:v>
      </x:c>
      <x:c r="F108" s="35" t="str">
        <x:v>T001 §2.3.2; perfiles citados en los parámetros</x:v>
      </x:c>
    </x:row>
    <x:row r="109" ht="43" customHeight="1">
      <x:c r="A109" s="35" t="str">
        <x:v>Clase de acción</x:v>
      </x:c>
      <x:c r="B109" s="35" t="str">
        <x:v>AC04</x:v>
      </x:c>
      <x:c r="C109" s="35" t="str">
        <x:v>Sustitución o despliegue de artefacto</x:v>
      </x:c>
      <x:c r="D109" s="35" t="str">
        <x:v>P15; P13, P06, P22, P23; C05 para instancias</x:v>
      </x:c>
      <x:c r="E109" s="35" t="str">
        <x:v>La carga y la durabilidad no se deducen de una ruta de archivo.</x:v>
      </x:c>
      <x:c r="F109" s="35" t="str">
        <x:v>T001 §2.3.2; perfiles citados en los parámetros</x:v>
      </x:c>
    </x:row>
    <x:row r="110" ht="43" customHeight="1">
      <x:c r="A110" s="35" t="str">
        <x:v>Clase de acción</x:v>
      </x:c>
      <x:c r="B110" s="35" t="str">
        <x:v>AC05</x:v>
      </x:c>
      <x:c r="C110" s="35" t="str">
        <x:v>Aplicación de parche durante la ejecución</x:v>
      </x:c>
      <x:c r="D110" s="35" t="str">
        <x:v>P15; P18, P19, P20, P21; P07 por condición correctora</x:v>
      </x:c>
      <x:c r="E110" s="35" t="str">
        <x:v>La cobertura de tareas y el estado compartido se comprueban separadamente.</x:v>
      </x:c>
      <x:c r="F110" s="35" t="str">
        <x:v>T001 §2.3.2; perfiles citados en los parámetros</x:v>
      </x:c>
    </x:row>
    <x:row r="111" ht="43" customHeight="1">
      <x:c r="A111" s="35" t="str">
        <x:v>Clase de acción</x:v>
      </x:c>
      <x:c r="B111" s="35" t="str">
        <x:v>AC06</x:v>
      </x:c>
      <x:c r="C111" s="35" t="str">
        <x:v>Operación diferida de archivo</x:v>
      </x:c>
      <x:c r="D111" s="35" t="str">
        <x:v>P15; P24, P13, P23 y la condición de ejecución pertinente</x:v>
      </x:c>
      <x:c r="E111" s="35" t="str">
        <x:v>Ausencia de pendiente no acredita que la operación terminase con éxito.</x:v>
      </x:c>
      <x:c r="F111" s="35" t="str">
        <x:v>T001 §2.3.2; perfiles citados en los parámetros</x:v>
      </x:c>
    </x:row>
    <x:row r="112" ht="47" customHeight="1">
      <x:c r="A112" s="35" t="str">
        <x:v>Clase de acción</x:v>
      </x:c>
      <x:c r="B112" s="35" t="str">
        <x:v>AC07</x:v>
      </x:c>
      <x:c r="C112" s="35" t="str">
        <x:v>Actualización de estado derivado o compartido</x:v>
      </x:c>
      <x:c r="D112" s="35" t="str">
        <x:v>P15; P20, P21 y P07 por cada invariante funcional</x:v>
      </x:c>
      <x:c r="E112" s="35" t="str">
        <x:v>No se oculta una nueva clase de estado en un resultado global; las variables de configuración se asignan a P12/P16.</x:v>
      </x:c>
      <x:c r="F112" s="35" t="str">
        <x:v>T001 §2.3.2; perfiles citados en los parámetros</x:v>
      </x:c>
    </x:row>
    <x:row r="113" ht="43" customHeight="1">
      <x:c r="A113" s="35" t="str">
        <x:v>Clase de acción</x:v>
      </x:c>
      <x:c r="B113" s="35" t="str">
        <x:v>AC08</x:v>
      </x:c>
      <x:c r="C113" s="35" t="str">
        <x:v>Activación de imagen de firmware</x:v>
      </x:c>
      <x:c r="D113" s="35" t="str">
        <x:v>P15; P13, P22, P06; P07 por compatibilidad y efecto requeridos</x:v>
      </x:c>
      <x:c r="E113" s="35" t="str">
        <x:v>Perfil específico del dispositivo; una imagen descargada no acredita su activación.</x:v>
      </x:c>
      <x:c r="F113" s="35" t="str">
        <x:v>T001 §2.3.2; perfiles citados en los parámetros</x:v>
      </x:c>
    </x:row>
  </x:sheetData>
  <x:mergeCells>
    <x:mergeCell ref="A1:D1"/>
    <x:mergeCell ref="A2:F2"/>
  </x:mergeCells>
  <x:pageMargins left="0.7" right="0.7" top="0.75" bottom="0.75" header="0.3" footer="0.3"/>
  <x:tableParts count="1">
    <x:tablePart xmlns:r="http://schemas.openxmlformats.org/officeDocument/2006/relationships" r:id="R67b7d86758c44f63"/>
  </x:tableParts>
</x:worksheet>
</file>

<file path=xl/worksheets/sheet7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8" hidden="0" customWidth="1"/>
    <x:col min="3" max="3" width="18" hidden="0" customWidth="1"/>
    <x:col min="4" max="4" width="18" hidden="0" customWidth="1"/>
    <x:col min="5" max="5" width="18" hidden="0" customWidth="1"/>
    <x:col min="6" max="6" width="20" hidden="0" customWidth="1"/>
    <x:col min="7" max="7" width="20" hidden="0" customWidth="1"/>
    <x:col min="8" max="8" width="20" hidden="0" customWidth="1"/>
    <x:col min="9" max="9" width="90" hidden="0" customWidth="1"/>
    <x:col min="10" max="10" width="110" hidden="0" customWidth="1"/>
    <x:col min="11" max="11" width="110" hidden="0" customWidth="1"/>
    <x:col min="12" max="12" width="60" hidden="0" customWidth="1"/>
  </x:cols>
  <x:sheetData>
    <x:row r="1" ht="34" customHeight="1">
      <x:c r="A1" s="36" t="str">
        <x:v>Dimensión prevista del dominio</x:v>
      </x:c>
      <x:c r="B1" s="35"/>
      <x:c r="C1" s="35"/>
      <x:c r="D1" s="35"/>
      <x:c r="E1" s="35"/>
      <x:c r="F1" s="35"/>
      <x:c r="G1" s="35"/>
      <x:c r="H1" s="35"/>
      <x:c r="I1" s="35"/>
      <x:c r="J1" s="35"/>
      <x:c r="K1" s="35"/>
      <x:c r="L1" s="35"/>
    </x:row>
    <x:row r="2" ht="46" customHeight="1">
      <x:c r="A2" s="37" t="str">
        <x:v>Escenarios de planificación. Las cantidades son hipótesis editables; sólo las 24 definiciones de OP-CYB-001 están constituidas.</x:v>
      </x:c>
      <x:c r="B2" s="35"/>
      <x:c r="C2" s="35"/>
      <x:c r="D2" s="35"/>
      <x:c r="E2" s="35"/>
      <x:c r="F2" s="35"/>
      <x:c r="G2" s="35"/>
      <x:c r="H2" s="35"/>
      <x:c r="I2" s="35"/>
      <x:c r="J2" s="35"/>
      <x:c r="K2" s="35"/>
      <x:c r="L2" s="35"/>
    </x:row>
    <x:row r="3">
      <x:c r="A3" s="35"/>
      <x:c r="B3" s="35"/>
      <x:c r="C3" s="35"/>
      <x:c r="D3" s="35"/>
      <x:c r="E3" s="35"/>
      <x:c r="F3" s="35"/>
      <x:c r="G3" s="35"/>
      <x:c r="H3" s="35"/>
      <x:c r="I3" s="35"/>
      <x:c r="J3" s="35"/>
      <x:c r="K3" s="35"/>
      <x:c r="L3" s="35"/>
    </x:row>
    <x:row r="4" ht="42" customHeight="1">
      <x:c r="A4" s="39" t="str">
        <x:v>Operación</x:v>
      </x:c>
      <x:c r="B4" s="39" t="str">
        <x:v>Familia profesional</x:v>
      </x:c>
      <x:c r="C4" s="39" t="str">
        <x:v>Universos compacto</x:v>
      </x:c>
      <x:c r="D4" s="39" t="str">
        <x:v>Universos central</x:v>
      </x:c>
      <x:c r="E4" s="39" t="str">
        <x:v>Universos amplio</x:v>
      </x:c>
      <x:c r="F4" s="39" t="str">
        <x:v>Adicionales compacto</x:v>
      </x:c>
      <x:c r="G4" s="39" t="str">
        <x:v>Adicionales central</x:v>
      </x:c>
      <x:c r="H4" s="39" t="str">
        <x:v>Adicionales amplio</x:v>
      </x:c>
      <x:c r="I4" s="39" t="str">
        <x:v>Justificación de partición</x:v>
      </x:c>
      <x:c r="J4" s="39" t="str">
        <x:v>Conocimiento de base</x:v>
      </x:c>
      <x:c r="K4" s="39" t="str">
        <x:v>Consecuencia de omitirlo</x:v>
      </x:c>
      <x:c r="L4" s="39" t="str">
        <x:v>Referencia educativa</x:v>
      </x:c>
    </x:row>
    <x:row r="5" ht="47" customHeight="1">
      <x:c r="A5" s="35" t="str">
        <x:v>CYO-01</x:v>
      </x:c>
      <x:c r="B5" s="35" t="str">
        <x:v>Riesgo y tratamiento</x:v>
      </x:c>
      <x:c r="C5" s="41" t="n">
        <x:v>1</x:v>
      </x:c>
      <x:c r="D5" s="41" t="n">
        <x:v>1</x:v>
      </x:c>
      <x:c r="E5" s="41" t="n">
        <x:v>2</x:v>
      </x:c>
      <x:c r="F5" s="41" t="n">
        <x:v>16</x:v>
      </x:c>
      <x:c r="G5" s="41" t="n">
        <x:v>24</x:v>
      </x:c>
      <x:c r="H5" s="41" t="n">
        <x:v>40</x:v>
      </x:c>
      <x:c r="I5" s="35" t="str">
        <x:v>Separación eventual entre valoración del riesgo y selección del tratamiento.</x:v>
      </x:c>
      <x:c r="J5" s="35" t="str">
        <x:v>Estimar con supuestos, comparar alternativas y justificar consecuencias</x:v>
      </x:c>
      <x:c r="K5" s="35" t="str">
        <x:v>Una cifra de riesgo puede ocultar costes, dependencias y pérdidas no consideradas.</x:v>
      </x:c>
      <x:c r="L5" s="35" t="str">
        <x:v>R035; IV: métodos, calibración, tratamiento y comunicación</x:v>
      </x:c>
    </x:row>
    <x:row r="6" ht="47" customHeight="1">
      <x:c r="A6" s="35" t="str">
        <x:v>CYO-02</x:v>
      </x:c>
      <x:c r="B6" s="35" t="str">
        <x:v>Arquitectura segura</x:v>
      </x:c>
      <x:c r="C6" s="41" t="n">
        <x:v>1</x:v>
      </x:c>
      <x:c r="D6" s="41" t="n">
        <x:v>2</x:v>
      </x:c>
      <x:c r="E6" s="41" t="n">
        <x:v>3</x:v>
      </x:c>
      <x:c r="F6" s="41" t="n">
        <x:v>20</x:v>
      </x:c>
      <x:c r="G6" s="41" t="n">
        <x:v>32</x:v>
      </x:c>
      <x:c r="H6" s="41" t="n">
        <x:v>52</x:v>
      </x:c>
      <x:c r="I6" s="35" t="str">
        <x:v>Fronteras de confianza, aislamiento e integración pueden requerir productos distintos.</x:v>
      </x:c>
      <x:c r="J6" s="35" t="str">
        <x:v>Razonar sobre superficies, segmentación y dependencias</x:v>
      </x:c>
      <x:c r="K6" s="35" t="str">
        <x:v>Un control local puede dejar sin proteger una dependencia del servicio.</x:v>
      </x:c>
      <x:c r="L6" s="35" t="str">
        <x:v>R019; IV: seguridad de redes; complemento R029 redes/nube</x:v>
      </x:c>
    </x:row>
    <x:row r="7" ht="47" customHeight="1">
      <x:c r="A7" s="35" t="str">
        <x:v>CYO-03</x:v>
      </x:c>
      <x:c r="B7" s="35" t="str">
        <x:v>Acceso y privilegios</x:v>
      </x:c>
      <x:c r="C7" s="41" t="n">
        <x:v>1</x:v>
      </x:c>
      <x:c r="D7" s="41" t="n">
        <x:v>1</x:v>
      </x:c>
      <x:c r="E7" s="41" t="n">
        <x:v>2</x:v>
      </x:c>
      <x:c r="F7" s="41" t="n">
        <x:v>14</x:v>
      </x:c>
      <x:c r="G7" s="41" t="n">
        <x:v>22</x:v>
      </x:c>
      <x:c r="H7" s="41" t="n">
        <x:v>36</x:v>
      </x:c>
      <x:c r="I7" s="35" t="str">
        <x:v>Concesión, revisión y revocación; posible separación entre identidad y privilegio.</x:v>
      </x:c>
      <x:c r="J7" s="35" t="str">
        <x:v>Distinguir identidad, autenticación, autorización y privilegio efectivo</x:v>
      </x:c>
      <x:c r="K7" s="35" t="str">
        <x:v>Identificar al usuario no demuestra que deba disponer de ese acceso.</x:v>
      </x:c>
      <x:c r="L7" s="35" t="str">
        <x:v>R024; IV: acceso y seguridad de datos; contraste NICE T1548</x:v>
      </x:c>
    </x:row>
    <x:row r="8" ht="43" customHeight="1">
      <x:c r="A8" s="35" t="str">
        <x:v>CYO-04</x:v>
      </x:c>
      <x:c r="B8" s="35" t="str">
        <x:v>Evaluación técnica autorizada</x:v>
      </x:c>
      <x:c r="C8" s="41" t="n">
        <x:v>1</x:v>
      </x:c>
      <x:c r="D8" s="41" t="n">
        <x:v>2</x:v>
      </x:c>
      <x:c r="E8" s="41" t="n">
        <x:v>3</x:v>
      </x:c>
      <x:c r="F8" s="41" t="n">
        <x:v>18</x:v>
      </x:c>
      <x:c r="G8" s="41" t="n">
        <x:v>30</x:v>
      </x:c>
      <x:c r="H8" s="41" t="n">
        <x:v>48</x:v>
      </x:c>
      <x:c r="I8" s="35" t="str">
        <x:v>Configuración, aplicación y red presentan objetos y criterios diferentes.</x:v>
      </x:c>
      <x:c r="J8" s="35" t="str">
        <x:v>Diseñar y ejecutar pruebas delimitadas; informar incertidumbre</x:v>
      </x:c>
      <x:c r="K8" s="35" t="str">
        <x:v>Una prueba fuera de alcance puede producir daño sin autorización.</x:v>
      </x:c>
      <x:c r="L8" s="35" t="str">
        <x:v>R034; IV: alcance, fases y pruebas; R015 como base</x:v>
      </x:c>
    </x:row>
    <x:row r="9" ht="47" customHeight="1">
      <x:c r="A9" s="35" t="str">
        <x:v>CYO-05</x:v>
      </x:c>
      <x:c r="B9" s="35" t="str">
        <x:v>Entrega segura de software</x:v>
      </x:c>
      <x:c r="C9" s="41" t="n">
        <x:v>1</x:v>
      </x:c>
      <x:c r="D9" s="41" t="n">
        <x:v>2</x:v>
      </x:c>
      <x:c r="E9" s="41" t="n">
        <x:v>3</x:v>
      </x:c>
      <x:c r="F9" s="41" t="n">
        <x:v>20</x:v>
      </x:c>
      <x:c r="G9" s="41" t="n">
        <x:v>32</x:v>
      </x:c>
      <x:c r="H9" s="41" t="n">
        <x:v>50</x:v>
      </x:c>
      <x:c r="I9" s="35" t="str">
        <x:v>Construcción, dependencia y liberación; estados de procedencia y verificación propios.</x:v>
      </x:c>
      <x:c r="J9" s="35" t="str">
        <x:v>Rastrear defectos entre requisitos, código, pruebas y versión</x:v>
      </x:c>
      <x:c r="K9" s="35" t="str">
        <x:v>Probar otra construcción deja sin evidencia la entrega examinada.</x:v>
      </x:c>
      <x:c r="L9" s="35" t="str">
        <x:v>R028; IV: desarrollo y análisis seguro; R023 ingeniería</x:v>
      </x:c>
    </x:row>
    <x:row r="10" ht="47" customHeight="1">
      <x:c r="A10" s="35" t="str">
        <x:v>CYO-06</x:v>
      </x:c>
      <x:c r="B10" s="35" t="str">
        <x:v>Proveedor y dependencia</x:v>
      </x:c>
      <x:c r="C10" s="41" t="n">
        <x:v>1</x:v>
      </x:c>
      <x:c r="D10" s="41" t="n">
        <x:v>1</x:v>
      </x:c>
      <x:c r="E10" s="41" t="n">
        <x:v>2</x:v>
      </x:c>
      <x:c r="F10" s="41" t="n">
        <x:v>10</x:v>
      </x:c>
      <x:c r="G10" s="41" t="n">
        <x:v>18</x:v>
      </x:c>
      <x:c r="H10" s="41" t="n">
        <x:v>30</x:v>
      </x:c>
      <x:c r="I10" s="35" t="str">
        <x:v>Evaluación inicial y seguimiento contractual pueden separarse.</x:v>
      </x:c>
      <x:c r="J10" s="35" t="str">
        <x:v>Valorar dependencia, garantías verificables y responsabilidad</x:v>
      </x:c>
      <x:c r="K10" s="35" t="str">
        <x:v>Una dependencia no evaluada puede trasladar riesgo al servicio.</x:v>
      </x:c>
      <x:c r="L10" s="35" t="str">
        <x:v>R035; IV: transferencia y tratamiento; NICE OG-WRL-017 como contraste</x:v>
      </x:c>
    </x:row>
    <x:row r="11" ht="47" customHeight="1">
      <x:c r="A11" s="35" t="str">
        <x:v>CYO-07</x:v>
      </x:c>
      <x:c r="B11" s="35" t="str">
        <x:v>Clasificación de alertas</x:v>
      </x:c>
      <x:c r="C11" s="41" t="n">
        <x:v>1</x:v>
      </x:c>
      <x:c r="D11" s="41" t="n">
        <x:v>1</x:v>
      </x:c>
      <x:c r="E11" s="41" t="n">
        <x:v>1</x:v>
      </x:c>
      <x:c r="F11" s="41" t="n">
        <x:v>12</x:v>
      </x:c>
      <x:c r="G11" s="41" t="n">
        <x:v>18</x:v>
      </x:c>
      <x:c r="H11" s="41" t="n">
        <x:v>28</x:v>
      </x:c>
      <x:c r="I11" s="35" t="str">
        <x:v>Un producto de clasificación, con evidencia, contexto y errores diferenciados.</x:v>
      </x:c>
      <x:c r="J11" s="35" t="str">
        <x:v>Contrastar señales, calidad de evidencia y contexto de servicio</x:v>
      </x:c>
      <x:c r="K11" s="35" t="str">
        <x:v>Ausencia de señal puede confundirse con ausencia de actividad.</x:v>
      </x:c>
      <x:c r="L11" s="35" t="str">
        <x:v>R033; IV: SOC, correlación y gestión de incidentes</x:v>
      </x:c>
    </x:row>
    <x:row r="12" ht="43" customHeight="1">
      <x:c r="A12" s="35" t="str">
        <x:v>CYO-08</x:v>
      </x:c>
      <x:c r="B12" s="35" t="str">
        <x:v>Inteligencia de amenazas</x:v>
      </x:c>
      <x:c r="C12" s="41" t="n">
        <x:v>1</x:v>
      </x:c>
      <x:c r="D12" s="41" t="n">
        <x:v>1</x:v>
      </x:c>
      <x:c r="E12" s="41" t="n">
        <x:v>2</x:v>
      </x:c>
      <x:c r="F12" s="41" t="n">
        <x:v>12</x:v>
      </x:c>
      <x:c r="G12" s="41" t="n">
        <x:v>20</x:v>
      </x:c>
      <x:c r="H12" s="41" t="n">
        <x:v>32</x:v>
      </x:c>
      <x:c r="I12" s="35" t="str">
        <x:v>Producción analítica y aplicabilidad operativa de información recibida.</x:v>
      </x:c>
      <x:c r="J12" s="35" t="str">
        <x:v>Relacionar fuentes y contexto con una pregunta profesional</x:v>
      </x:c>
      <x:c r="K12" s="35" t="str">
        <x:v>Una atribución no sostenida puede orientar una defensa equivocada.</x:v>
      </x:c>
      <x:c r="L12" s="35" t="str">
        <x:v>R033; IV: inteligencia de amenazas</x:v>
      </x:c>
    </x:row>
    <x:row r="13" ht="43" customHeight="1">
      <x:c r="A13" s="35" t="str">
        <x:v>CYO-09</x:v>
      </x:c>
      <x:c r="B13" s="35" t="str">
        <x:v>Plan de respuesta</x:v>
      </x:c>
      <x:c r="C13" s="41" t="n">
        <x:v>1</x:v>
      </x:c>
      <x:c r="D13" s="41" t="n">
        <x:v>1</x:v>
      </x:c>
      <x:c r="E13" s="41" t="n">
        <x:v>1</x:v>
      </x:c>
      <x:c r="F13" s="41" t="n">
        <x:v>8</x:v>
      </x:c>
      <x:c r="G13" s="41" t="n">
        <x:v>14</x:v>
      </x:c>
      <x:c r="H13" s="41" t="n">
        <x:v>24</x:v>
      </x:c>
      <x:c r="I13" s="35" t="str">
        <x:v>Preparación y decisión del plan, separadas de la respuesta efectiva.</x:v>
      </x:c>
      <x:c r="J13" s="35" t="str">
        <x:v>Planificar contención y recuperación considerando efectos laterales</x:v>
      </x:c>
      <x:c r="K13" s="35" t="str">
        <x:v>Una medida puede interrumpir más de lo que protege.</x:v>
      </x:c>
      <x:c r="L13" s="35" t="str">
        <x:v>R033; IV: respuesta; R035 balance de tratamiento</x:v>
      </x:c>
    </x:row>
    <x:row r="14" ht="47" customHeight="1">
      <x:c r="A14" s="35" t="str">
        <x:v>CYO-10</x:v>
      </x:c>
      <x:c r="B14" s="35" t="str">
        <x:v>Análisis forense</x:v>
      </x:c>
      <x:c r="C14" s="41" t="n">
        <x:v>1</x:v>
      </x:c>
      <x:c r="D14" s="41" t="n">
        <x:v>2</x:v>
      </x:c>
      <x:c r="E14" s="41" t="n">
        <x:v>3</x:v>
      </x:c>
      <x:c r="F14" s="41" t="n">
        <x:v>18</x:v>
      </x:c>
      <x:c r="G14" s="41" t="n">
        <x:v>30</x:v>
      </x:c>
      <x:c r="H14" s="41" t="n">
        <x:v>48</x:v>
      </x:c>
      <x:c r="I14" s="35" t="str">
        <x:v>Adquisición, reconstrucción e interpretación pueden exigir productos diferentes.</x:v>
      </x:c>
      <x:c r="J14" s="35" t="str">
        <x:v>Separar original, copia, transformación, observación e interpretación</x:v>
      </x:c>
      <x:c r="K14" s="35" t="str">
        <x:v>Perder procedencia impide sostener una conclusión con esa evidencia.</x:v>
      </x:c>
      <x:c r="L14" s="35" t="str">
        <x:v>R033; IV: DFIR y cadena de custodia</x:v>
      </x:c>
    </x:row>
    <x:row r="15" ht="43" customHeight="1">
      <x:c r="A15" s="35" t="str">
        <x:v>CYO-11</x:v>
      </x:c>
      <x:c r="B15" s="35" t="str">
        <x:v>Preparación de recuperación</x:v>
      </x:c>
      <x:c r="C15" s="41" t="n">
        <x:v>1</x:v>
      </x:c>
      <x:c r="D15" s="41" t="n">
        <x:v>1</x:v>
      </x:c>
      <x:c r="E15" s="41" t="n">
        <x:v>2</x:v>
      </x:c>
      <x:c r="F15" s="41" t="n">
        <x:v>12</x:v>
      </x:c>
      <x:c r="G15" s="41" t="n">
        <x:v>20</x:v>
      </x:c>
      <x:c r="H15" s="41" t="n">
        <x:v>32</x:v>
      </x:c>
      <x:c r="I15" s="35" t="str">
        <x:v>Preparación y prueba del plan; no se cuenta la restauración efectiva aquí.</x:v>
      </x:c>
      <x:c r="J15" s="35" t="str">
        <x:v>Ensayar recuperación con dependencias, objetivos y límites</x:v>
      </x:c>
      <x:c r="K15" s="35" t="str">
        <x:v>Una copia existente puede resultar inútil al necesitar recuperación.</x:v>
      </x:c>
      <x:c r="L15" s="35" t="str">
        <x:v>R033; IV: BCP/DRP, RPO y RTO</x:v>
      </x:c>
    </x:row>
    <x:row r="16" ht="47" customHeight="1">
      <x:c r="A16" s="35" t="str">
        <x:v>CYO-12</x:v>
      </x:c>
      <x:c r="B16" s="35" t="str">
        <x:v>Cambio y mantenimiento</x:v>
      </x:c>
      <x:c r="C16" s="41" t="n">
        <x:v>1</x:v>
      </x:c>
      <x:c r="D16" s="41" t="n">
        <x:v>1</x:v>
      </x:c>
      <x:c r="E16" s="41" t="n">
        <x:v>2</x:v>
      </x:c>
      <x:c r="F16" s="41" t="n">
        <x:v>6</x:v>
      </x:c>
      <x:c r="G16" s="41" t="n">
        <x:v>10</x:v>
      </x:c>
      <x:c r="H16" s="41" t="n">
        <x:v>18</x:v>
      </x:c>
      <x:c r="I16" s="35" t="str">
        <x:v>Diseño y autorización del cambio; se descuenta el cierre por actualización ya constituido.</x:v>
      </x:c>
      <x:c r="J16" s="35" t="str">
        <x:v>Comprender ejecución y aislamiento; comprobar el efecto del cambio</x:v>
      </x:c>
      <x:c r="K16" s="35" t="str">
        <x:v>Documentar una configuración deseada no demuestra la efectiva.</x:v>
      </x:c>
      <x:c r="L16" s="35" t="str">
        <x:v>R025; IV: sistemas operativos; R019 configuración segura</x:v>
      </x:c>
    </x:row>
    <x:row r="17" ht="43" customHeight="1">
      <x:c r="A17" s="35" t="str">
        <x:v>CYO-13</x:v>
      </x:c>
      <x:c r="B17" s="35" t="str">
        <x:v>Protección criptográfica</x:v>
      </x:c>
      <x:c r="C17" s="41" t="n">
        <x:v>1</x:v>
      </x:c>
      <x:c r="D17" s="41" t="n">
        <x:v>2</x:v>
      </x:c>
      <x:c r="E17" s="41" t="n">
        <x:v>3</x:v>
      </x:c>
      <x:c r="F17" s="41" t="n">
        <x:v>18</x:v>
      </x:c>
      <x:c r="G17" s="41" t="n">
        <x:v>28</x:v>
      </x:c>
      <x:c r="H17" s="41" t="n">
        <x:v>44</x:v>
      </x:c>
      <x:c r="I17" s="35" t="str">
        <x:v>Selección y empleo, claves y validación de protocolos pueden separarse.</x:v>
      </x:c>
      <x:c r="J17" s="35" t="str">
        <x:v>Elegir y analizar construcciones según la propiedad necesaria</x:v>
      </x:c>
      <x:c r="K17" s="35" t="str">
        <x:v>Confundir hash, firma y cifrado puede dejar sin garantía el objetivo.</x:v>
      </x:c>
      <x:c r="L17" s="35" t="str">
        <x:v>R007; IV: cifrado, autenticación, hash y firma</x:v>
      </x:c>
    </x:row>
    <x:row r="18" ht="43" customHeight="1">
      <x:c r="A18" s="35" t="str">
        <x:v>CYO-14</x:v>
      </x:c>
      <x:c r="B18" s="35" t="str">
        <x:v>Seguridad de sistemas ciberfísicos</x:v>
      </x:c>
      <x:c r="C18" s="41" t="n">
        <x:v>1</x:v>
      </x:c>
      <x:c r="D18" s="41" t="n">
        <x:v>2</x:v>
      </x:c>
      <x:c r="E18" s="41" t="n">
        <x:v>3</x:v>
      </x:c>
      <x:c r="F18" s="41" t="n">
        <x:v>22</x:v>
      </x:c>
      <x:c r="G18" s="41" t="n">
        <x:v>36</x:v>
      </x:c>
      <x:c r="H18" s="41" t="n">
        <x:v>58</x:v>
      </x:c>
      <x:c r="I18" s="35" t="str">
        <x:v>Proceso físico, protección y mantenimiento; no extrapolación directa de IT.</x:v>
      </x:c>
      <x:c r="J18" s="35" t="str">
        <x:v>Analizar cascadas y compatibilidad entre seguridad y operación</x:v>
      </x:c>
      <x:c r="K18" s="35" t="str">
        <x:v>Una respuesta digital puede afectar a la continuidad o al proceso físico.</x:v>
      </x:c>
      <x:c r="L18" s="35" t="str">
        <x:v>R036; IV: infraestructuras e interdependencias</x:v>
      </x:c>
    </x:row>
    <x:row r="19" ht="47" customHeight="1">
      <x:c r="A19" s="35" t="str">
        <x:v>CYO-15</x:v>
      </x:c>
      <x:c r="B19" s="35" t="str">
        <x:v>Admisibilidad de un uso de IA</x:v>
      </x:c>
      <x:c r="C19" s="41" t="n">
        <x:v>1</x:v>
      </x:c>
      <x:c r="D19" s="41" t="n">
        <x:v>1</x:v>
      </x:c>
      <x:c r="E19" s="41" t="n">
        <x:v>1</x:v>
      </x:c>
      <x:c r="F19" s="41" t="n">
        <x:v>8</x:v>
      </x:c>
      <x:c r="G19" s="41" t="n">
        <x:v>14</x:v>
      </x:c>
      <x:c r="H19" s="41" t="n">
        <x:v>24</x:v>
      </x:c>
      <x:c r="I19" s="35" t="str">
        <x:v>Decisión sobre un uso concreto, diferenciada de la política general.</x:v>
      </x:c>
      <x:c r="J19" s="35" t="str">
        <x:v>Juzgar adecuación al uso con afectados, alternativas y límites</x:v>
      </x:c>
      <x:c r="K19" s="35" t="str">
        <x:v>Un modelo técnicamente válido puede ser improcedente para ese uso.</x:v>
      </x:c>
      <x:c r="L19" s="35" t="str">
        <x:v>M003; CLO: confianza, ética y evaluación; R037 gobierno</x:v>
      </x:c>
    </x:row>
    <x:row r="20" ht="43" customHeight="1">
      <x:c r="A20" s="35" t="str">
        <x:v>CYO-16</x:v>
      </x:c>
      <x:c r="B20" s="35" t="str">
        <x:v>Auditoría de controles</x:v>
      </x:c>
      <x:c r="C20" s="41" t="n">
        <x:v>1</x:v>
      </x:c>
      <x:c r="D20" s="41" t="n">
        <x:v>1</x:v>
      </x:c>
      <x:c r="E20" s="41" t="n">
        <x:v>2</x:v>
      </x:c>
      <x:c r="F20" s="41" t="n">
        <x:v>10</x:v>
      </x:c>
      <x:c r="G20" s="41" t="n">
        <x:v>16</x:v>
      </x:c>
      <x:c r="H20" s="41" t="n">
        <x:v>26</x:v>
      </x:c>
      <x:c r="I20" s="35" t="str">
        <x:v>Diseño y funcionamiento del control pueden dar productos diferentes.</x:v>
      </x:c>
      <x:c r="J20" s="35" t="str">
        <x:v>Planificar pruebas y sostener conclusiones frente a criterios</x:v>
      </x:c>
      <x:c r="K20" s="35" t="str">
        <x:v>Una comprobación superficial puede ocultar un incumplimiento material.</x:v>
      </x:c>
      <x:c r="L20" s="35" t="str">
        <x:v>R032; II/IV: auditoría y evidencia</x:v>
      </x:c>
    </x:row>
    <x:row r="21" ht="47" customHeight="1">
      <x:c r="A21" s="35" t="str">
        <x:v>CYO-17</x:v>
      </x:c>
      <x:c r="B21" s="35" t="str">
        <x:v>Privacidad y obligaciones</x:v>
      </x:c>
      <x:c r="C21" s="41" t="n">
        <x:v>1</x:v>
      </x:c>
      <x:c r="D21" s="41" t="n">
        <x:v>2</x:v>
      </x:c>
      <x:c r="E21" s="41" t="n">
        <x:v>3</x:v>
      </x:c>
      <x:c r="F21" s="41" t="n">
        <x:v>12</x:v>
      </x:c>
      <x:c r="G21" s="41" t="n">
        <x:v>22</x:v>
      </x:c>
      <x:c r="H21" s="41" t="n">
        <x:v>38</x:v>
      </x:c>
      <x:c r="I21" s="35" t="str">
        <x:v>Tratamiento de datos, derechos y obligaciones según jurisdicción y función.</x:v>
      </x:c>
      <x:c r="J21" s="35" t="str">
        <x:v>Distinguir regla aplicable, supuesto y autoridad</x:v>
      </x:c>
      <x:c r="K21" s="35" t="str">
        <x:v>Importar una obligación por analogía puede producir un consejo improcedente.</x:v>
      </x:c>
      <x:c r="L21" s="35" t="str">
        <x:v>R012; IV: derecho; textos vigentes concretos requieren examen propio</x:v>
      </x:c>
    </x:row>
    <x:row r="22" ht="47" customHeight="1">
      <x:c r="A22" s="35" t="str">
        <x:v>CYO-18</x:v>
      </x:c>
      <x:c r="B22" s="35" t="str">
        <x:v>Diseño curricular</x:v>
      </x:c>
      <x:c r="C22" s="41" t="n">
        <x:v>1</x:v>
      </x:c>
      <x:c r="D22" s="41" t="n">
        <x:v>1</x:v>
      </x:c>
      <x:c r="E22" s="41" t="n">
        <x:v>1</x:v>
      </x:c>
      <x:c r="F22" s="41" t="n">
        <x:v>8</x:v>
      </x:c>
      <x:c r="G22" s="41" t="n">
        <x:v>14</x:v>
      </x:c>
      <x:c r="H22" s="41" t="n">
        <x:v>24</x:v>
      </x:c>
      <x:c r="I22" s="35" t="str">
        <x:v>Resultados de aprendizaje, secuencia y cobertura del plan.</x:v>
      </x:c>
      <x:c r="J22" s="35" t="str">
        <x:v>Diseñar aprendizaje que permita justificar decisiones y sus consecuencias</x:v>
      </x:c>
      <x:c r="K22" s="35" t="str">
        <x:v>Un temario sin práctica evaluada no acredita juicio profesional.</x:v>
      </x:c>
      <x:c r="L22" s="35" t="str">
        <x:v>R040; II/IV/VII.A: integración y evaluación; NICE OG-WRL-003/004</x:v>
      </x:c>
    </x:row>
    <x:row r="23" ht="47" customHeight="1">
      <x:c r="A23" s="35" t="str">
        <x:v>CYO-19</x:v>
      </x:c>
      <x:c r="B23" s="35" t="str">
        <x:v>Investigación</x:v>
      </x:c>
      <x:c r="C23" s="41" t="n">
        <x:v>1</x:v>
      </x:c>
      <x:c r="D23" s="41" t="n">
        <x:v>1</x:v>
      </x:c>
      <x:c r="E23" s="41" t="n">
        <x:v>2</x:v>
      </x:c>
      <x:c r="F23" s="41" t="n">
        <x:v>12</x:v>
      </x:c>
      <x:c r="G23" s="41" t="n">
        <x:v>20</x:v>
      </x:c>
      <x:c r="H23" s="41" t="n">
        <x:v>34</x:v>
      </x:c>
      <x:c r="I23" s="35" t="str">
        <x:v>Diseño del contraste e interpretación; amenazas a la validez.</x:v>
      </x:c>
      <x:c r="J23" s="35" t="str">
        <x:v>Contrastar hipótesis y comunicar validez y límites</x:v>
      </x:c>
      <x:c r="K23" s="35" t="str">
        <x:v>Adoptar una novedad sin evaluar evidencia puede degradar el dominio.</x:v>
      </x:c>
      <x:c r="L23" s="35" t="str">
        <x:v>W016; Learning outcomes: método y lectura crítica; R040</x:v>
      </x:c>
    </x:row>
    <x:row r="24" ht="47" customHeight="1">
      <x:c r="A24" s="35" t="str">
        <x:v>CYO-20</x:v>
      </x:c>
      <x:c r="B24" s="35" t="str">
        <x:v>Investigación de ciberdelitos</x:v>
      </x:c>
      <x:c r="C24" s="41" t="n">
        <x:v>0</x:v>
      </x:c>
      <x:c r="D24" s="41" t="n">
        <x:v>0</x:v>
      </x:c>
      <x:c r="E24" s="41" t="n">
        <x:v>1</x:v>
      </x:c>
      <x:c r="F24" s="41" t="n">
        <x:v>0</x:v>
      </x:c>
      <x:c r="G24" s="41" t="n">
        <x:v>0</x:v>
      </x:c>
      <x:c r="H24" s="41" t="n">
        <x:v>28</x:v>
      </x:c>
      <x:c r="I24" s="35" t="str">
        <x:v>Sólo el escenario amplio incorpora la frontera institucional todavía condicionada.</x:v>
      </x:c>
      <x:c r="J24" s="35" t="str">
        <x:v>Distinguir análisis técnico, investigación legal y atribución</x:v>
      </x:c>
      <x:c r="K24" s="35" t="str">
        <x:v>Confundir un indicio técnico con culpabilidad excede la competencia.</x:v>
      </x:c>
      <x:c r="L24" s="35" t="str">
        <x:v>R012; Ancla educativa jurídica; NICE IN-WRL-001 aporta el rol profesional</x:v>
      </x:c>
    </x:row>
    <x:row r="25" ht="47" customHeight="1">
      <x:c r="A25" s="35" t="str">
        <x:v>CYO-21</x:v>
      </x:c>
      <x:c r="B25" s="35" t="str">
        <x:v>Autorización de operación</x:v>
      </x:c>
      <x:c r="C25" s="41" t="n">
        <x:v>1</x:v>
      </x:c>
      <x:c r="D25" s="41" t="n">
        <x:v>1</x:v>
      </x:c>
      <x:c r="E25" s="41" t="n">
        <x:v>1</x:v>
      </x:c>
      <x:c r="F25" s="41" t="n">
        <x:v>8</x:v>
      </x:c>
      <x:c r="G25" s="41" t="n">
        <x:v>14</x:v>
      </x:c>
      <x:c r="H25" s="41" t="n">
        <x:v>22</x:v>
      </x:c>
      <x:c r="I25" s="35" t="str">
        <x:v>Evidencia de suficiencia y aceptación expresa por la autoridad.</x:v>
      </x:c>
      <x:c r="J25" s="35" t="str">
        <x:v>Integrar dictámenes conservando quién acepta qué riesgo</x:v>
      </x:c>
      <x:c r="K25" s="35" t="str">
        <x:v>Una suma de informes no sustituye una decisión de autorización.</x:v>
      </x:c>
      <x:c r="L25" s="35" t="str">
        <x:v>R037; IV: gobierno; NICE OG-WRL-013 distingue autoridad</x:v>
      </x:c>
    </x:row>
    <x:row r="26" ht="47" customHeight="1">
      <x:c r="A26" s="35" t="str">
        <x:v>CYO-22</x:v>
      </x:c>
      <x:c r="B26" s="35" t="str">
        <x:v>Actividad educativa y evaluación</x:v>
      </x:c>
      <x:c r="C26" s="41" t="n">
        <x:v>1</x:v>
      </x:c>
      <x:c r="D26" s="41" t="n">
        <x:v>1</x:v>
      </x:c>
      <x:c r="E26" s="41" t="n">
        <x:v>1</x:v>
      </x:c>
      <x:c r="F26" s="41" t="n">
        <x:v>8</x:v>
      </x:c>
      <x:c r="G26" s="41" t="n">
        <x:v>12</x:v>
      </x:c>
      <x:c r="H26" s="41" t="n">
        <x:v>20</x:v>
      </x:c>
      <x:c r="I26" s="35" t="str">
        <x:v>Desempeño observado y retroalimentación; no se duplica el diseño curricular.</x:v>
      </x:c>
      <x:c r="J26" s="35" t="str">
        <x:v>Observar desempeño, justificar juicio y corregir carencias</x:v>
      </x:c>
      <x:c r="K26" s="35" t="str">
        <x:v>Una acreditación sin evidencia puede ocultar incapacidad para reconocer consecuencias.</x:v>
      </x:c>
      <x:c r="L26" s="35" t="str">
        <x:v>R038; II/IV/VII.A: proyecto formativo, tutores y memoria; M001</x:v>
      </x:c>
    </x:row>
    <x:row r="27" ht="47" customHeight="1">
      <x:c r="A27" s="35" t="str">
        <x:v>CYO-23</x:v>
      </x:c>
      <x:c r="B27" s="35" t="str">
        <x:v>Evaluación técnica de IA</x:v>
      </x:c>
      <x:c r="C27" s="41" t="n">
        <x:v>1</x:v>
      </x:c>
      <x:c r="D27" s="41" t="n">
        <x:v>2</x:v>
      </x:c>
      <x:c r="E27" s="41" t="n">
        <x:v>3</x:v>
      </x:c>
      <x:c r="F27" s="41" t="n">
        <x:v>24</x:v>
      </x:c>
      <x:c r="G27" s="41" t="n">
        <x:v>40</x:v>
      </x:c>
      <x:c r="H27" s="41" t="n">
        <x:v>64</x:v>
      </x:c>
      <x:c r="I27" s="35" t="str">
        <x:v>Robustez y seguridad, datos y privacidad, validez y comportamiento por población.</x:v>
      </x:c>
      <x:c r="J27" s="35" t="str">
        <x:v>Diseñar contrastes y juzgar generalización, ataques, errores y recursos</x:v>
      </x:c>
      <x:c r="K27" s="35" t="str">
        <x:v>Una buena métrica puede ocultar contaminación de datos o fallos relevantes para el uso.</x:v>
      </x:c>
      <x:c r="L27" s="35" t="str">
        <x:v>M002; CLO: extracción de características y evaluación; M003 robustez; M004 rendimiento</x:v>
      </x:c>
    </x:row>
    <x:row r="28" ht="43" customHeight="1">
      <x:c r="A28" s="35" t="str">
        <x:v>CYO-24</x:v>
      </x:c>
      <x:c r="B28" s="35" t="str">
        <x:v>Respuesta efectiva a incidentes</x:v>
      </x:c>
      <x:c r="C28" s="41" t="n">
        <x:v>1</x:v>
      </x:c>
      <x:c r="D28" s="41" t="n">
        <x:v>1</x:v>
      </x:c>
      <x:c r="E28" s="41" t="n">
        <x:v>2</x:v>
      </x:c>
      <x:c r="F28" s="41" t="n">
        <x:v>18</x:v>
      </x:c>
      <x:c r="G28" s="41" t="n">
        <x:v>30</x:v>
      </x:c>
      <x:c r="H28" s="41" t="n">
        <x:v>48</x:v>
      </x:c>
      <x:c r="I28" s="35" t="str">
        <x:v>Contención y erradicación pueden necesitar universos separados.</x:v>
      </x:c>
      <x:c r="J28" s="35" t="str">
        <x:v>Comprobar qué ocurrió tras actuar y conservar responsabilidad</x:v>
      </x:c>
      <x:c r="K28" s="35" t="str">
        <x:v>Confundir plan con efecto puede declarar contenido un incidente activo.</x:v>
      </x:c>
      <x:c r="L28" s="35" t="str">
        <x:v>R033; IV: ciclo de respuesta y coordinación</x:v>
      </x:c>
    </x:row>
    <x:row r="29" ht="43" customHeight="1">
      <x:c r="A29" s="35" t="str">
        <x:v>CYO-25</x:v>
      </x:c>
      <x:c r="B29" s="35" t="str">
        <x:v>Restauración y retorno al servicio</x:v>
      </x:c>
      <x:c r="C29" s="41" t="n">
        <x:v>1</x:v>
      </x:c>
      <x:c r="D29" s="41" t="n">
        <x:v>1</x:v>
      </x:c>
      <x:c r="E29" s="41" t="n">
        <x:v>2</x:v>
      </x:c>
      <x:c r="F29" s="41" t="n">
        <x:v>16</x:v>
      </x:c>
      <x:c r="G29" s="41" t="n">
        <x:v>26</x:v>
      </x:c>
      <x:c r="H29" s="41" t="n">
        <x:v>42</x:v>
      </x:c>
      <x:c r="I29" s="35" t="str">
        <x:v>Restauración, integridad y reanudación se distinguen de la preparación.</x:v>
      </x:c>
      <x:c r="J29" s="35" t="str">
        <x:v>Verificar estado recuperado y justificar condiciones de retorno</x:v>
      </x:c>
      <x:c r="K29" s="35" t="str">
        <x:v>Reabrir sin verificar dependencias puede reproducir el fallo o perder datos.</x:v>
      </x:c>
      <x:c r="L29" s="35" t="str">
        <x:v>R033; IV: recuperación; R036 dependencias</x:v>
      </x:c>
    </x:row>
    <x:row r="30" ht="47" customHeight="1">
      <x:c r="A30" s="35" t="str">
        <x:v>CYO-26</x:v>
      </x:c>
      <x:c r="B30" s="35" t="str">
        <x:v>Tratamiento de vulnerabilidades</x:v>
      </x:c>
      <x:c r="C30" s="41" t="n">
        <x:v>2</x:v>
      </x:c>
      <x:c r="D30" s="41" t="n">
        <x:v>3</x:v>
      </x:c>
      <x:c r="E30" s="41" t="n">
        <x:v>4</x:v>
      </x:c>
      <x:c r="F30" s="41" t="n">
        <x:v>12</x:v>
      </x:c>
      <x:c r="G30" s="41" t="n">
        <x:v>22</x:v>
      </x:c>
      <x:c r="H30" s="41" t="n">
        <x:v>36</x:v>
      </x:c>
      <x:c r="I30" s="35" t="str">
        <x:v>Incluye OP-CYB-001 ya constituido; además, priorización, tratamiento y excepciones según escenario.</x:v>
      </x:c>
      <x:c r="J30" s="35" t="str">
        <x:v>Relacionar evidencia técnica, exposición, impacto y coste de corrección</x:v>
      </x:c>
      <x:c r="K30" s="35" t="str">
        <x:v>Priorizar por una cifra aislada puede desplazar un riesgo más relevante.</x:v>
      </x:c>
      <x:c r="L30" s="35" t="str">
        <x:v>R035; IV: tratamiento; R034 hallazgos; NICE PD-WRL-007</x:v>
      </x:c>
    </x:row>
    <x:row r="31" ht="47" customHeight="1">
      <x:c r="A31" s="35" t="str">
        <x:v>CYO-27</x:v>
      </x:c>
      <x:c r="B31" s="35" t="str">
        <x:v>Validación de detección</x:v>
      </x:c>
      <x:c r="C31" s="41" t="n">
        <x:v>1</x:v>
      </x:c>
      <x:c r="D31" s="41" t="n">
        <x:v>1</x:v>
      </x:c>
      <x:c r="E31" s="41" t="n">
        <x:v>2</x:v>
      </x:c>
      <x:c r="F31" s="41" t="n">
        <x:v>14</x:v>
      </x:c>
      <x:c r="G31" s="41" t="n">
        <x:v>24</x:v>
      </x:c>
      <x:c r="H31" s="41" t="n">
        <x:v>40</x:v>
      </x:c>
      <x:c r="I31" s="35" t="str">
        <x:v>Cobertura de hipótesis y validación de reglas; posible separación por finalidad.</x:v>
      </x:c>
      <x:c r="J31" s="35" t="str">
        <x:v>Justificar observabilidad y comprobar detectabilidad y carga</x:v>
      </x:c>
      <x:c r="K31" s="35" t="str">
        <x:v>Un detector correcto puede ser ineficaz si no recibe la evidencia necesaria.</x:v>
      </x:c>
      <x:c r="L31" s="35" t="str">
        <x:v>R033; IV: SIEM, correlación y detección; R029 red</x:v>
      </x:c>
    </x:row>
    <x:row r="32" ht="43" customHeight="1">
      <x:c r="A32" s="35" t="str">
        <x:v>CYO-28</x:v>
      </x:c>
      <x:c r="B32" s="35" t="str">
        <x:v>Búsqueda de amenazas por hipótesis</x:v>
      </x:c>
      <x:c r="C32" s="41" t="n">
        <x:v>1</x:v>
      </x:c>
      <x:c r="D32" s="41" t="n">
        <x:v>1</x:v>
      </x:c>
      <x:c r="E32" s="41" t="n">
        <x:v>1</x:v>
      </x:c>
      <x:c r="F32" s="41" t="n">
        <x:v>10</x:v>
      </x:c>
      <x:c r="G32" s="41" t="n">
        <x:v>18</x:v>
      </x:c>
      <x:c r="H32" s="41" t="n">
        <x:v>30</x:v>
      </x:c>
      <x:c r="I32" s="35" t="str">
        <x:v>Un producto de contraste de hipótesis, distinto de clasificar una alerta.</x:v>
      </x:c>
      <x:c r="J32" s="35" t="str">
        <x:v>Investigar actividad que puede eludir controles con hipótesis comprobables</x:v>
      </x:c>
      <x:c r="K32" s="35" t="str">
        <x:v>Limitarse a las alertas omite amenazas fuera de su cobertura.</x:v>
      </x:c>
      <x:c r="L32" s="35" t="str">
        <x:v>R033; IV: tema 6 hunting; G009 contraste</x:v>
      </x:c>
    </x:row>
    <x:row r="33" ht="47" customHeight="1">
      <x:c r="A33" s="35" t="str">
        <x:v>CYO-29</x:v>
      </x:c>
      <x:c r="B33" s="35" t="str">
        <x:v>Política corporativa de IA</x:v>
      </x:c>
      <x:c r="C33" s="41" t="n">
        <x:v>1</x:v>
      </x:c>
      <x:c r="D33" s="41" t="n">
        <x:v>1</x:v>
      </x:c>
      <x:c r="E33" s="41" t="n">
        <x:v>1</x:v>
      </x:c>
      <x:c r="F33" s="41" t="n">
        <x:v>8</x:v>
      </x:c>
      <x:c r="G33" s="41" t="n">
        <x:v>14</x:v>
      </x:c>
      <x:c r="H33" s="41" t="n">
        <x:v>22</x:v>
      </x:c>
      <x:c r="I33" s="35" t="str">
        <x:v>Reglas de uso, excepciones y revisión de política; no aprobación de cada caso.</x:v>
      </x:c>
      <x:c r="J33" s="35" t="str">
        <x:v>Traducir objetivos y responsabilidades en reglas de uso revisables</x:v>
      </x:c>
      <x:c r="K33" s="35" t="str">
        <x:v>Una política sin inventario puede dejar usos reales fuera de supervisión.</x:v>
      </x:c>
      <x:c r="L33" s="35" t="str">
        <x:v>R037; IV: gobierno; M003 ética; AN-02 especificidad IA</x:v>
      </x:c>
    </x:row>
    <x:row r="36" ht="66" customHeight="1">
      <x:c r="A36" s="48" t="str">
        <x:v>Escenario</x:v>
      </x:c>
      <x:c r="B36" s="48" t="str">
        <x:v>Universos</x:v>
      </x:c>
      <x:c r="C36" s="48" t="str">
        <x:v>Incidencias adicionales</x:v>
      </x:c>
      <x:c r="D36" s="48" t="str">
        <x:v>Reutilización supuesta</x:v>
      </x:c>
      <x:c r="E36" s="48" t="str">
        <x:v>Nuevos únicos estimados</x:v>
      </x:c>
      <x:c r="F36" s="48" t="str">
        <x:v>Constituidos</x:v>
      </x:c>
      <x:c r="G36" s="48" t="str">
        <x:v>Total previsto</x:v>
      </x:c>
      <x:c r="H36" s="48" t="str">
        <x:v>Interpretación</x:v>
      </x:c>
    </x:row>
    <x:row r="37" ht="66" customHeight="1">
      <x:c r="A37" s="33" t="str">
        <x:v>Compacto</x:v>
      </x:c>
      <x:c r="B37" s="49" t="n">
        <x:f>SUM(C5:C33)</x:f>
        <x:v>29</x:v>
      </x:c>
      <x:c r="C37" s="49" t="n">
        <x:f>SUM(F5:F33)</x:f>
        <x:v>374</x:v>
      </x:c>
      <x:c r="D37" s="46" t="n">
        <x:v>0.3</x:v>
      </x:c>
      <x:c r="E37" s="49" t="n">
        <x:f>ROUND(C37*(1-D37),0)</x:f>
        <x:v>262</x:v>
      </x:c>
      <x:c r="F37" s="49" t="n">
        <x:f>COUNTA('67_Parametros'!A5:A28)</x:f>
        <x:v>24</x:v>
      </x:c>
      <x:c r="G37" s="49" t="n">
        <x:f>E37+F37</x:f>
        <x:v>286</x:v>
      </x:c>
      <x:c r="H37" s="33" t="str">
        <x:v>Mayor agrupación y reutilización supuestas.</x:v>
      </x:c>
    </x:row>
    <x:row r="38" ht="66" customHeight="1">
      <x:c r="A38" s="33" t="str">
        <x:v>Central</x:v>
      </x:c>
      <x:c r="B38" s="49" t="n">
        <x:f>SUM(D5:D33)</x:f>
        <x:v>38</x:v>
      </x:c>
      <x:c r="C38" s="49" t="n">
        <x:f>SUM(G5:G33)</x:f>
        <x:v>620</x:v>
      </x:c>
      <x:c r="D38" s="46" t="n">
        <x:v>0.15</x:v>
      </x:c>
      <x:c r="E38" s="49" t="n">
        <x:f>ROUND(C38*(1-D38),0)</x:f>
        <x:v>527</x:v>
      </x:c>
      <x:c r="F38" s="49" t="n">
        <x:f>COUNTA('67_Parametros'!A5:A28)</x:f>
        <x:v>24</x:v>
      </x:c>
      <x:c r="G38" s="49" t="n">
        <x:f>E38+F38</x:f>
        <x:v>551</x:v>
      </x:c>
      <x:c r="H38" s="33" t="str">
        <x:v>Hipótesis central sin calibración estadística.</x:v>
      </x:c>
    </x:row>
    <x:row r="39" ht="66" customHeight="1">
      <x:c r="A39" s="33" t="str">
        <x:v>Amplio</x:v>
      </x:c>
      <x:c r="B39" s="49" t="n">
        <x:f>SUM(E5:E33)</x:f>
        <x:v>59</x:v>
      </x:c>
      <x:c r="C39" s="49" t="n">
        <x:f>SUM(H5:H33)</x:f>
        <x:v>1038</x:v>
      </x:c>
      <x:c r="D39" s="46" t="n">
        <x:v>0</x:v>
      </x:c>
      <x:c r="E39" s="49" t="n">
        <x:f>ROUND(C39*(1-D39),0)</x:f>
        <x:v>1038</x:v>
      </x:c>
      <x:c r="F39" s="49" t="n">
        <x:f>COUNTA('67_Parametros'!A5:A28)</x:f>
        <x:v>24</x:v>
      </x:c>
      <x:c r="G39" s="49" t="n">
        <x:f>E39+F39</x:f>
        <x:v>1062</x:v>
      </x:c>
      <x:c r="H39" s="33" t="str">
        <x:v>Más separación; sin descontar reutilización.</x:v>
      </x:c>
    </x:row>
    <x:row r="40" ht="66" customHeight="1">
      <x:c r="A40" s="33"/>
      <x:c r="B40" s="33"/>
      <x:c r="C40" s="33"/>
      <x:c r="D40" s="33"/>
      <x:c r="E40" s="33"/>
      <x:c r="F40" s="33"/>
      <x:c r="G40" s="33"/>
      <x:c r="H40" s="33"/>
    </x:row>
    <x:row r="41" ht="66" customHeight="1">
      <x:c r="A41" s="33"/>
      <x:c r="B41" s="33"/>
      <x:c r="C41" s="33"/>
      <x:c r="D41" s="33"/>
      <x:c r="E41" s="33"/>
      <x:c r="F41" s="33"/>
      <x:c r="G41" s="33"/>
      <x:c r="H41" s="33"/>
    </x:row>
    <x:row r="42" ht="66" customHeight="1">
      <x:c r="A42" s="48" t="str">
        <x:v>Sensibilidad central</x:v>
      </x:c>
      <x:c r="B42" s="48" t="str">
        <x:v>Reutilización</x:v>
      </x:c>
      <x:c r="C42" s="48" t="str">
        <x:v>Resultado previsto</x:v>
      </x:c>
      <x:c r="D42" s="48" t="str">
        <x:v>Alcance</x:v>
      </x:c>
      <x:c r="E42" s="48" t="str"/>
      <x:c r="F42" s="48" t="str"/>
      <x:c r="G42" s="48" t="str"/>
      <x:c r="H42" s="48" t="str"/>
    </x:row>
    <x:row r="43" ht="66" customHeight="1">
      <x:c r="A43" s="33" t="str">
        <x:v>Sin reutilización</x:v>
      </x:c>
      <x:c r="B43" s="47" t="n">
        <x:v>0</x:v>
      </x:c>
      <x:c r="C43" s="49" t="n">
        <x:f>F38+ROUND(C38*(1-B43),0)</x:f>
        <x:v>644</x:v>
      </x:c>
      <x:c r="D43" s="33" t="str">
        <x:v>La cifra depende de hipótesis, no sólo del currículo.</x:v>
      </x:c>
      <x:c r="E43" s="33"/>
      <x:c r="F43" s="33"/>
      <x:c r="G43" s="33"/>
      <x:c r="H43" s="33"/>
    </x:row>
    <x:row r="44" ht="66" customHeight="1">
      <x:c r="A44" s="33" t="str">
        <x:v>Hipótesis central</x:v>
      </x:c>
      <x:c r="B44" s="47" t="n">
        <x:v>0.15</x:v>
      </x:c>
      <x:c r="C44" s="49" t="n">
        <x:f>F38+ROUND(C38*(1-B44),0)</x:f>
        <x:v>551</x:v>
      </x:c>
      <x:c r="D44" s="33" t="str">
        <x:v>La reutilización debe comprobarse al adjudicar identidades.</x:v>
      </x:c>
      <x:c r="E44" s="33"/>
      <x:c r="F44" s="33"/>
      <x:c r="G44" s="33"/>
      <x:c r="H44" s="33"/>
    </x:row>
    <x:row r="45" ht="66" customHeight="1">
      <x:c r="A45" s="33" t="str">
        <x:v>Reutilización mayor</x:v>
      </x:c>
      <x:c r="B45" s="47" t="n">
        <x:v>0.3</x:v>
      </x:c>
      <x:c r="C45" s="49" t="n">
        <x:f>F38+ROUND(C38*(1-B45),0)</x:f>
        <x:v>458</x:v>
      </x:c>
      <x:c r="D45" s="33" t="str">
        <x:v>No es un intervalo estadístico de confianza.</x:v>
      </x:c>
      <x:c r="E45" s="33"/>
      <x:c r="F45" s="33"/>
      <x:c r="G45" s="33"/>
      <x:c r="H45" s="33"/>
    </x:row>
  </x:sheetData>
  <x:mergeCells>
    <x:mergeCell ref="A1:D1"/>
    <x:mergeCell ref="A2:F2"/>
  </x:mergeCells>
  <x:pageMargins left="0.7" right="0.7" top="0.75" bottom="0.75" header="0.3" footer="0.3"/>
  <x:tableParts count="1">
    <x:tablePart xmlns:r="http://schemas.openxmlformats.org/officeDocument/2006/relationships" r:id="Rb1f146117fb04327"/>
  </x:tableParts>
</x:worksheet>
</file>

<file path=xl/worksheets/sheet7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65" hidden="0" customWidth="1"/>
    <x:col min="3" max="3" width="90" hidden="0" customWidth="1"/>
    <x:col min="4" max="4" width="37" hidden="0" customWidth="1"/>
    <x:col min="5" max="5" width="98" hidden="0" customWidth="1"/>
    <x:col min="6" max="6" width="62" hidden="0" customWidth="1"/>
    <x:col min="7" max="7" width="106" hidden="0" customWidth="1"/>
    <x:col min="8" max="8" width="76" hidden="0" customWidth="1"/>
    <x:col min="9" max="9" width="16" hidden="0" customWidth="1"/>
  </x:cols>
  <x:sheetData>
    <x:row r="1" ht="34" customHeight="1">
      <x:c r="A1" s="36" t="str">
        <x:v>Bibliografía razonada y procedencia</x:v>
      </x:c>
      <x:c r="B1" s="35"/>
      <x:c r="C1" s="35"/>
      <x:c r="D1" s="35"/>
      <x:c r="E1" s="35"/>
      <x:c r="F1" s="35"/>
      <x:c r="G1" s="35"/>
      <x:c r="H1" s="35"/>
      <x:c r="I1" s="35"/>
    </x:row>
    <x:row r="2" ht="46" customHeight="1">
      <x:c r="A2" s="37" t="str">
        <x:v>Las referencias educativas sostienen el catálogo y el mapa de operaciones. Las fuentes técnicas se aplican con sus límites de plataforma y finalidad.</x:v>
      </x:c>
      <x:c r="B2" s="35"/>
      <x:c r="C2" s="35"/>
      <x:c r="D2" s="35"/>
      <x:c r="E2" s="35"/>
      <x:c r="F2" s="35"/>
      <x:c r="G2" s="35"/>
      <x:c r="H2" s="35"/>
      <x:c r="I2" s="35"/>
    </x:row>
    <x:row r="3">
      <x:c r="A3" s="35"/>
      <x:c r="B3" s="35"/>
      <x:c r="C3" s="35"/>
      <x:c r="D3" s="35"/>
      <x:c r="E3" s="35"/>
      <x:c r="F3" s="35"/>
      <x:c r="G3" s="35"/>
      <x:c r="H3" s="35"/>
      <x:c r="I3" s="35"/>
    </x:row>
    <x:row r="4" ht="42" customHeight="1">
      <x:c r="A4" s="39" t="str">
        <x:v>Referencia</x:v>
      </x:c>
      <x:c r="B4" s="39" t="str">
        <x:v>Autoría</x:v>
      </x:c>
      <x:c r="C4" s="39" t="str">
        <x:v>Título</x:v>
      </x:c>
      <x:c r="D4" s="39" t="str">
        <x:v>Fecha o edición</x:v>
      </x:c>
      <x:c r="E4" s="39" t="str">
        <x:v>Documento original</x:v>
      </x:c>
      <x:c r="F4" s="39" t="str">
        <x:v>Localizador</x:v>
      </x:c>
      <x:c r="G4" s="39" t="str">
        <x:v>Aportación y límite</x:v>
      </x:c>
      <x:c r="H4" s="39" t="str">
        <x:v>SHA-256 del original</x:v>
      </x:c>
      <x:c r="I4" s="39" t="str">
        <x:v>Bytes</x:v>
      </x:c>
    </x:row>
    <x:row r="5" ht="47" customHeight="1">
      <x:c r="A5" s="35" t="str">
        <x:v>T001</x:v>
      </x:c>
      <x:c r="B5" s="35" t="str">
        <x:v>Souppaya, M.; Scarfone, K.</x:v>
      </x:c>
      <x:c r="C5" s="35" t="str">
        <x:v>Guide to Enterprise Patch Management Planning: Preventive Maintenance for Technology. NIST SP 800-40r4</x:v>
      </x:c>
      <x:c r="D5" s="35" t="str">
        <x:v>2022, abril</x:v>
      </x:c>
      <x:c r="E5" s="35" t="str">
        <x:v>https://doi.org/10.6028/NIST.SP.800-40r4</x:v>
      </x:c>
      <x:c r="F5" s="35" t="str">
        <x:v>§§2.2–2.3, pp. 4–7; §§3.1–3.5</x:v>
      </x:c>
      <x:c r="G5" s="35" t="str">
        <x:v>Fundamento profesional del ciclo de actualización, de la verificación del efecto y del balance de recursos.</x:v>
      </x:c>
      <x:c r="H5" s="35" t="str">
        <x:v>351f4a828d6c0bc8bf98f25ba3f87ec5add0ed8cf8bb4a6e6cb4e7e4a9731833</x:v>
      </x:c>
      <x:c r="I5" s="35" t="n">
        <x:v>562944</x:v>
      </x:c>
    </x:row>
    <x:row r="6" ht="47" customHeight="1">
      <x:c r="A6" s="35" t="str">
        <x:v>F018</x:v>
      </x:c>
      <x:c r="B6" s="35" t="str">
        <x:v>Scarfone, K.; Souppaya, M.; Cody, A.; Orebaugh, A.</x:v>
      </x:c>
      <x:c r="C6" s="35" t="str">
        <x:v>Technical Guide to Information Security Testing and Assessment. NIST SP 800-115</x:v>
      </x:c>
      <x:c r="D6" s="35" t="str">
        <x:v>2008, septiembre</x:v>
      </x:c>
      <x:c r="E6" s="35" t="str">
        <x:v>https://doi.org/10.6028/NIST.SP.800-115</x:v>
      </x:c>
      <x:c r="F6" s="35" t="str">
        <x:v>§§3.4–3.6, 4.3, 6.5, 7.3–7.4</x:v>
      </x:c>
      <x:c r="G6" s="35" t="str">
        <x:v>Alcance y límites de las pruebas, resultados falsos y tratamiento de evidencia.</x:v>
      </x:c>
      <x:c r="H6" s="35" t="str">
        <x:v>58e5ed41e5c8ca34ce14fd80b70f118f2c6d613d1647bc307edca30bcc45f063</x:v>
      </x:c>
      <x:c r="I6" s="35" t="n">
        <x:v>544047</x:v>
      </x:c>
    </x:row>
    <x:row r="7" ht="47" customHeight="1">
      <x:c r="A7" s="35" t="str">
        <x:v>B01</x:v>
      </x:c>
      <x:c r="B7" s="35" t="str">
        <x:v>Johnson, A.; Dempsey, K.; Ross, R.; Gupta, S.; Bailey, D.</x:v>
      </x:c>
      <x:c r="C7" s="35" t="str">
        <x:v>Guide for Security-Focused Configuration Management of Information Systems. NIST SP 800-128</x:v>
      </x:c>
      <x:c r="D7" s="35" t="str">
        <x:v>2011; actualización editorial de 10-10-2019</x:v>
      </x:c>
      <x:c r="E7" s="35" t="str">
        <x:v>https://nvlpubs.nist.gov/nistpubs/SpecialPublications/NIST.SP.800-128.pdf</x:v>
      </x:c>
      <x:c r="F7" s="35" t="str">
        <x:v>§§3.2–3.4, pp. 30–44; apéndices E e I</x:v>
      </x:c>
      <x:c r="G7" s="35" t="str">
        <x:v>Configuración, efectos funcionales y de seguridad, autorización y cierre del cambio. La actualización de 2019 no introduce cambios técnicos.</x:v>
      </x:c>
      <x:c r="H7" s="35" t="str">
        <x:v>ee97c5be0a5a1c70165bf960c67042c5ed1bcb186aeb592eada60e512ab35a70</x:v>
      </x:c>
      <x:c r="I7" s="35" t="n">
        <x:v>1528756</x:v>
      </x:c>
    </x:row>
    <x:row r="8" ht="47" customHeight="1">
      <x:c r="A8" s="35" t="str">
        <x:v>B02</x:v>
      </x:c>
      <x:c r="B8" s="35" t="str">
        <x:v>Regenscheid, A.</x:v>
      </x:c>
      <x:c r="C8" s="35" t="str">
        <x:v>Platform Firmware Resiliency Guidelines. NIST SP 800-193</x:v>
      </x:c>
      <x:c r="D8" s="35" t="str">
        <x:v>2018, mayo</x:v>
      </x:c>
      <x:c r="E8" s="35" t="str">
        <x:v>https://nvlpubs.nist.gov/nistpubs/SpecialPublications/NIST.SP.800-193.pdf</x:v>
      </x:c>
      <x:c r="F8" s="35" t="str">
        <x:v>§§3–4</x:v>
      </x:c>
      <x:c r="G8" s="35" t="str">
        <x:v>Contraste de plataforma y firmware. No acredita un método universal de medición del firmware activo.</x:v>
      </x:c>
      <x:c r="H8" s="35" t="str">
        <x:v>a07a759fe0e58f91c92d466afc9c582d1e1ff3a7cd4a04600ec7f7ff61d5bb06</x:v>
      </x:c>
      <x:c r="I8" s="35" t="n">
        <x:v>516802</x:v>
      </x:c>
    </x:row>
    <x:row r="9" ht="47" customHeight="1">
      <x:c r="A9" s="35" t="str">
        <x:v>B03</x:v>
      </x:c>
      <x:c r="B9" s="35" t="str">
        <x:v>Moran, B.; Tschofenig, H.; Birkholz, H.</x:v>
      </x:c>
      <x:c r="C9" s="35" t="str">
        <x:v>A Manifest Information Model for Firmware Updates in Internet of Things (IoT) Devices. RFC 9124</x:v>
      </x:c>
      <x:c r="D9" s="35" t="str">
        <x:v>2022, enero</x:v>
      </x:c>
      <x:c r="E9" s="35" t="str">
        <x:v>https://www.rfc-editor.org/rfc/rfc9124.txt</x:v>
      </x:c>
      <x:c r="F9" s="35" t="str">
        <x:v>§§3.2–3.15, 3.19, 3.21, 3.25; §4</x:v>
      </x:c>
      <x:c r="G9" s="35" t="str">
        <x:v>Contraste informativo de identidad, autenticidad, precursor, selección y dependencias. No es una norma universal para todo activo IT.</x:v>
      </x:c>
      <x:c r="H9" s="35" t="str">
        <x:v>0a1647c36503262689791fe2853dd6a450314ea8b8a7f9add65c806a6319d354</x:v>
      </x:c>
      <x:c r="I9" s="35" t="n">
        <x:v>85281</x:v>
      </x:c>
    </x:row>
    <x:row r="10" ht="47" customHeight="1">
      <x:c r="A10" s="35" t="str">
        <x:v>B04</x:v>
      </x:c>
      <x:c r="B10" s="35" t="str">
        <x:v>The Linux Kernel development community</x:v>
      </x:c>
      <x:c r="C10" s="35" t="str">
        <x:v>Livepatch</x:v>
      </x:c>
      <x:c r="D10" s="35" t="str">
        <x:v>Linux 6.8.0</x:v>
      </x:c>
      <x:c r="E10" s="35" t="str">
        <x:v>https://www.kernel.org/doc/html/v6.8/livepatch/livepatch.html</x:v>
      </x:c>
      <x:c r="F10" s="35" t="str">
        <x:v>§3, Consistency model; §§5.2–5.5</x:v>
      </x:c>
      <x:c r="G10" s="35" t="str">
        <x:v>Habilitación y transición por tarea, con semántica explícita del estado -1 y límites del mecanismo.</x:v>
      </x:c>
      <x:c r="H10" s="35" t="str">
        <x:v>8e722eea12ec279aff87d266215e07b54441b68691b921035198da4413b8cb1f</x:v>
      </x:c>
      <x:c r="I10" s="35" t="n">
        <x:v>35535</x:v>
      </x:c>
    </x:row>
    <x:row r="11" ht="47" customHeight="1">
      <x:c r="A11" s="35" t="str">
        <x:v>B05</x:v>
      </x:c>
      <x:c r="B11" s="35" t="str">
        <x:v>The Linux Kernel development community</x:v>
      </x:c>
      <x:c r="C11" s="35" t="str">
        <x:v>System State Changes</x:v>
      </x:c>
      <x:c r="D11" s="35" t="str">
        <x:v>Linux 6.8.0</x:v>
      </x:c>
      <x:c r="E11" s="35" t="str">
        <x:v>https://www.kernel.org/doc/html/v6.8/livepatch/system-state.html</x:v>
      </x:c>
      <x:c r="F11" s="35" t="str">
        <x:v>§§1–4</x:v>
      </x:c>
      <x:c r="G11" s="35" t="str">
        <x:v>Compatibilidad entre parches y modificación de estado compartido; base para contrastar obligaciones adicionales.</x:v>
      </x:c>
      <x:c r="H11" s="35" t="str">
        <x:v>7bef1ff9738fcd930833d214a738a79d7f23a818080f3501455364dffa5b7031</x:v>
      </x:c>
      <x:c r="I11" s="35" t="n">
        <x:v>17356</x:v>
      </x:c>
    </x:row>
    <x:row r="12" ht="47" customHeight="1">
      <x:c r="A12" s="35" t="str">
        <x:v>B06</x:v>
      </x:c>
      <x:c r="B12" s="35" t="str">
        <x:v>Microsoft</x:v>
      </x:c>
      <x:c r="C12" s="35" t="str">
        <x:v>FlushFileBuffers function (fileapi.h)</x:v>
      </x:c>
      <x:c r="D12" s="35" t="str">
        <x:v>Metadato ms.date=2018-12-05; captura de 09-09-2026</x:v>
      </x:c>
      <x:c r="E12" s="35" t="str">
        <x:v>https://learn.microsoft.com/en-us/windows/win32/api/fileapi/nf-fileapi-flushfilebuffers</x:v>
      </x:c>
      <x:c r="F12" s="35" t="str">
        <x:v>Return value; Remarks</x:v>
      </x:c>
      <x:c r="G12" s="35" t="str">
        <x:v>Resultado y alcance de una sincronización de archivo.</x:v>
      </x:c>
      <x:c r="H12" s="35" t="str">
        <x:v>79dc26fd14d4503424530e24d95c931d5ee8229bf10418ce819b2b853ea2d00a</x:v>
      </x:c>
      <x:c r="I12" s="35" t="n">
        <x:v>54775</x:v>
      </x:c>
    </x:row>
    <x:row r="13" ht="47" customHeight="1">
      <x:c r="A13" s="35" t="str">
        <x:v>B07</x:v>
      </x:c>
      <x:c r="B13" s="35" t="str">
        <x:v>Microsoft</x:v>
      </x:c>
      <x:c r="C13" s="35" t="str">
        <x:v>FlushViewOfFile function (memoryapi.h)</x:v>
      </x:c>
      <x:c r="D13" s="35" t="str">
        <x:v>Metadato ms.date=2018-12-05; captura de 09-09-2026</x:v>
      </x:c>
      <x:c r="E13" s="35" t="str">
        <x:v>https://learn.microsoft.com/en-us/windows/win32/api/memoryapi/nf-memoryapi-flushviewoffile</x:v>
      </x:c>
      <x:c r="F13" s="35" t="str">
        <x:v>Remarks</x:v>
      </x:c>
      <x:c r="G13" s="35" t="str">
        <x:v>Contraejemplo a equiparar escritura de páginas, metadatos y persistencia en el dispositivo.</x:v>
      </x:c>
      <x:c r="H13" s="35" t="str">
        <x:v>beac4bcc9a9b5d9bd2432dbdcf26b7fc28b3b4ad21356220bd87d07bdd8f7a24</x:v>
      </x:c>
      <x:c r="I13" s="35" t="n">
        <x:v>54343</x:v>
      </x:c>
    </x:row>
    <x:row r="14" ht="47" customHeight="1">
      <x:c r="A14" s="35" t="str">
        <x:v>B08</x:v>
      </x:c>
      <x:c r="B14" s="35" t="str">
        <x:v>Dai, J.; Zhang, Y.; Jiang, Z.; Zhou, Y.; Chen, J.; Xing, X.; Zhang, X.; Tan, X.; Yang, M.; Yang, Z.</x:v>
      </x:c>
      <x:c r="C14" s="35" t="str">
        <x:v>BScout: Direct Whole Patch Presence Test for Java Executables. 29th USENIX Security Symposium, pp. 1147–1164</x:v>
      </x:c>
      <x:c r="D14" s="35" t="str">
        <x:v>2020</x:v>
      </x:c>
      <x:c r="E14" s="35" t="str">
        <x:v>https://www.usenix.org/system/files/sec20-dai.pdf</x:v>
      </x:c>
      <x:c r="F14" s="35" t="str">
        <x:v>§1, pp. 1147–1148; §§4–6 para el alcance del estudio</x:v>
      </x:c>
      <x:c r="G14" s="35" t="str">
        <x:v>Estudio empírico sobre presencia íntegra de parches en ejecutables Java. Sus resultados no se transfieren a todas las plataformas ni validan este catálogo.</x:v>
      </x:c>
      <x:c r="H14" s="35" t="str">
        <x:v>1cf87257c42e90fffeb720071bcd19af1a64e7e9e12a78c1fea4413a403409a9</x:v>
      </x:c>
      <x:c r="I14" s="35" t="n">
        <x:v>1166482</x:v>
      </x:c>
    </x:row>
    <x:row r="15" ht="62" customHeight="1">
      <x:c r="A15" s="35" t="str">
        <x:v>B09</x:v>
      </x:c>
      <x:c r="B15" s="35" t="str">
        <x:v>Sun, S.; Xing, Y.; Wang, X.; Wang, S.; Li, Q.; Sun, K.</x:v>
      </x:c>
      <x:c r="C15" s="35" t="str">
        <x:v>DisPatch: Unraveling Security Patches from Entangled Code Changes. 34th USENIX Security Symposium</x:v>
      </x:c>
      <x:c r="D15" s="35" t="str">
        <x:v>2025</x:v>
      </x:c>
      <x:c r="E15" s="35" t="str">
        <x:v>https://www.usenix.org/system/files/usenixsecurity25-sun-shiyu.pdf</x:v>
      </x:c>
      <x:c r="F15" s="35" t="str">
        <x:v>§1, pp. 4521–4522; §7, evaluación; §8, discusión y límites</x:v>
      </x:c>
      <x:c r="G15" s="35" t="str">
        <x:v>Estudio sobre dependencias de modificaciones de código. Compilar un fragmento separado no acredita que resuelva íntegramente la vulnerabilidad. La delimitación de un parche individual también requiere juicio experto.</x:v>
      </x:c>
      <x:c r="H15" s="35" t="str">
        <x:v>371213ac4cda45351ee7adfa7d18624194992121fb00826fc6690fd667e657f2</x:v>
      </x:c>
      <x:c r="I15" s="35" t="n">
        <x:v>1000060</x:v>
      </x:c>
    </x:row>
    <x:row r="16" ht="47" customHeight="1">
      <x:c r="A16" s="35" t="str">
        <x:v>B10</x:v>
      </x:c>
      <x:c r="B16" s="35" t="str">
        <x:v>Swanson, M.; Bowen, P.; Phillips, A.; Gallup, D.; Lynes, D.</x:v>
      </x:c>
      <x:c r="C16" s="35" t="str">
        <x:v>Contingency Planning Guide for Federal Information Systems. NIST SP 800-34 Rev. 1</x:v>
      </x:c>
      <x:c r="D16" s="35" t="str">
        <x:v>2010; actualización de 11-11-2010</x:v>
      </x:c>
      <x:c r="E16" s="35" t="str">
        <x:v>https://nvlpubs.nist.gov/nistpubs/Legacy/SP/nistspecialpublication800-34r1.pdf</x:v>
      </x:c>
      <x:c r="F16" s="35" t="str">
        <x:v>§3.2, pp. 15–19; §§3.4.1, 4.3</x:v>
      </x:c>
      <x:c r="G16" s="35" t="str">
        <x:v>Relación entre servicios, dependencias, impacto y recuperación. Un objetivo temporal no es un resultado medido.</x:v>
      </x:c>
      <x:c r="H16" s="35" t="str">
        <x:v>476f04d4c60b0770c1ac8b2720551972074ce78e936a3e7a535048416111d0df</x:v>
      </x:c>
      <x:c r="I16" s="35" t="n">
        <x:v>952921</x:v>
      </x:c>
    </x:row>
    <x:row r="17" ht="47" customHeight="1">
      <x:c r="A17" s="35" t="str">
        <x:v>B11</x:v>
      </x:c>
      <x:c r="B17" s="35" t="str">
        <x:v>Microsoft</x:v>
      </x:c>
      <x:c r="C17" s="35" t="str">
        <x:v>File Caching</x:v>
      </x:c>
      <x:c r="D17" s="35" t="str">
        <x:v>Metadato ms.date=2018-05-31; captura de 09-09-2026</x:v>
      </x:c>
      <x:c r="E17" s="35" t="str">
        <x:v>https://learn.microsoft.com/en-us/windows/win32/fileio/file-caching</x:v>
      </x:c>
      <x:c r="F17" s="35" t="str">
        <x:v>Texto principal</x:v>
      </x:c>
      <x:c r="G17" s="35" t="str">
        <x:v>Diferencia entre escrituras almacenadas en memoria y su sincronización; intercambio entre rendimiento y fiabilidad.</x:v>
      </x:c>
      <x:c r="H17" s="35" t="str">
        <x:v>ed28b034537b9f1953fa1b07ae06afb7f99650f7b9c4b1ff238815eca604c299</x:v>
      </x:c>
      <x:c r="I17" s="35" t="n">
        <x:v>51584</x:v>
      </x:c>
    </x:row>
    <x:row r="18" ht="47" customHeight="1">
      <x:c r="A18" s="35" t="str">
        <x:v>B12</x:v>
      </x:c>
      <x:c r="B18" s="35" t="str">
        <x:v>Microsoft</x:v>
      </x:c>
      <x:c r="C18" s="35" t="str">
        <x:v>MoveFileExW function (winbase.h)</x:v>
      </x:c>
      <x:c r="D18" s="35" t="str">
        <x:v>Metadato ms.date=2018-12-05; captura de 09-09-2026</x:v>
      </x:c>
      <x:c r="E18" s="35" t="str">
        <x:v>https://learn.microsoft.com/en-us/windows/win32/api/winbase/nf-winbase-movefileexw</x:v>
      </x:c>
      <x:c r="F18" s="35" t="str">
        <x:v>MOVEFILE_DELAY_UNTIL_REBOOT; MOVEFILE_WRITE_THROUGH; Remarks</x:v>
      </x:c>
      <x:c r="G18" s="35" t="str">
        <x:v>Operaciones diferidas de archivo y límites de la confirmación de programación.</x:v>
      </x:c>
      <x:c r="H18" s="35" t="str">
        <x:v>a0910a82494c8d1e568502ee0d42bc9dc7ab3038cb943f84eb5a7cc2ad559bcc</x:v>
      </x:c>
      <x:c r="I18" s="35" t="n">
        <x:v>62973</x:v>
      </x:c>
    </x:row>
    <x:row r="19" ht="47" customHeight="1">
      <x:c r="A19" s="35" t="str">
        <x:v>T002</x:v>
      </x:c>
      <x:c r="B19" s="35" t="str">
        <x:v>Microsoft</x:v>
      </x:c>
      <x:c r="C19" s="35" t="str">
        <x:v>IUpdateInstallationResult::get_RebootRequired</x:v>
      </x:c>
      <x:c r="D19" s="35" t="str">
        <x:v>Metadato ms.date=2018-12-05; captura de 08–09-09-2026</x:v>
      </x:c>
      <x:c r="E19" s="35" t="str">
        <x:v>https://learn.microsoft.com/en-us/windows/win32/api/wuapi/nf-wuapi-iupdateinstallationresult-get_rebootrequired</x:v>
      </x:c>
      <x:c r="F19" s="35" t="str">
        <x:v>Remarks</x:v>
      </x:c>
      <x:c r="G19" s="35" t="str">
        <x:v>Requisito individual de reinicio.</x:v>
      </x:c>
      <x:c r="H19" s="35" t="str">
        <x:v>60d570d8f3004189142e2071cad26b8f442365276580c2b925733bffe3b012db</x:v>
      </x:c>
      <x:c r="I19" s="35" t="n">
        <x:v>50835</x:v>
      </x:c>
    </x:row>
    <x:row r="20" ht="47" customHeight="1">
      <x:c r="A20" s="35" t="str">
        <x:v>T003</x:v>
      </x:c>
      <x:c r="B20" s="35" t="str">
        <x:v>Microsoft</x:v>
      </x:c>
      <x:c r="C20" s="35" t="str">
        <x:v>InstallationRebootBehavior</x:v>
      </x:c>
      <x:c r="D20" s="35" t="str">
        <x:v>Captura de 08–09-09-2026</x:v>
      </x:c>
      <x:c r="E20" s="35" t="str">
        <x:v>https://learn.microsoft.com/en-us/openspecs/windows_protocols/ms-uamg/eee24bbd-0be7-4a81-bed5-bff1fbb1832b</x:v>
      </x:c>
      <x:c r="F20" s="35" t="str">
        <x:v>Enumeración</x:v>
      </x:c>
      <x:c r="G20" s="35" t="str">
        <x:v>Comportamiento previsto, distinto del resultado de instalación.</x:v>
      </x:c>
      <x:c r="H20" s="35" t="str">
        <x:v>706aa7f8fe5da9cc90ebbff73708976dbf1f80a3381eed4d91a14b0cb1743722</x:v>
      </x:c>
      <x:c r="I20" s="35" t="n">
        <x:v>36052</x:v>
      </x:c>
    </x:row>
    <x:row r="21" ht="47" customHeight="1">
      <x:c r="A21" s="35" t="str">
        <x:v>T004</x:v>
      </x:c>
      <x:c r="B21" s="35" t="str">
        <x:v>Microsoft</x:v>
      </x:c>
      <x:c r="C21" s="35" t="str">
        <x:v>OperationResultCode</x:v>
      </x:c>
      <x:c r="D21" s="35" t="str">
        <x:v>Metadato ms.date=2018-12-05; captura de 08–09-09-2026</x:v>
      </x:c>
      <x:c r="E21" s="35" t="str">
        <x:v>https://learn.microsoft.com/en-us/windows/win32/api/wuapi/ne-wuapi-operationresultcode</x:v>
      </x:c>
      <x:c r="F21" s="35" t="str">
        <x:v>Constants</x:v>
      </x:c>
      <x:c r="G21" s="35" t="str">
        <x:v>Semántica de los resultados de operación.</x:v>
      </x:c>
      <x:c r="H21" s="35" t="str">
        <x:v>d016f124e76dd51c6921338682697ecc9f81d3cb34925277261b71a1b9f67f8c</x:v>
      </x:c>
      <x:c r="I21" s="35" t="n">
        <x:v>50381</x:v>
      </x:c>
    </x:row>
    <x:row r="22" ht="47" customHeight="1">
      <x:c r="A22" s="35" t="str">
        <x:v>T005</x:v>
      </x:c>
      <x:c r="B22" s="35" t="str">
        <x:v>Microsoft</x:v>
      </x:c>
      <x:c r="C22" s="35" t="str">
        <x:v>IUpdateInstallationResult Properties</x:v>
      </x:c>
      <x:c r="D22" s="35" t="str">
        <x:v>Metadato ms.date=2018-05-31; captura de 08–09-09-2026</x:v>
      </x:c>
      <x:c r="E22" s="35" t="str">
        <x:v>https://learn.microsoft.com/en-us/windows/win32/wua_sdk/iupdateinstallationresult-properties</x:v>
      </x:c>
      <x:c r="F22" s="35" t="str">
        <x:v>Properties</x:v>
      </x:c>
      <x:c r="G22" s="35" t="str">
        <x:v>Separación de ResultCode, HResult y RebootRequired.</x:v>
      </x:c>
      <x:c r="H22" s="35" t="str">
        <x:v>9225a152705099736623664d8d79507c79175632f17b7590c6678df8dabea0ec</x:v>
      </x:c>
      <x:c r="I22" s="35" t="n">
        <x:v>47714</x:v>
      </x:c>
    </x:row>
    <x:row r="23" ht="47" customHeight="1">
      <x:c r="A23" s="35" t="str">
        <x:v>T006</x:v>
      </x:c>
      <x:c r="B23" s="35" t="str">
        <x:v>Microsoft</x:v>
      </x:c>
      <x:c r="C23" s="35" t="str">
        <x:v>IInstallationResult::GetUpdateResult</x:v>
      </x:c>
      <x:c r="D23" s="35" t="str">
        <x:v>Metadato ms.date=2018-12-05; captura de 08–09-09-2026</x:v>
      </x:c>
      <x:c r="E23" s="35" t="str">
        <x:v>https://learn.microsoft.com/en-us/windows/win32/api/wuapi/nf-wuapi-iinstallationresult-getupdateresult</x:v>
      </x:c>
      <x:c r="F23" s="35" t="str">
        <x:v>Parameters; Remarks</x:v>
      </x:c>
      <x:c r="G23" s="35" t="str">
        <x:v>Correspondencia con el índice original de la colección.</x:v>
      </x:c>
      <x:c r="H23" s="35" t="str">
        <x:v>55decce78c4396ff2a1b28ab75624d40891eecf7cf7dc73733452c8abb6eafcb</x:v>
      </x:c>
      <x:c r="I23" s="35" t="n">
        <x:v>50707</x:v>
      </x:c>
    </x:row>
    <x:row r="24" ht="47" customHeight="1">
      <x:c r="A24" s="35" t="str">
        <x:v>T007</x:v>
      </x:c>
      <x:c r="B24" s="35" t="str">
        <x:v>Microsoft</x:v>
      </x:c>
      <x:c r="C24" s="35" t="str">
        <x:v>Updates may not be installed with Fast Startup in Windows 10</x:v>
      </x:c>
      <x:c r="D24" s="35" t="str">
        <x:v>Metadato ms.date=2026-02-12; captura de 08–09-09-2026</x:v>
      </x:c>
      <x:c r="E24" s="35" t="str">
        <x:v>https://learn.microsoft.com/en-us/troubleshoot/windows-client/setup-upgrade-and-drivers/updates-not-install-with-fast-startup</x:v>
      </x:c>
      <x:c r="F24" s="35" t="str">
        <x:v>Summary; More information</x:v>
      </x:c>
      <x:c r="G24" s="35" t="str">
        <x:v>Diferencia entre inicio rápido y reinicio íntegro en ese perfil.</x:v>
      </x:c>
      <x:c r="H24" s="35" t="str">
        <x:v>0b4d699ffb67dff435405c972ad5be5a4788b3b658939cb3e54e53424ba487dd</x:v>
      </x:c>
      <x:c r="I24" s="35" t="n">
        <x:v>49266</x:v>
      </x:c>
    </x:row>
    <x:row r="25" ht="47" customHeight="1">
      <x:c r="A25" s="35" t="str">
        <x:v>T008</x:v>
      </x:c>
      <x:c r="B25" s="35" t="str">
        <x:v>Microsoft</x:v>
      </x:c>
      <x:c r="C25" s="35" t="str">
        <x:v>Dynamic-link library search order</x:v>
      </x:c>
      <x:c r="D25" s="35" t="str">
        <x:v>Metadato ms.date=2023-02-08; captura de 08–09-09-2026</x:v>
      </x:c>
      <x:c r="E25" s="35" t="str">
        <x:v>https://learn.microsoft.com/en-us/windows/win32/dlls/dynamic-link-library-search-order</x:v>
      </x:c>
      <x:c r="F25" s="35" t="str">
        <x:v>Factors that affect searching</x:v>
      </x:c>
      <x:c r="G25" s="35" t="str">
        <x:v>Selección de bibliotecas y efectos del contexto de carga.</x:v>
      </x:c>
      <x:c r="H25" s="35" t="str">
        <x:v>ca2ff1a77ec797c516025925c6f3df38358b0f8b306cd0778f09186cfadc7a16</x:v>
      </x:c>
      <x:c r="I25" s="35" t="n">
        <x:v>63810</x:v>
      </x:c>
    </x:row>
    <x:row r="26" ht="47" customHeight="1">
      <x:c r="A26" s="35" t="str">
        <x:v>T009</x:v>
      </x:c>
      <x:c r="B26" s="35" t="str">
        <x:v>Microsoft</x:v>
      </x:c>
      <x:c r="C26" s="35" t="str">
        <x:v>About Restart Manager</x:v>
      </x:c>
      <x:c r="D26" s="35" t="str">
        <x:v>Metadato ms.date=2018-05-31; captura de 08–09-09-2026</x:v>
      </x:c>
      <x:c r="E26" s="35" t="str">
        <x:v>https://learn.microsoft.com/en-us/windows/win32/rstmgr/about-restart-manager</x:v>
      </x:c>
      <x:c r="F26" s="35" t="str">
        <x:v>Texto principal</x:v>
      </x:c>
      <x:c r="G26" s="35" t="str">
        <x:v>Gestión de programas que usan archivos afectados.</x:v>
      </x:c>
      <x:c r="H26" s="35" t="str">
        <x:v>31523632eb52da14a7aafb6b8315b19e0ac8b2c5ef3ee11abe12ce5d9c4aded9</x:v>
      </x:c>
      <x:c r="I26" s="35" t="n">
        <x:v>49235</x:v>
      </x:c>
    </x:row>
    <x:row r="27" ht="47" customHeight="1">
      <x:c r="A27" s="35" t="str">
        <x:v>T010</x:v>
      </x:c>
      <x:c r="B27" s="35" t="str">
        <x:v>Microsoft</x:v>
      </x:c>
      <x:c r="C27" s="35" t="str">
        <x:v>IUpdateHistoryEntry interface</x:v>
      </x:c>
      <x:c r="D27" s="35" t="str">
        <x:v>Metadato ms.date=2018-12-05; captura de 08–09-09-2026</x:v>
      </x:c>
      <x:c r="E27" s="35" t="str">
        <x:v>https://learn.microsoft.com/en-us/windows/win32/api/wuapi/nn-wuapi-iupdatehistoryentry</x:v>
      </x:c>
      <x:c r="F27" s="35" t="str">
        <x:v>Methods</x:v>
      </x:c>
      <x:c r="G27" s="35" t="str">
        <x:v>Datos de historia de actualización; no prueba automática de cobertura.</x:v>
      </x:c>
      <x:c r="H27" s="35" t="str">
        <x:v>1c10caa71f853e1a5f70b241d408b584956f0285086c2e726f93ab465d242f7d</x:v>
      </x:c>
      <x:c r="I27" s="35" t="n">
        <x:v>52577</x:v>
      </x:c>
    </x:row>
    <x:row r="28" ht="47" customHeight="1">
      <x:c r="A28" s="35" t="str">
        <x:v>T011</x:v>
      </x:c>
      <x:c r="B28" s="35" t="str">
        <x:v>Microsoft</x:v>
      </x:c>
      <x:c r="C28" s="35" t="str">
        <x:v>UpdateOperation</x:v>
      </x:c>
      <x:c r="D28" s="35" t="str">
        <x:v>Metadato ms.date=2018-12-05; captura de 08–09-09-2026</x:v>
      </x:c>
      <x:c r="E28" s="35" t="str">
        <x:v>https://learn.microsoft.com/en-us/windows/win32/api/wuapi/ne-wuapi-updateoperation</x:v>
      </x:c>
      <x:c r="F28" s="35" t="str">
        <x:v>Constants</x:v>
      </x:c>
      <x:c r="G28" s="35" t="str">
        <x:v>Distinción entre instalación y desinstalación.</x:v>
      </x:c>
      <x:c r="H28" s="35" t="str">
        <x:v>8a46244c749fd5b075d756d5d01116ff9a58e2a8168eed766d4337aef07197b8</x:v>
      </x:c>
      <x:c r="I28" s="35" t="n">
        <x:v>49531</x:v>
      </x:c>
    </x:row>
    <x:row r="29" ht="47" customHeight="1">
      <x:c r="A29" s="35" t="str">
        <x:v>T012</x:v>
      </x:c>
      <x:c r="B29" s="35" t="str">
        <x:v>Microsoft</x:v>
      </x:c>
      <x:c r="C29" s="35" t="str">
        <x:v>GetModuleInformation</x:v>
      </x:c>
      <x:c r="D29" s="35" t="str">
        <x:v>Metadato ms.date=2018-12-05; captura de 08–09-09-2026</x:v>
      </x:c>
      <x:c r="E29" s="35" t="str">
        <x:v>https://learn.microsoft.com/en-us/windows/win32/api/psapi/nf-psapi-getmoduleinformation</x:v>
      </x:c>
      <x:c r="F29" s="35" t="str">
        <x:v>Parameters; Remarks</x:v>
      </x:c>
      <x:c r="G29" s="35" t="str">
        <x:v>Información de módulo y permisos de observación.</x:v>
      </x:c>
      <x:c r="H29" s="35" t="str">
        <x:v>6a3de9519144cdc43ab32fa5c207975809fdb14913b20e9473d84b74f8f656d2</x:v>
      </x:c>
      <x:c r="I29" s="35" t="n">
        <x:v>54456</x:v>
      </x:c>
    </x:row>
    <x:row r="30" ht="47" customHeight="1">
      <x:c r="A30" s="35" t="str">
        <x:v>T013</x:v>
      </x:c>
      <x:c r="B30" s="35" t="str">
        <x:v>Microsoft</x:v>
      </x:c>
      <x:c r="C30" s="35" t="str">
        <x:v>MODULEINFO structure</x:v>
      </x:c>
      <x:c r="D30" s="35" t="str">
        <x:v>Metadato ms.date=2018-12-05; captura de 08–09-09-2026</x:v>
      </x:c>
      <x:c r="E30" s="35" t="str">
        <x:v>https://learn.microsoft.com/en-us/windows/win32/api/psapi/ns-psapi-moduleinfo</x:v>
      </x:c>
      <x:c r="F30" s="35" t="str">
        <x:v>Members</x:v>
      </x:c>
      <x:c r="G30" s="35" t="str">
        <x:v>Dirección, tamaño y punto de entrada; no identidad criptográfica.</x:v>
      </x:c>
      <x:c r="H30" s="35" t="str">
        <x:v>d2e50a2cb472165399ae7a673d5946337d340f5162062ec1373bb6af9e63c230</x:v>
      </x:c>
      <x:c r="I30" s="35" t="n">
        <x:v>49924</x:v>
      </x:c>
    </x:row>
    <x:row r="31" ht="47" customHeight="1">
      <x:c r="A31" s="35" t="str">
        <x:v>T014</x:v>
      </x:c>
      <x:c r="B31" s="35" t="str">
        <x:v>Microsoft</x:v>
      </x:c>
      <x:c r="C31" s="35" t="str">
        <x:v>RM_UNIQUE_PROCESS</x:v>
      </x:c>
      <x:c r="D31" s="35" t="str">
        <x:v>Metadato ms.date=2018-12-05; captura de 08–09-09-2026</x:v>
      </x:c>
      <x:c r="E31" s="35" t="str">
        <x:v>https://learn.microsoft.com/en-us/windows/win32/api/restartmanager/ns-restartmanager-rm_unique_process</x:v>
      </x:c>
      <x:c r="F31" s="35" t="str">
        <x:v>Members</x:v>
      </x:c>
      <x:c r="G31" s="35" t="str">
        <x:v>Identificación de proceso mediante PID y tiempo de creación.</x:v>
      </x:c>
      <x:c r="H31" s="35" t="str">
        <x:v>85e053da03c91dc097e5b4943545a488e6ed157d128ac764cfd3c49d6c7849c3</x:v>
      </x:c>
      <x:c r="I31" s="35" t="n">
        <x:v>50868</x:v>
      </x:c>
    </x:row>
    <x:row r="32" ht="47" customHeight="1">
      <x:c r="A32" s="35" t="str">
        <x:v>T015</x:v>
      </x:c>
      <x:c r="B32" s="35" t="str">
        <x:v>Microsoft</x:v>
      </x:c>
      <x:c r="C32" s="35" t="str">
        <x:v>CreateProcessW</x:v>
      </x:c>
      <x:c r="D32" s="35" t="str">
        <x:v>Metadato ms.date=2018-12-05; captura de 08–09-09-2026</x:v>
      </x:c>
      <x:c r="E32" s="35" t="str">
        <x:v>https://learn.microsoft.com/en-us/windows/win32/api/processthreadsapi/nf-processthreadsapi-createprocessw</x:v>
      </x:c>
      <x:c r="F32" s="35" t="str">
        <x:v>Return value</x:v>
      </x:c>
      <x:c r="G32" s="35" t="str">
        <x:v>Creación anterior a la terminación de la inicialización.</x:v>
      </x:c>
      <x:c r="H32" s="35" t="str">
        <x:v>11a98c6ebf66ed61dd65bfdd30b0d41a109e9095efb25dbf4084d03a310ddf04</x:v>
      </x:c>
      <x:c r="I32" s="35" t="n">
        <x:v>76621</x:v>
      </x:c>
    </x:row>
    <x:row r="33" ht="47" customHeight="1">
      <x:c r="A33" s="35" t="str">
        <x:v>T016</x:v>
      </x:c>
      <x:c r="B33" s="35" t="str">
        <x:v>Microsoft</x:v>
      </x:c>
      <x:c r="C33" s="35" t="str">
        <x:v>Terminating a Process</x:v>
      </x:c>
      <x:c r="D33" s="35" t="str">
        <x:v>Metadato ms.date=2025-07-14; captura de 08–09-09-2026</x:v>
      </x:c>
      <x:c r="E33" s="35" t="str">
        <x:v>https://learn.microsoft.com/en-us/windows/win32/procthread/terminating-a-process</x:v>
      </x:c>
      <x:c r="F33" s="35" t="str">
        <x:v>How Processes are Terminated</x:v>
      </x:c>
      <x:c r="G33" s="35" t="str">
        <x:v>Procesos hijos y permanencia de objetos por referencias externas.</x:v>
      </x:c>
      <x:c r="H33" s="35" t="str">
        <x:v>86170fc387e742c7eebce69f9e046e8eed77e60bac7036da8bb23c03494769f3</x:v>
      </x:c>
      <x:c r="I33" s="35" t="n">
        <x:v>55831</x:v>
      </x:c>
    </x:row>
    <x:row r="34" ht="47" customHeight="1">
      <x:c r="A34" s="35" t="str">
        <x:v>R001</x:v>
      </x:c>
      <x:c r="B34" s="35" t="str">
        <x:v>Universidad Rey Juan Carlos</x:v>
      </x:c>
      <x:c r="C34" s="35" t="str">
        <x:v>FUNDAMENTOS FISICOS DE LA INFORMATICA. Guía docente del Grado en Ingeniería de la Ciberseguridad</x:v>
      </x:c>
      <x:c r="D34" s="35" t="str">
        <x:v>Curso 2026–2027</x:v>
      </x:c>
      <x:c r="E34" s="35" t="str">
        <x:v>https://gestion3.urjc.es/guiasdocentes/pdfGuia.jsp?txtAsignatura=2285001&amp;txtTitulacion=2285&amp;txtCursoAcademico=2026-27</x:v>
      </x:c>
      <x:c r="F34" s="35" t="str">
        <x:v>II. Presentación; III. Resultados de aprendizaje; IV. Contenido</x:v>
      </x:c>
      <x:c r="G34" s="35" t="str">
        <x:v>Base educativa. La ficha no constituye por sí sola un parámetro; su función se relaciona con la operación en el catálogo.</x:v>
      </x:c>
      <x:c r="H34" s="35" t="str">
        <x:v>7a86fe97ccbd6fbc869a88f5956df06de9f8c908b3a555c1f08756e8857ca687</x:v>
      </x:c>
      <x:c r="I34" s="35" t="n">
        <x:v>254990</x:v>
      </x:c>
    </x:row>
    <x:row r="35" ht="47" customHeight="1">
      <x:c r="A35" s="35" t="str">
        <x:v>R002</x:v>
      </x:c>
      <x:c r="B35" s="35" t="str">
        <x:v>Universidad Rey Juan Carlos</x:v>
      </x:c>
      <x:c r="C35" s="35" t="str">
        <x:v>INTRODUCCION A LA CIBERSEGURIDAD. Guía docente del Grado en Ingeniería de la Ciberseguridad</x:v>
      </x:c>
      <x:c r="D35" s="35" t="str">
        <x:v>Curso 2026–2027</x:v>
      </x:c>
      <x:c r="E35" s="35" t="str">
        <x:v>https://gestion3.urjc.es/guiasdocentes/pdfGuia.jsp?txtAsignatura=2285002&amp;txtTitulacion=2285&amp;txtCursoAcademico=2026-27</x:v>
      </x:c>
      <x:c r="F35" s="35" t="str">
        <x:v>II. Presentación; III. Resultados de aprendizaje; IV. Contenido</x:v>
      </x:c>
      <x:c r="G35" s="35" t="str">
        <x:v>Base educativa. La ficha no constituye por sí sola un parámetro; su función se relaciona con la operación en el catálogo.</x:v>
      </x:c>
      <x:c r="H35" s="35" t="str">
        <x:v>65f71204ec2a42a8d52dc6310404dec67262cd3e214a592acd39b9d1c75dad9b</x:v>
      </x:c>
      <x:c r="I35" s="35" t="n">
        <x:v>256731</x:v>
      </x:c>
    </x:row>
    <x:row r="36" ht="47" customHeight="1">
      <x:c r="A36" s="35" t="str">
        <x:v>R003</x:v>
      </x:c>
      <x:c r="B36" s="35" t="str">
        <x:v>Universidad Rey Juan Carlos</x:v>
      </x:c>
      <x:c r="C36" s="35" t="str">
        <x:v>INTRODUCCION A LA PROGRAMACION. Guía docente del Grado en Ingeniería de la Ciberseguridad</x:v>
      </x:c>
      <x:c r="D36" s="35" t="str">
        <x:v>Curso 2026–2027</x:v>
      </x:c>
      <x:c r="E36" s="35" t="str">
        <x:v>https://gestion3.urjc.es/guiasdocentes/pdfGuia.jsp?txtAsignatura=2285003&amp;txtTitulacion=2285&amp;txtCursoAcademico=2026-27</x:v>
      </x:c>
      <x:c r="F36" s="35" t="str">
        <x:v>II. Presentación; III. Resultados de aprendizaje; IV. Contenido</x:v>
      </x:c>
      <x:c r="G36" s="35" t="str">
        <x:v>Base educativa. La ficha no constituye por sí sola un parámetro; su función se relaciona con la operación en el catálogo.</x:v>
      </x:c>
      <x:c r="H36" s="35" t="str">
        <x:v>2799acb3657da92344d8b0ef05650b0c661de473a21adc76dd79a4cebc503635</x:v>
      </x:c>
      <x:c r="I36" s="35" t="n">
        <x:v>261305</x:v>
      </x:c>
    </x:row>
    <x:row r="37" ht="47" customHeight="1">
      <x:c r="A37" s="35" t="str">
        <x:v>R004</x:v>
      </x:c>
      <x:c r="B37" s="35" t="str">
        <x:v>Universidad Rey Juan Carlos</x:v>
      </x:c>
      <x:c r="C37" s="35" t="str">
        <x:v>LOGICA. Guía docente del Grado en Ingeniería de la Ciberseguridad</x:v>
      </x:c>
      <x:c r="D37" s="35" t="str">
        <x:v>Curso 2026–2027</x:v>
      </x:c>
      <x:c r="E37" s="35" t="str">
        <x:v>https://gestion3.urjc.es/guiasdocentes/pdfGuia.jsp?txtAsignatura=2285004&amp;txtTitulacion=2285&amp;txtCursoAcademico=2026-27</x:v>
      </x:c>
      <x:c r="F37" s="35" t="str">
        <x:v>II. Presentación; III. Resultados de aprendizaje; IV. Contenido</x:v>
      </x:c>
      <x:c r="G37" s="35" t="str">
        <x:v>Base educativa. La ficha no constituye por sí sola un parámetro; su función se relaciona con la operación en el catálogo.</x:v>
      </x:c>
      <x:c r="H37" s="35" t="str">
        <x:v>ec4de8fc685f03fd4b6fcd918ef9078cb4ce118547ff1b2d6f9bd84d25d7ebf5</x:v>
      </x:c>
      <x:c r="I37" s="35" t="n">
        <x:v>240994</x:v>
      </x:c>
    </x:row>
    <x:row r="38" ht="47" customHeight="1">
      <x:c r="A38" s="35" t="str">
        <x:v>R005</x:v>
      </x:c>
      <x:c r="B38" s="35" t="str">
        <x:v>Universidad Rey Juan Carlos</x:v>
      </x:c>
      <x:c r="C38" s="35" t="str">
        <x:v>MATEMATICA DISCRETA Y ALGEBRA. Guía docente del Grado en Ingeniería de la Ciberseguridad</x:v>
      </x:c>
      <x:c r="D38" s="35" t="str">
        <x:v>Curso 2026–2027</x:v>
      </x:c>
      <x:c r="E38" s="35" t="str">
        <x:v>https://gestion3.urjc.es/guiasdocentes/pdfGuia.jsp?txtAsignatura=2285005&amp;txtTitulacion=2285&amp;txtCursoAcademico=2026-27</x:v>
      </x:c>
      <x:c r="F38" s="35" t="str">
        <x:v>II. Presentación; III. Resultados de aprendizaje; IV. Contenido</x:v>
      </x:c>
      <x:c r="G38" s="35" t="str">
        <x:v>Base educativa. La ficha no constituye por sí sola un parámetro; su función se relaciona con la operación en el catálogo.</x:v>
      </x:c>
      <x:c r="H38" s="35" t="str">
        <x:v>2b93570b279b512d512199b89658c3299d13b0075a0b3e7bba84f3124fb37542</x:v>
      </x:c>
      <x:c r="I38" s="35" t="n">
        <x:v>263194</x:v>
      </x:c>
    </x:row>
    <x:row r="39" ht="47" customHeight="1">
      <x:c r="A39" s="35" t="str">
        <x:v>R006</x:v>
      </x:c>
      <x:c r="B39" s="35" t="str">
        <x:v>Universidad Rey Juan Carlos</x:v>
      </x:c>
      <x:c r="C39" s="35" t="str">
        <x:v>CALCULO. Guía docente del Grado en Ingeniería de la Ciberseguridad</x:v>
      </x:c>
      <x:c r="D39" s="35" t="str">
        <x:v>Curso 2026–2027</x:v>
      </x:c>
      <x:c r="E39" s="35" t="str">
        <x:v>https://gestion3.urjc.es/guiasdocentes/pdfGuia.jsp?txtAsignatura=2285006&amp;txtTitulacion=2285&amp;txtCursoAcademico=2026-27</x:v>
      </x:c>
      <x:c r="F39" s="35" t="str">
        <x:v>II. Presentación; III. Resultados de aprendizaje; IV. Contenido</x:v>
      </x:c>
      <x:c r="G39" s="35" t="str">
        <x:v>Base educativa. La ficha no constituye por sí sola un parámetro; su función se relaciona con la operación en el catálogo.</x:v>
      </x:c>
      <x:c r="H39" s="35" t="str">
        <x:v>3a3875fd4d077876f4918bc974e217afa3408202f710a18a4fb647c538a0c134</x:v>
      </x:c>
      <x:c r="I39" s="35" t="n">
        <x:v>260726</x:v>
      </x:c>
    </x:row>
    <x:row r="40" ht="47" customHeight="1">
      <x:c r="A40" s="35" t="str">
        <x:v>R007</x:v>
      </x:c>
      <x:c r="B40" s="35" t="str">
        <x:v>Universidad Rey Juan Carlos</x:v>
      </x:c>
      <x:c r="C40" s="35" t="str">
        <x:v>CRIPTOGRAFIA. Guía docente del Grado en Ingeniería de la Ciberseguridad</x:v>
      </x:c>
      <x:c r="D40" s="35" t="str">
        <x:v>Curso 2026–2027</x:v>
      </x:c>
      <x:c r="E40" s="35" t="str">
        <x:v>https://gestion3.urjc.es/guiasdocentes/pdfGuia.jsp?txtAsignatura=2285007&amp;txtTitulacion=2285&amp;txtCursoAcademico=2026-27</x:v>
      </x:c>
      <x:c r="F40" s="35" t="str">
        <x:v>II. Presentación; III. Resultados de aprendizaje; IV. Contenido</x:v>
      </x:c>
      <x:c r="G40" s="35" t="str">
        <x:v>Base educativa. La ficha no constituye por sí sola un parámetro; su función se relaciona con la operación en el catálogo.</x:v>
      </x:c>
      <x:c r="H40" s="35" t="str">
        <x:v>4a92430c8179d6cb4fbde6b8291837f079207e954edaa2f3108b8d1b5429b228</x:v>
      </x:c>
      <x:c r="I40" s="35" t="n">
        <x:v>276448</x:v>
      </x:c>
    </x:row>
    <x:row r="41" ht="47" customHeight="1">
      <x:c r="A41" s="35" t="str">
        <x:v>R008</x:v>
      </x:c>
      <x:c r="B41" s="35" t="str">
        <x:v>Universidad Rey Juan Carlos</x:v>
      </x:c>
      <x:c r="C41" s="35" t="str">
        <x:v>DIMENSIONES Y MODELO DE LA SEGURIDAD. Guía docente del Grado en Ingeniería de la Ciberseguridad</x:v>
      </x:c>
      <x:c r="D41" s="35" t="str">
        <x:v>Curso 2026–2027</x:v>
      </x:c>
      <x:c r="E41" s="35" t="str">
        <x:v>https://gestion3.urjc.es/guiasdocentes/pdfGuia.jsp?txtAsignatura=2285008&amp;txtTitulacion=2285&amp;txtCursoAcademico=2026-27</x:v>
      </x:c>
      <x:c r="F41" s="35" t="str">
        <x:v>II. Presentación; III. Resultados de aprendizaje; IV. Contenido</x:v>
      </x:c>
      <x:c r="G41" s="35" t="str">
        <x:v>Base educativa. La ficha no constituye por sí sola un parámetro; su función se relaciona con la operación en el catálogo.</x:v>
      </x:c>
      <x:c r="H41" s="35" t="str">
        <x:v>66f03609162789eb126ef5d82681953692ef1bb13be1c8251031a4abba09f79f</x:v>
      </x:c>
      <x:c r="I41" s="35" t="n">
        <x:v>244396</x:v>
      </x:c>
    </x:row>
    <x:row r="42" ht="47" customHeight="1">
      <x:c r="A42" s="35" t="str">
        <x:v>R009</x:v>
      </x:c>
      <x:c r="B42" s="35" t="str">
        <x:v>Universidad Rey Juan Carlos</x:v>
      </x:c>
      <x:c r="C42" s="35" t="str">
        <x:v>ESTADISTICA. Guía docente del Grado en Ingeniería de la Ciberseguridad</x:v>
      </x:c>
      <x:c r="D42" s="35" t="str">
        <x:v>Curso 2026–2027</x:v>
      </x:c>
      <x:c r="E42" s="35" t="str">
        <x:v>https://gestion3.urjc.es/guiasdocentes/pdfGuia.jsp?txtAsignatura=2285009&amp;txtTitulacion=2285&amp;txtCursoAcademico=2026-27</x:v>
      </x:c>
      <x:c r="F42" s="35" t="str">
        <x:v>II. Presentación; III. Resultados de aprendizaje; IV. Contenido</x:v>
      </x:c>
      <x:c r="G42" s="35" t="str">
        <x:v>Base educativa. La ficha no constituye por sí sola un parámetro; su función se relaciona con la operación en el catálogo.</x:v>
      </x:c>
      <x:c r="H42" s="35" t="str">
        <x:v>16d200dfa93afae5a9259cf199fd4be17c95e51af4417dc2fbe0f8a9ac903a6f</x:v>
      </x:c>
      <x:c r="I42" s="35" t="n">
        <x:v>234897</x:v>
      </x:c>
    </x:row>
    <x:row r="43" ht="47" customHeight="1">
      <x:c r="A43" s="35" t="str">
        <x:v>R010</x:v>
      </x:c>
      <x:c r="B43" s="35" t="str">
        <x:v>Universidad Rey Juan Carlos</x:v>
      </x:c>
      <x:c r="C43" s="35" t="str">
        <x:v>ESTRUCTURAS DE DATOS. Guía docente del Grado en Ingeniería de la Ciberseguridad</x:v>
      </x:c>
      <x:c r="D43" s="35" t="str">
        <x:v>Curso 2026–2027</x:v>
      </x:c>
      <x:c r="E43" s="35" t="str">
        <x:v>https://gestion3.urjc.es/guiasdocentes/pdfGuia.jsp?txtAsignatura=2285010&amp;txtTitulacion=2285&amp;txtCursoAcademico=2026-27</x:v>
      </x:c>
      <x:c r="F43" s="35" t="str">
        <x:v>II. Presentación; III. Resultados de aprendizaje; IV. Contenido</x:v>
      </x:c>
      <x:c r="G43" s="35" t="str">
        <x:v>Base educativa. La ficha no constituye por sí sola un parámetro; su función se relaciona con la operación en el catálogo.</x:v>
      </x:c>
      <x:c r="H43" s="35" t="str">
        <x:v>a64f1e5e5d8c98920a06723a59db00fb7ef641b33d8045fec866bf87b88f85fe</x:v>
      </x:c>
      <x:c r="I43" s="35" t="n">
        <x:v>282245</x:v>
      </x:c>
    </x:row>
    <x:row r="44" ht="47" customHeight="1">
      <x:c r="A44" s="35" t="str">
        <x:v>R011</x:v>
      </x:c>
      <x:c r="B44" s="35" t="str">
        <x:v>Universidad Rey Juan Carlos</x:v>
      </x:c>
      <x:c r="C44" s="35" t="str">
        <x:v>METODOS OPERATIVOS Y ESTADISTICOS DE GESTION. Guía docente del Grado en Ingeniería de la Ciberseguridad</x:v>
      </x:c>
      <x:c r="D44" s="35" t="str">
        <x:v>Curso 2026–2027</x:v>
      </x:c>
      <x:c r="E44" s="35" t="str">
        <x:v>https://gestion3.urjc.es/guiasdocentes/pdfGuia.jsp?txtAsignatura=2285011&amp;txtTitulacion=2285&amp;txtCursoAcademico=2026-27</x:v>
      </x:c>
      <x:c r="F44" s="35" t="str">
        <x:v>II. Presentación; III. Resultados de aprendizaje; IV. Contenido</x:v>
      </x:c>
      <x:c r="G44" s="35" t="str">
        <x:v>Base educativa. La ficha no constituye por sí sola un parámetro; su función se relaciona con la operación en el catálogo.</x:v>
      </x:c>
      <x:c r="H44" s="35" t="str">
        <x:v>e74bfbb745292ca76d0f47cd70a8d4eeaff9a879f02865a8084a20d70b1fac6b</x:v>
      </x:c>
      <x:c r="I44" s="35" t="n">
        <x:v>242475</x:v>
      </x:c>
    </x:row>
    <x:row r="45" ht="47" customHeight="1">
      <x:c r="A45" s="35" t="str">
        <x:v>R012</x:v>
      </x:c>
      <x:c r="B45" s="35" t="str">
        <x:v>Universidad Rey Juan Carlos</x:v>
      </x:c>
      <x:c r="C45" s="35" t="str">
        <x:v>PRINCIPIOS JURIDICOS BASICOS APLICADOS A LA CIBERSEGURIDAD. Guía docente del Grado en Ingeniería de la Ciberseguridad</x:v>
      </x:c>
      <x:c r="D45" s="35" t="str">
        <x:v>Curso 2026–2027</x:v>
      </x:c>
      <x:c r="E45" s="35" t="str">
        <x:v>https://gestion3.urjc.es/guiasdocentes/pdfGuia.jsp?txtAsignatura=2285012&amp;txtTitulacion=2285&amp;txtCursoAcademico=2026-27</x:v>
      </x:c>
      <x:c r="F45" s="35" t="str">
        <x:v>II. Presentación; III. Resultados de aprendizaje; IV. Contenido</x:v>
      </x:c>
      <x:c r="G45" s="35" t="str">
        <x:v>Base educativa. La ficha no constituye por sí sola un parámetro; su función se relaciona con la operación en el catálogo.</x:v>
      </x:c>
      <x:c r="H45" s="35" t="str">
        <x:v>58ed064b67fb961561aa7eb8aa34b6edb818dd0f8fc598cad50865b410cb515d</x:v>
      </x:c>
      <x:c r="I45" s="35" t="n">
        <x:v>295215</x:v>
      </x:c>
    </x:row>
    <x:row r="46" ht="47" customHeight="1">
      <x:c r="A46" s="35" t="str">
        <x:v>R013</x:v>
      </x:c>
      <x:c r="B46" s="35" t="str">
        <x:v>Universidad Rey Juan Carlos</x:v>
      </x:c>
      <x:c r="C46" s="35" t="str">
        <x:v>PROGRAMACION AVANZADA. Guía docente del Grado en Ingeniería de la Ciberseguridad</x:v>
      </x:c>
      <x:c r="D46" s="35" t="str">
        <x:v>Curso 2026–2027</x:v>
      </x:c>
      <x:c r="E46" s="35" t="str">
        <x:v>https://gestion3.urjc.es/guiasdocentes/pdfGuia.jsp?txtAsignatura=2285013&amp;txtTitulacion=2285&amp;txtCursoAcademico=2026-27</x:v>
      </x:c>
      <x:c r="F46" s="35" t="str">
        <x:v>II. Presentación; III. Resultados de aprendizaje; IV. Contenido</x:v>
      </x:c>
      <x:c r="G46" s="35" t="str">
        <x:v>Base educativa. La ficha no constituye por sí sola un parámetro; su función se relaciona con la operación en el catálogo.</x:v>
      </x:c>
      <x:c r="H46" s="35" t="str">
        <x:v>e669ce8a330d119882bcd1241bfdd4fc4659ec5c916aaa5700f1b844a4e38c2e</x:v>
      </x:c>
      <x:c r="I46" s="35" t="n">
        <x:v>296422</x:v>
      </x:c>
    </x:row>
    <x:row r="47" ht="47" customHeight="1">
      <x:c r="A47" s="35" t="str">
        <x:v>R014</x:v>
      </x:c>
      <x:c r="B47" s="35" t="str">
        <x:v>Universidad Rey Juan Carlos</x:v>
      </x:c>
      <x:c r="C47" s="35" t="str">
        <x:v>REDES DE COMPUTADORES. Guía docente del Grado en Ingeniería de la Ciberseguridad</x:v>
      </x:c>
      <x:c r="D47" s="35" t="str">
        <x:v>Curso 2026–2027</x:v>
      </x:c>
      <x:c r="E47" s="35" t="str">
        <x:v>https://gestion3.urjc.es/guiasdocentes/pdfGuia.jsp?txtAsignatura=2285014&amp;txtTitulacion=2285&amp;txtCursoAcademico=2026-27</x:v>
      </x:c>
      <x:c r="F47" s="35" t="str">
        <x:v>II. Presentación; III. Resultados de aprendizaje; IV. Contenido</x:v>
      </x:c>
      <x:c r="G47" s="35" t="str">
        <x:v>Base educativa. La ficha no constituye por sí sola un parámetro; su función se relaciona con la operación en el catálogo.</x:v>
      </x:c>
      <x:c r="H47" s="35" t="str">
        <x:v>ca29157aa82c65f5bd4837e5ce24e761e315a22efb233d1009096a1d9a7d90f3</x:v>
      </x:c>
      <x:c r="I47" s="35" t="n">
        <x:v>280984</x:v>
      </x:c>
    </x:row>
    <x:row r="48" ht="47" customHeight="1">
      <x:c r="A48" s="35" t="str">
        <x:v>R015</x:v>
      </x:c>
      <x:c r="B48" s="35" t="str">
        <x:v>Universidad Rey Juan Carlos</x:v>
      </x:c>
      <x:c r="C48" s="35" t="str">
        <x:v>TECNICAS DE HACKING. Guía docente del Grado en Ingeniería de la Ciberseguridad</x:v>
      </x:c>
      <x:c r="D48" s="35" t="str">
        <x:v>Curso 2026–2027</x:v>
      </x:c>
      <x:c r="E48" s="35" t="str">
        <x:v>https://gestion3.urjc.es/guiasdocentes/pdfGuia.jsp?txtAsignatura=2285015&amp;txtTitulacion=2285&amp;txtCursoAcademico=2026-27</x:v>
      </x:c>
      <x:c r="F48" s="35" t="str">
        <x:v>II. Presentación; III. Resultados de aprendizaje; IV. Contenido</x:v>
      </x:c>
      <x:c r="G48" s="35" t="str">
        <x:v>Base educativa. La ficha no constituye por sí sola un parámetro; su función se relaciona con la operación en el catálogo.</x:v>
      </x:c>
      <x:c r="H48" s="35" t="str">
        <x:v>e8e5dc75c5cfd6f8f096d5a892013167f5d971468b3fe0385246f096374d2187</x:v>
      </x:c>
      <x:c r="I48" s="35" t="n">
        <x:v>275514</x:v>
      </x:c>
    </x:row>
    <x:row r="49" ht="47" customHeight="1">
      <x:c r="A49" s="35" t="str">
        <x:v>R016</x:v>
      </x:c>
      <x:c r="B49" s="35" t="str">
        <x:v>Universidad Rey Juan Carlos</x:v>
      </x:c>
      <x:c r="C49" s="35" t="str">
        <x:v>BASES DE DATOS. Guía docente del Grado en Ingeniería de la Ciberseguridad</x:v>
      </x:c>
      <x:c r="D49" s="35" t="str">
        <x:v>Curso 2026–2027</x:v>
      </x:c>
      <x:c r="E49" s="35" t="str">
        <x:v>https://gestion3.urjc.es/guiasdocentes/pdfGuia.jsp?txtAsignatura=2285016&amp;txtTitulacion=2285&amp;txtCursoAcademico=2026-27</x:v>
      </x:c>
      <x:c r="F49" s="35" t="str">
        <x:v>II. Presentación; III. Resultados de aprendizaje; IV. Contenido</x:v>
      </x:c>
      <x:c r="G49" s="35" t="str">
        <x:v>Base educativa. La ficha no constituye por sí sola un parámetro; su función se relaciona con la operación en el catálogo.</x:v>
      </x:c>
      <x:c r="H49" s="35" t="str">
        <x:v>8601dd695e0b06e4e7543aabca3351cfa0a8fcb6ebc2dab91468d613243e5052</x:v>
      </x:c>
      <x:c r="I49" s="35" t="n">
        <x:v>281216</x:v>
      </x:c>
    </x:row>
    <x:row r="50" ht="47" customHeight="1">
      <x:c r="A50" s="35" t="str">
        <x:v>R017</x:v>
      </x:c>
      <x:c r="B50" s="35" t="str">
        <x:v>Universidad Rey Juan Carlos</x:v>
      </x:c>
      <x:c r="C50" s="35" t="str">
        <x:v>DESARROLLO WEB SEGURO. Guía docente del Grado en Ingeniería de la Ciberseguridad</x:v>
      </x:c>
      <x:c r="D50" s="35" t="str">
        <x:v>Curso 2026–2027</x:v>
      </x:c>
      <x:c r="E50" s="35" t="str">
        <x:v>https://gestion3.urjc.es/guiasdocentes/pdfGuia.jsp?txtAsignatura=2285017&amp;txtTitulacion=2285&amp;txtCursoAcademico=2026-27</x:v>
      </x:c>
      <x:c r="F50" s="35" t="str">
        <x:v>II. Presentación; III. Resultados de aprendizaje; IV. Contenido</x:v>
      </x:c>
      <x:c r="G50" s="35" t="str">
        <x:v>Base educativa. La ficha no constituye por sí sola un parámetro; su función se relaciona con la operación en el catálogo.</x:v>
      </x:c>
      <x:c r="H50" s="35" t="str">
        <x:v>5465ada8497dc5e55e6d662cc47d2f8aeb54ecea934bbeac8ea92f0ae7fc121f</x:v>
      </x:c>
      <x:c r="I50" s="35" t="n">
        <x:v>307413</x:v>
      </x:c>
    </x:row>
    <x:row r="51" ht="47" customHeight="1">
      <x:c r="A51" s="35" t="str">
        <x:v>R018</x:v>
      </x:c>
      <x:c r="B51" s="35" t="str">
        <x:v>Universidad Rey Juan Carlos</x:v>
      </x:c>
      <x:c r="C51" s="35" t="str">
        <x:v>ESTRUCTURA DE COMPUTADORES. Guía docente del Grado en Ingeniería de la Ciberseguridad</x:v>
      </x:c>
      <x:c r="D51" s="35" t="str">
        <x:v>Curso 2026–2027</x:v>
      </x:c>
      <x:c r="E51" s="35" t="str">
        <x:v>https://gestion3.urjc.es/guiasdocentes/pdfGuia.jsp?txtAsignatura=2285018&amp;txtTitulacion=2285&amp;txtCursoAcademico=2026-27</x:v>
      </x:c>
      <x:c r="F51" s="35" t="str">
        <x:v>II. Presentación; III. Resultados de aprendizaje; IV. Contenido</x:v>
      </x:c>
      <x:c r="G51" s="35" t="str">
        <x:v>Base educativa. La ficha no constituye por sí sola un parámetro; su función se relaciona con la operación en el catálogo.</x:v>
      </x:c>
      <x:c r="H51" s="35" t="str">
        <x:v>bec4547aa87fcc83d2dd5fc3c29942044bb8539ab0a35399b30ccea7323292ac</x:v>
      </x:c>
      <x:c r="I51" s="35" t="n">
        <x:v>281518</x:v>
      </x:c>
    </x:row>
    <x:row r="52" ht="47" customHeight="1">
      <x:c r="A52" s="35" t="str">
        <x:v>R019</x:v>
      </x:c>
      <x:c r="B52" s="35" t="str">
        <x:v>Universidad Rey Juan Carlos</x:v>
      </x:c>
      <x:c r="C52" s="35" t="str">
        <x:v>SEGURIDAD EN REDES. Guía docente del Grado en Ingeniería de la Ciberseguridad</x:v>
      </x:c>
      <x:c r="D52" s="35" t="str">
        <x:v>Curso 2026–2027</x:v>
      </x:c>
      <x:c r="E52" s="35" t="str">
        <x:v>https://gestion3.urjc.es/guiasdocentes/pdfGuia.jsp?txtAsignatura=2285019&amp;txtTitulacion=2285&amp;txtCursoAcademico=2026-27</x:v>
      </x:c>
      <x:c r="F52" s="35" t="str">
        <x:v>II. Presentación; III. Resultados de aprendizaje; IV. Contenido</x:v>
      </x:c>
      <x:c r="G52" s="35" t="str">
        <x:v>Base educativa. La ficha no constituye por sí sola un parámetro; su función se relaciona con la operación en el catálogo.</x:v>
      </x:c>
      <x:c r="H52" s="35" t="str">
        <x:v>28fa6b9d4179df1df651cea072042ee3186da0af9e95404071fd0fcd1ddb84b4</x:v>
      </x:c>
      <x:c r="I52" s="35" t="n">
        <x:v>258731</x:v>
      </x:c>
    </x:row>
    <x:row r="53" ht="47" customHeight="1">
      <x:c r="A53" s="35" t="str">
        <x:v>R020</x:v>
      </x:c>
      <x:c r="B53" s="35" t="str">
        <x:v>Universidad Rey Juan Carlos</x:v>
      </x:c>
      <x:c r="C53" s="35" t="str">
        <x:v>IDIOMA MODERNO. Guía docente del Grado en Ingeniería de la Ciberseguridad</x:v>
      </x:c>
      <x:c r="D53" s="35" t="str">
        <x:v>Curso 2026–2027</x:v>
      </x:c>
      <x:c r="E53" s="35" t="str">
        <x:v>https://gestion3.urjc.es/guiasdocentes/pdfGuia.jsp?txtAsignatura=2285020&amp;txtTitulacion=2285&amp;txtCursoAcademico=2026-27</x:v>
      </x:c>
      <x:c r="F53" s="35" t="str">
        <x:v>II. Presentación; III. Resultados de aprendizaje; IV. Contenido</x:v>
      </x:c>
      <x:c r="G53" s="35" t="str">
        <x:v>Base educativa. La ficha no constituye por sí sola un parámetro; su función se relaciona con la operación en el catálogo.</x:v>
      </x:c>
      <x:c r="H53" s="35" t="str">
        <x:v>43411520b5d33d815da08e0a581a84cce2e8dc5a2d29e57a29ab42e8ec43cf78</x:v>
      </x:c>
      <x:c r="I53" s="35" t="n">
        <x:v>552946</x:v>
      </x:c>
    </x:row>
    <x:row r="54" ht="47" customHeight="1">
      <x:c r="A54" s="35" t="str">
        <x:v>R021</x:v>
      </x:c>
      <x:c r="B54" s="35" t="str">
        <x:v>Universidad Rey Juan Carlos</x:v>
      </x:c>
      <x:c r="C54" s="35" t="str">
        <x:v>ARQUITECTURA DE COMPUTADORES. Guía docente del Grado en Ingeniería de la Ciberseguridad</x:v>
      </x:c>
      <x:c r="D54" s="35" t="str">
        <x:v>Curso 2026–2027</x:v>
      </x:c>
      <x:c r="E54" s="35" t="str">
        <x:v>https://gestion3.urjc.es/guiasdocentes/pdfGuia.jsp?txtAsignatura=2285021&amp;txtTitulacion=2285&amp;txtCursoAcademico=2026-27</x:v>
      </x:c>
      <x:c r="F54" s="35" t="str">
        <x:v>II. Presentación; III. Resultados de aprendizaje; IV. Contenido</x:v>
      </x:c>
      <x:c r="G54" s="35" t="str">
        <x:v>Base educativa. La ficha no constituye por sí sola un parámetro; su función se relaciona con la operación en el catálogo.</x:v>
      </x:c>
      <x:c r="H54" s="35" t="str">
        <x:v>743f98e8b904d2359f4bc05e9f7bda346c341b8a619d1f798d5a7c007f4c41d0</x:v>
      </x:c>
      <x:c r="I54" s="35" t="n">
        <x:v>261643</x:v>
      </x:c>
    </x:row>
    <x:row r="55" ht="47" customHeight="1">
      <x:c r="A55" s="35" t="str">
        <x:v>R022</x:v>
      </x:c>
      <x:c r="B55" s="35" t="str">
        <x:v>Universidad Rey Juan Carlos</x:v>
      </x:c>
      <x:c r="C55" s="35" t="str">
        <x:v>DISEÑO Y ANALISIS DE ALGORITMOS. Guía docente del Grado en Ingeniería de la Ciberseguridad</x:v>
      </x:c>
      <x:c r="D55" s="35" t="str">
        <x:v>Curso 2026–2027</x:v>
      </x:c>
      <x:c r="E55" s="35" t="str">
        <x:v>https://gestion3.urjc.es/guiasdocentes/pdfGuia.jsp?txtAsignatura=2285022&amp;txtTitulacion=2285&amp;txtCursoAcademico=2026-27</x:v>
      </x:c>
      <x:c r="F55" s="35" t="str">
        <x:v>II. Presentación; III. Resultados de aprendizaje; IV. Contenido</x:v>
      </x:c>
      <x:c r="G55" s="35" t="str">
        <x:v>Base educativa. La ficha no constituye por sí sola un parámetro; su función se relaciona con la operación en el catálogo.</x:v>
      </x:c>
      <x:c r="H55" s="35" t="str">
        <x:v>18fd4e605adaa5e9a1feabc2679e1d0cd16415266bf45d681fc5387c27a120a6</x:v>
      </x:c>
      <x:c r="I55" s="35" t="n">
        <x:v>255157</x:v>
      </x:c>
    </x:row>
    <x:row r="56" ht="47" customHeight="1">
      <x:c r="A56" s="35" t="str">
        <x:v>R023</x:v>
      </x:c>
      <x:c r="B56" s="35" t="str">
        <x:v>Universidad Rey Juan Carlos</x:v>
      </x:c>
      <x:c r="C56" s="35" t="str">
        <x:v>INGENIERIA DEL SOFTWARE. Guía docente del Grado en Ingeniería de la Ciberseguridad</x:v>
      </x:c>
      <x:c r="D56" s="35" t="str">
        <x:v>Curso 2026–2027</x:v>
      </x:c>
      <x:c r="E56" s="35" t="str">
        <x:v>https://gestion3.urjc.es/guiasdocentes/pdfGuia.jsp?txtAsignatura=2285023&amp;txtTitulacion=2285&amp;txtCursoAcademico=2026-27</x:v>
      </x:c>
      <x:c r="F56" s="35" t="str">
        <x:v>II. Presentación; III. Resultados de aprendizaje; IV. Contenido</x:v>
      </x:c>
      <x:c r="G56" s="35" t="str">
        <x:v>Base educativa. La ficha no constituye por sí sola un parámetro; su función se relaciona con la operación en el catálogo.</x:v>
      </x:c>
      <x:c r="H56" s="35" t="str">
        <x:v>1e34926c4bb524a1516ecb619caf413954ee85240e5ce39acff4f6179954f133</x:v>
      </x:c>
      <x:c r="I56" s="35" t="n">
        <x:v>301478</x:v>
      </x:c>
    </x:row>
    <x:row r="57" ht="47" customHeight="1">
      <x:c r="A57" s="35" t="str">
        <x:v>R024</x:v>
      </x:c>
      <x:c r="B57" s="35" t="str">
        <x:v>Universidad Rey Juan Carlos</x:v>
      </x:c>
      <x:c r="C57" s="35" t="str">
        <x:v>SEGURIDAD EN BASES DE DATOS. Guía docente del Grado en Ingeniería de la Ciberseguridad</x:v>
      </x:c>
      <x:c r="D57" s="35" t="str">
        <x:v>Curso 2026–2027</x:v>
      </x:c>
      <x:c r="E57" s="35" t="str">
        <x:v>https://gestion3.urjc.es/guiasdocentes/pdfGuia.jsp?txtAsignatura=2285024&amp;txtTitulacion=2285&amp;txtCursoAcademico=2026-27</x:v>
      </x:c>
      <x:c r="F57" s="35" t="str">
        <x:v>II. Presentación; III. Resultados de aprendizaje; IV. Contenido</x:v>
      </x:c>
      <x:c r="G57" s="35" t="str">
        <x:v>Base educativa. La ficha no constituye por sí sola un parámetro; su función se relaciona con la operación en el catálogo.</x:v>
      </x:c>
      <x:c r="H57" s="35" t="str">
        <x:v>72d355d6617ab9aa7c357dd1d31b42cb00c13fbd891bf5a698c51ca597d4eec5</x:v>
      </x:c>
      <x:c r="I57" s="35" t="n">
        <x:v>281035</x:v>
      </x:c>
    </x:row>
    <x:row r="58" ht="47" customHeight="1">
      <x:c r="A58" s="35" t="str">
        <x:v>R025</x:v>
      </x:c>
      <x:c r="B58" s="35" t="str">
        <x:v>Universidad Rey Juan Carlos</x:v>
      </x:c>
      <x:c r="C58" s="35" t="str">
        <x:v>SISTEMAS OPERATIVOS. Guía docente del Grado en Ingeniería de la Ciberseguridad</x:v>
      </x:c>
      <x:c r="D58" s="35" t="str">
        <x:v>Curso 2026–2027</x:v>
      </x:c>
      <x:c r="E58" s="35" t="str">
        <x:v>https://gestion3.urjc.es/guiasdocentes/pdfGuia.jsp?txtAsignatura=2285025&amp;txtTitulacion=2285&amp;txtCursoAcademico=2026-27</x:v>
      </x:c>
      <x:c r="F58" s="35" t="str">
        <x:v>II. Presentación; III. Resultados de aprendizaje; IV. Contenido</x:v>
      </x:c>
      <x:c r="G58" s="35" t="str">
        <x:v>Base educativa. La ficha no constituye por sí sola un parámetro; su función se relaciona con la operación en el catálogo.</x:v>
      </x:c>
      <x:c r="H58" s="35" t="str">
        <x:v>b3af36599e0e0358090f8457da07c8994e6c92e02e01368c49c63ca44a24c540</x:v>
      </x:c>
      <x:c r="I58" s="35" t="n">
        <x:v>282277</x:v>
      </x:c>
    </x:row>
    <x:row r="59" ht="47" customHeight="1">
      <x:c r="A59" s="35" t="str">
        <x:v>R026</x:v>
      </x:c>
      <x:c r="B59" s="35" t="str">
        <x:v>Universidad Rey Juan Carlos</x:v>
      </x:c>
      <x:c r="C59" s="35" t="str">
        <x:v>INTELIGENCIA ARTIFICIAL. Guía docente del Grado en Ingeniería de la Ciberseguridad</x:v>
      </x:c>
      <x:c r="D59" s="35" t="str">
        <x:v>Curso 2026–2027</x:v>
      </x:c>
      <x:c r="E59" s="35" t="str">
        <x:v>https://gestion3.urjc.es/guiasdocentes/pdfGuia.jsp?txtAsignatura=2285026&amp;txtTitulacion=2285&amp;txtCursoAcademico=2026-27</x:v>
      </x:c>
      <x:c r="F59" s="35" t="str">
        <x:v>II. Presentación; III. Resultados de aprendizaje; IV. Contenido</x:v>
      </x:c>
      <x:c r="G59" s="35" t="str">
        <x:v>Base educativa. La ficha no constituye por sí sola un parámetro; su función se relaciona con la operación en el catálogo.</x:v>
      </x:c>
      <x:c r="H59" s="35" t="str">
        <x:v>716d4089a3aeeefdb990de12e2e2b2f77cf54d8260f4f4af32d2de84f0904eca</x:v>
      </x:c>
      <x:c r="I59" s="35" t="n">
        <x:v>239664</x:v>
      </x:c>
    </x:row>
    <x:row r="60" ht="47" customHeight="1">
      <x:c r="A60" s="35" t="str">
        <x:v>R027</x:v>
      </x:c>
      <x:c r="B60" s="35" t="str">
        <x:v>Universidad Rey Juan Carlos</x:v>
      </x:c>
      <x:c r="C60" s="35" t="str">
        <x:v>MALWARE Y AMENAZAS DIRIGIDAS. Guía docente del Grado en Ingeniería de la Ciberseguridad</x:v>
      </x:c>
      <x:c r="D60" s="35" t="str">
        <x:v>Curso 2026–2027</x:v>
      </x:c>
      <x:c r="E60" s="35" t="str">
        <x:v>https://gestion3.urjc.es/guiasdocentes/pdfGuia.jsp?txtAsignatura=2285027&amp;txtTitulacion=2285&amp;txtCursoAcademico=2026-27</x:v>
      </x:c>
      <x:c r="F60" s="35" t="str">
        <x:v>II. Presentación; III. Resultados de aprendizaje; IV. Contenido</x:v>
      </x:c>
      <x:c r="G60" s="35" t="str">
        <x:v>Base educativa. La ficha no constituye por sí sola un parámetro; su función se relaciona con la operación en el catálogo.</x:v>
      </x:c>
      <x:c r="H60" s="35" t="str">
        <x:v>f42857213ee5f8d9f36cd61f8f733227d9d8c28e3c88d8a21f1f1b85315e65c7</x:v>
      </x:c>
      <x:c r="I60" s="35" t="n">
        <x:v>278293</x:v>
      </x:c>
    </x:row>
    <x:row r="61" ht="47" customHeight="1">
      <x:c r="A61" s="35" t="str">
        <x:v>R028</x:v>
      </x:c>
      <x:c r="B61" s="35" t="str">
        <x:v>Universidad Rey Juan Carlos</x:v>
      </x:c>
      <x:c r="C61" s="35" t="str">
        <x:v>METODOLOGIAS DE DESARROLLO SEGURO. Guía docente del Grado en Ingeniería de la Ciberseguridad</x:v>
      </x:c>
      <x:c r="D61" s="35" t="str">
        <x:v>Curso 2026–2027</x:v>
      </x:c>
      <x:c r="E61" s="35" t="str">
        <x:v>https://gestion3.urjc.es/guiasdocentes/pdfGuia.jsp?txtAsignatura=2285028&amp;txtTitulacion=2285&amp;txtCursoAcademico=2026-27</x:v>
      </x:c>
      <x:c r="F61" s="35" t="str">
        <x:v>II. Presentación; III. Resultados de aprendizaje; IV. Contenido</x:v>
      </x:c>
      <x:c r="G61" s="35" t="str">
        <x:v>Base educativa. La ficha no constituye por sí sola un parámetro; su función se relaciona con la operación en el catálogo.</x:v>
      </x:c>
      <x:c r="H61" s="35" t="str">
        <x:v>c8884e732d6be694251f4b1fc54b68519fc08b01937168e37a38cfbd8de546b1</x:v>
      </x:c>
      <x:c r="I61" s="35" t="n">
        <x:v>255135</x:v>
      </x:c>
    </x:row>
    <x:row r="62" ht="47" customHeight="1">
      <x:c r="A62" s="35" t="str">
        <x:v>R029</x:v>
      </x:c>
      <x:c r="B62" s="35" t="str">
        <x:v>Universidad Rey Juan Carlos</x:v>
      </x:c>
      <x:c r="C62" s="35" t="str">
        <x:v>REDES AVANZADAS Y COMPUTACION EN LA NUBE. Guía docente del Grado en Ingeniería de la Ciberseguridad</x:v>
      </x:c>
      <x:c r="D62" s="35" t="str">
        <x:v>Curso 2026–2027</x:v>
      </x:c>
      <x:c r="E62" s="35" t="str">
        <x:v>https://gestion3.urjc.es/guiasdocentes/pdfGuia.jsp?txtAsignatura=2285029&amp;txtTitulacion=2285&amp;txtCursoAcademico=2026-27</x:v>
      </x:c>
      <x:c r="F62" s="35" t="str">
        <x:v>II. Presentación; III. Resultados de aprendizaje; IV. Contenido</x:v>
      </x:c>
      <x:c r="G62" s="35" t="str">
        <x:v>Base educativa. La ficha no constituye por sí sola un parámetro; su función se relaciona con la operación en el catálogo.</x:v>
      </x:c>
      <x:c r="H62" s="35" t="str">
        <x:v>d2fb72105f0a559007c217175200578c8029e3b5b89f2615bb4fb893b0d7f91c</x:v>
      </x:c>
      <x:c r="I62" s="35" t="n">
        <x:v>284029</x:v>
      </x:c>
    </x:row>
    <x:row r="63" ht="47" customHeight="1">
      <x:c r="A63" s="35" t="str">
        <x:v>R030</x:v>
      </x:c>
      <x:c r="B63" s="35" t="str">
        <x:v>Universidad Rey Juan Carlos</x:v>
      </x:c>
      <x:c r="C63" s="35" t="str">
        <x:v>SISTEMAS DE INFORMACION. Guía docente del Grado en Ingeniería de la Ciberseguridad</x:v>
      </x:c>
      <x:c r="D63" s="35" t="str">
        <x:v>Curso 2026–2027</x:v>
      </x:c>
      <x:c r="E63" s="35" t="str">
        <x:v>https://gestion3.urjc.es/guiasdocentes/pdfGuia.jsp?txtAsignatura=2285030&amp;txtTitulacion=2285&amp;txtCursoAcademico=2026-27</x:v>
      </x:c>
      <x:c r="F63" s="35" t="str">
        <x:v>II. Presentación; III. Resultados de aprendizaje; IV. Contenido</x:v>
      </x:c>
      <x:c r="G63" s="35" t="str">
        <x:v>Base educativa. La ficha no constituye por sí sola un parámetro; su función se relaciona con la operación en el catálogo.</x:v>
      </x:c>
      <x:c r="H63" s="35" t="str">
        <x:v>8ff2b312b91d143ce13398706e7758263b62fe1c5b54d60b90dbb24acdf26a57</x:v>
      </x:c>
      <x:c r="I63" s="35" t="n">
        <x:v>303996</x:v>
      </x:c>
    </x:row>
    <x:row r="64" ht="47" customHeight="1">
      <x:c r="A64" s="35" t="str">
        <x:v>R031</x:v>
      </x:c>
      <x:c r="B64" s="35" t="str">
        <x:v>Universidad Rey Juan Carlos</x:v>
      </x:c>
      <x:c r="C64" s="35" t="str">
        <x:v>VISION ARTIFICIAL APLICADA A LA CIBERSEGURIDAD. Guía docente del Grado en Ingeniería de la Ciberseguridad</x:v>
      </x:c>
      <x:c r="D64" s="35" t="str">
        <x:v>Curso 2026–2027</x:v>
      </x:c>
      <x:c r="E64" s="35" t="str">
        <x:v>https://gestion3.urjc.es/guiasdocentes/pdfGuia.jsp?txtAsignatura=2285031&amp;txtTitulacion=2285&amp;txtCursoAcademico=2026-27</x:v>
      </x:c>
      <x:c r="F64" s="35" t="str">
        <x:v>II. Presentación; III. Resultados de aprendizaje; IV. Contenido</x:v>
      </x:c>
      <x:c r="G64" s="35" t="str">
        <x:v>Base educativa. La ficha no constituye por sí sola un parámetro; su función se relaciona con la operación en el catálogo.</x:v>
      </x:c>
      <x:c r="H64" s="35" t="str">
        <x:v>17a24ea19e7f52915b6b3a3480b1c24acfea0de6886dc88377d8ea7b922b6acb</x:v>
      </x:c>
      <x:c r="I64" s="35" t="n">
        <x:v>258436</x:v>
      </x:c>
    </x:row>
    <x:row r="65" ht="47" customHeight="1">
      <x:c r="A65" s="35" t="str">
        <x:v>R032</x:v>
      </x:c>
      <x:c r="B65" s="35" t="str">
        <x:v>Universidad Rey Juan Carlos</x:v>
      </x:c>
      <x:c r="C65" s="35" t="str">
        <x:v>AUDITORIA. Guía docente del Grado en Ingeniería de la Ciberseguridad</x:v>
      </x:c>
      <x:c r="D65" s="35" t="str">
        <x:v>Curso 2026–2027</x:v>
      </x:c>
      <x:c r="E65" s="35" t="str">
        <x:v>https://gestion3.urjc.es/guiasdocentes/pdfGuia.jsp?txtAsignatura=2285032&amp;txtTitulacion=2285&amp;txtCursoAcademico=2026-27</x:v>
      </x:c>
      <x:c r="F65" s="35" t="str">
        <x:v>II. Presentación; III. Resultados de aprendizaje; IV. Contenido</x:v>
      </x:c>
      <x:c r="G65" s="35" t="str">
        <x:v>Base educativa. La ficha no constituye por sí sola un parámetro; su función se relaciona con la operación en el catálogo.</x:v>
      </x:c>
      <x:c r="H65" s="35" t="str">
        <x:v>1166067a7d7fb5134c17396a8b4c70cdeb467bcedba13832dfa5b09bf524e835</x:v>
      </x:c>
      <x:c r="I65" s="35" t="n">
        <x:v>235965</x:v>
      </x:c>
    </x:row>
    <x:row r="66" ht="47" customHeight="1">
      <x:c r="A66" s="35" t="str">
        <x:v>R033</x:v>
      </x:c>
      <x:c r="B66" s="35" t="str">
        <x:v>Universidad Rey Juan Carlos</x:v>
      </x:c>
      <x:c r="C66" s="35" t="str">
        <x:v>INTELIGENCIA DE LA SEGURIDAD. Guía docente del Grado en Ingeniería de la Ciberseguridad</x:v>
      </x:c>
      <x:c r="D66" s="35" t="str">
        <x:v>Curso 2026–2027</x:v>
      </x:c>
      <x:c r="E66" s="35" t="str">
        <x:v>https://gestion3.urjc.es/guiasdocentes/pdfGuia.jsp?txtAsignatura=2285033&amp;txtTitulacion=2285&amp;txtCursoAcademico=2026-27</x:v>
      </x:c>
      <x:c r="F66" s="35" t="str">
        <x:v>II. Presentación; III. Resultados de aprendizaje; IV. Contenido</x:v>
      </x:c>
      <x:c r="G66" s="35" t="str">
        <x:v>Base educativa. La ficha no constituye por sí sola un parámetro; su función se relaciona con la operación en el catálogo.</x:v>
      </x:c>
      <x:c r="H66" s="35" t="str">
        <x:v>951ba49ae08e05ed51c8a017382fdd0c44d4d044848571e759a6962ed2f7f314</x:v>
      </x:c>
      <x:c r="I66" s="35" t="n">
        <x:v>255674</x:v>
      </x:c>
    </x:row>
    <x:row r="67" ht="47" customHeight="1">
      <x:c r="A67" s="35" t="str">
        <x:v>R034</x:v>
      </x:c>
      <x:c r="B67" s="35" t="str">
        <x:v>Universidad Rey Juan Carlos</x:v>
      </x:c>
      <x:c r="C67" s="35" t="str">
        <x:v>PENTESTING. Guía docente del Grado en Ingeniería de la Ciberseguridad</x:v>
      </x:c>
      <x:c r="D67" s="35" t="str">
        <x:v>Curso 2026–2027</x:v>
      </x:c>
      <x:c r="E67" s="35" t="str">
        <x:v>https://gestion3.urjc.es/guiasdocentes/pdfGuia.jsp?txtAsignatura=2285034&amp;txtTitulacion=2285&amp;txtCursoAcademico=2026-27</x:v>
      </x:c>
      <x:c r="F67" s="35" t="str">
        <x:v>II. Presentación; III. Resultados de aprendizaje; IV. Contenido</x:v>
      </x:c>
      <x:c r="G67" s="35" t="str">
        <x:v>Base educativa. La ficha no constituye por sí sola un parámetro; su función se relaciona con la operación en el catálogo.</x:v>
      </x:c>
      <x:c r="H67" s="35" t="str">
        <x:v>c4c0a89c38f656ba665d21dec80ffcb7315846efadcde52e4c4e561d84bdadd7</x:v>
      </x:c>
      <x:c r="I67" s="35" t="n">
        <x:v>276684</x:v>
      </x:c>
    </x:row>
    <x:row r="68" ht="47" customHeight="1">
      <x:c r="A68" s="35" t="str">
        <x:v>R035</x:v>
      </x:c>
      <x:c r="B68" s="35" t="str">
        <x:v>Universidad Rey Juan Carlos</x:v>
      </x:c>
      <x:c r="C68" s="35" t="str">
        <x:v>ANALISIS Y GESTION DEL RIESGO. Guía docente del Grado en Ingeniería de la Ciberseguridad</x:v>
      </x:c>
      <x:c r="D68" s="35" t="str">
        <x:v>Curso 2026–2027</x:v>
      </x:c>
      <x:c r="E68" s="35" t="str">
        <x:v>https://gestion3.urjc.es/guiasdocentes/pdfGuia.jsp?txtAsignatura=2285036&amp;txtTitulacion=2285&amp;txtCursoAcademico=2026-27</x:v>
      </x:c>
      <x:c r="F68" s="35" t="str">
        <x:v>II. Presentación; III. Resultados de aprendizaje; IV. Contenido</x:v>
      </x:c>
      <x:c r="G68" s="35" t="str">
        <x:v>Base educativa. La ficha no constituye por sí sola un parámetro; su función se relaciona con la operación en el catálogo.</x:v>
      </x:c>
      <x:c r="H68" s="35" t="str">
        <x:v>099a3eb2a03c5040f76ddc3676ae6ed1987e0432626f014812a720fd204c0eea</x:v>
      </x:c>
      <x:c r="I68" s="35" t="n">
        <x:v>278163</x:v>
      </x:c>
    </x:row>
    <x:row r="69" ht="47" customHeight="1">
      <x:c r="A69" s="35" t="str">
        <x:v>R036</x:v>
      </x:c>
      <x:c r="B69" s="35" t="str">
        <x:v>Universidad Rey Juan Carlos</x:v>
      </x:c>
      <x:c r="C69" s="35" t="str">
        <x:v>PROTECCION DE INFRAESTRUCTURAS CRITICAS. Guía docente del Grado en Ingeniería de la Ciberseguridad</x:v>
      </x:c>
      <x:c r="D69" s="35" t="str">
        <x:v>Curso 2026–2027</x:v>
      </x:c>
      <x:c r="E69" s="35" t="str">
        <x:v>https://gestion3.urjc.es/guiasdocentes/pdfGuia.jsp?txtAsignatura=2285037&amp;txtTitulacion=2285&amp;txtCursoAcademico=2026-27</x:v>
      </x:c>
      <x:c r="F69" s="35" t="str">
        <x:v>II. Presentación; III. Resultados de aprendizaje; IV. Contenido</x:v>
      </x:c>
      <x:c r="G69" s="35" t="str">
        <x:v>Base educativa. La ficha no constituye por sí sola un parámetro; su función se relaciona con la operación en el catálogo.</x:v>
      </x:c>
      <x:c r="H69" s="35" t="str">
        <x:v>c911899853f38cab8c3d845e837e43b6adb99aec161edcd0d6168fabba9f9f55</x:v>
      </x:c>
      <x:c r="I69" s="35" t="n">
        <x:v>234641</x:v>
      </x:c>
    </x:row>
    <x:row r="70" ht="47" customHeight="1">
      <x:c r="A70" s="35" t="str">
        <x:v>R037</x:v>
      </x:c>
      <x:c r="B70" s="35" t="str">
        <x:v>Universidad Rey Juan Carlos</x:v>
      </x:c>
      <x:c r="C70" s="35" t="str">
        <x:v>REGULACION Y GOBERNANZA DE LA SEGURIDAD. Guía docente del Grado en Ingeniería de la Ciberseguridad</x:v>
      </x:c>
      <x:c r="D70" s="35" t="str">
        <x:v>Curso 2026–2027</x:v>
      </x:c>
      <x:c r="E70" s="35" t="str">
        <x:v>https://gestion3.urjc.es/guiasdocentes/pdfGuia.jsp?txtAsignatura=2285038&amp;txtTitulacion=2285&amp;txtCursoAcademico=2026-27</x:v>
      </x:c>
      <x:c r="F70" s="35" t="str">
        <x:v>II. Presentación; III. Resultados de aprendizaje; IV. Contenido</x:v>
      </x:c>
      <x:c r="G70" s="35" t="str">
        <x:v>Base educativa. La ficha no constituye por sí sola un parámetro; su función se relaciona con la operación en el catálogo.</x:v>
      </x:c>
      <x:c r="H70" s="35" t="str">
        <x:v>92f21597ea76857a36e6f592bfad6c604751e346260e46caf0acd69beb5082f8</x:v>
      </x:c>
      <x:c r="I70" s="35" t="n">
        <x:v>237085</x:v>
      </x:c>
    </x:row>
    <x:row r="71" ht="47" customHeight="1">
      <x:c r="A71" s="35" t="str">
        <x:v>R038</x:v>
      </x:c>
      <x:c r="B71" s="35" t="str">
        <x:v>Universidad Rey Juan Carlos</x:v>
      </x:c>
      <x:c r="C71" s="35" t="str">
        <x:v>PRACTICAS EXTERNAS. Guía docente del Grado en Ingeniería de la Ciberseguridad</x:v>
      </x:c>
      <x:c r="D71" s="35" t="str">
        <x:v>Curso 2026–2027</x:v>
      </x:c>
      <x:c r="E71" s="35" t="str">
        <x:v>https://gestion3.urjc.es/guiasdocentes/pdfGuia.jsp?txtAsignatura=2285039&amp;txtTitulacion=2285&amp;txtCursoAcademico=2026-27</x:v>
      </x:c>
      <x:c r="F71" s="35" t="str">
        <x:v>II. Presentación; III. Resultados de aprendizaje; IV. Contenido</x:v>
      </x:c>
      <x:c r="G71" s="35" t="str">
        <x:v>Base educativa. La ficha no constituye por sí sola un parámetro; su función se relaciona con la operación en el catálogo.</x:v>
      </x:c>
      <x:c r="H71" s="35" t="str">
        <x:v>8a4ec9299aa0f8e3ef047cefefd9b304dc39ffddfa2b3619bd29e6be6b9be2da</x:v>
      </x:c>
      <x:c r="I71" s="35" t="n">
        <x:v>192722</x:v>
      </x:c>
    </x:row>
    <x:row r="72" ht="47" customHeight="1">
      <x:c r="A72" s="35" t="str">
        <x:v>R039</x:v>
      </x:c>
      <x:c r="B72" s="35" t="str">
        <x:v>Universidad Rey Juan Carlos</x:v>
      </x:c>
      <x:c r="C72" s="35" t="str">
        <x:v>RECONOCIMIENTO ACADEMICO DE CREDITOS. Guía docente del Grado en Ingeniería de la Ciberseguridad</x:v>
      </x:c>
      <x:c r="D72" s="35" t="str">
        <x:v>Curso 2026–2027</x:v>
      </x:c>
      <x:c r="E72" s="35" t="str">
        <x:v>https://gestion3.urjc.es/guiasdocentes/pdfGuia.jsp?txtAsignatura=2285035&amp;txtTitulacion=2285&amp;txtCursoAcademico=2026-27</x:v>
      </x:c>
      <x:c r="F72" s="35" t="str">
        <x:v>II. Presentación; III. Resultados de aprendizaje; IV. Contenido</x:v>
      </x:c>
      <x:c r="G72" s="35" t="str">
        <x:v>Base educativa. La ficha no constituye por sí sola un parámetro; su función se relaciona con la operación en el catálogo.</x:v>
      </x:c>
      <x:c r="H72" s="35" t="str">
        <x:v>fec7f574fc45a4dc21a6badf794e85fa7cc4a4c994618209427770c2b2c34b08</x:v>
      </x:c>
      <x:c r="I72" s="35" t="n">
        <x:v>419263</x:v>
      </x:c>
    </x:row>
    <x:row r="73" ht="47" customHeight="1">
      <x:c r="A73" s="35" t="str">
        <x:v>R040</x:v>
      </x:c>
      <x:c r="B73" s="35" t="str">
        <x:v>Universidad Rey Juan Carlos</x:v>
      </x:c>
      <x:c r="C73" s="35" t="str">
        <x:v>TRABAJO FIN DE GRADO. Guía docente del Grado en Ingeniería de la Ciberseguridad</x:v>
      </x:c>
      <x:c r="D73" s="35" t="str">
        <x:v>Curso 2026–2027</x:v>
      </x:c>
      <x:c r="E73" s="35" t="str">
        <x:v>https://gestion3.urjc.es/guiasdocentes/pdfGuia.jsp?txtAsignatura=2285040&amp;txtTitulacion=2285&amp;txtCursoAcademico=2026-27</x:v>
      </x:c>
      <x:c r="F73" s="35" t="str">
        <x:v>II. Presentación; III. Resultados de aprendizaje; IV. Contenido</x:v>
      </x:c>
      <x:c r="G73" s="35" t="str">
        <x:v>Base educativa. La ficha no constituye por sí sola un parámetro; su función se relaciona con la operación en el catálogo.</x:v>
      </x:c>
      <x:c r="H73" s="35" t="str">
        <x:v>3a173a15d1c352e94c31f0da51cc72f160131ddff092c38622103b9d13e04611</x:v>
      </x:c>
      <x:c r="I73" s="35" t="n">
        <x:v>219436</x:v>
      </x:c>
    </x:row>
    <x:row r="74" ht="47" customHeight="1">
      <x:c r="A74" s="35" t="str">
        <x:v>M001</x:v>
      </x:c>
      <x:c r="B74" s="35" t="str">
        <x:v>UNSW Canberra</x:v>
      </x:c>
      <x:c r="C74" s="35" t="str">
        <x:v>Cyber Security Industry Project 1</x:v>
      </x:c>
      <x:c r="D74" s="35" t="str">
        <x:v>Edición 2026 o 2026–2027 identificada en el catálogo</x:v>
      </x:c>
      <x:c r="E74" s="35" t="str">
        <x:v>https://www.handbook.unsw.edu.au/undergraduate/courses/2026/ZSPS2119</x:v>
      </x:c>
      <x:c r="F74" s="35" t="str">
        <x:v>Descripción y resultados de aprendizaje del curso</x:v>
      </x:c>
      <x:c r="G74" s="35" t="str">
        <x:v>Complemento educativo selectivo; no equivalencia entre títulos o créditos de países distintos.</x:v>
      </x:c>
      <x:c r="H74" s="35" t="str">
        <x:v>1407c5b86575a4633bdfcff893df35718c3c669e5273ee66197c4e4effe76978</x:v>
      </x:c>
      <x:c r="I74" s="35" t="n">
        <x:v>302868</x:v>
      </x:c>
    </x:row>
    <x:row r="75" ht="47" customHeight="1">
      <x:c r="A75" s="35" t="str">
        <x:v>M002</x:v>
      </x:c>
      <x:c r="B75" s="35" t="str">
        <x:v>UNSW Canberra</x:v>
      </x:c>
      <x:c r="C75" s="35" t="str">
        <x:v>Machine Learning for Cyber Security</x:v>
      </x:c>
      <x:c r="D75" s="35" t="str">
        <x:v>Edición 2026 o 2026–2027 identificada en el catálogo</x:v>
      </x:c>
      <x:c r="E75" s="35" t="str">
        <x:v>https://www.handbook.unsw.edu.au/undergraduate/courses/2026/ZSPS2118</x:v>
      </x:c>
      <x:c r="F75" s="35" t="str">
        <x:v>Descripción y resultados de aprendizaje del curso</x:v>
      </x:c>
      <x:c r="G75" s="35" t="str">
        <x:v>Complemento educativo selectivo; no equivalencia entre títulos o créditos de países distintos.</x:v>
      </x:c>
      <x:c r="H75" s="35" t="str">
        <x:v>d7a8d023ff5b8013763fb62ab1ae460262dafbbf8fc328206a795fdce6795631</x:v>
      </x:c>
      <x:c r="I75" s="35" t="n">
        <x:v>299334</x:v>
      </x:c>
    </x:row>
    <x:row r="76" ht="47" customHeight="1">
      <x:c r="A76" s="35" t="str">
        <x:v>M003</x:v>
      </x:c>
      <x:c r="B76" s="35" t="str">
        <x:v>UNSW Canberra</x:v>
      </x:c>
      <x:c r="C76" s="35" t="str">
        <x:v>Trustworthy AI for Cyber Security</x:v>
      </x:c>
      <x:c r="D76" s="35" t="str">
        <x:v>Edición 2026 o 2026–2027 identificada en el catálogo</x:v>
      </x:c>
      <x:c r="E76" s="35" t="str">
        <x:v>https://www.handbook.unsw.edu.au/undergraduate/courses/2026/ZSPS2122</x:v>
      </x:c>
      <x:c r="F76" s="35" t="str">
        <x:v>Descripción y resultados de aprendizaje del curso</x:v>
      </x:c>
      <x:c r="G76" s="35" t="str">
        <x:v>Complemento educativo selectivo; no equivalencia entre títulos o créditos de países distintos.</x:v>
      </x:c>
      <x:c r="H76" s="35" t="str">
        <x:v>307941cafcbf27b86acaab064e43763611e3800b2a01d96a90046a4c2259e0a7</x:v>
      </x:c>
      <x:c r="I76" s="35" t="n">
        <x:v>300291</x:v>
      </x:c>
    </x:row>
    <x:row r="77" ht="47" customHeight="1">
      <x:c r="A77" s="35" t="str">
        <x:v>M004</x:v>
      </x:c>
      <x:c r="B77" s="35" t="str">
        <x:v>UNSW Canberra</x:v>
      </x:c>
      <x:c r="C77" s="35" t="str">
        <x:v>Deep Learning for Cyber Security</x:v>
      </x:c>
      <x:c r="D77" s="35" t="str">
        <x:v>Edición 2026 o 2026–2027 identificada en el catálogo</x:v>
      </x:c>
      <x:c r="E77" s="35" t="str">
        <x:v>https://www.handbook.unsw.edu.au/undergraduate/courses/2026/ZSPS2121</x:v>
      </x:c>
      <x:c r="F77" s="35" t="str">
        <x:v>Descripción y resultados de aprendizaje del curso</x:v>
      </x:c>
      <x:c r="G77" s="35" t="str">
        <x:v>Complemento educativo selectivo; no equivalencia entre títulos o créditos de países distintos.</x:v>
      </x:c>
      <x:c r="H77" s="35" t="str">
        <x:v>d6c58d21fa3dd583613d9bd9a24480b531cec8ed3982d9cdc29bbfbcd98379f0</x:v>
      </x:c>
      <x:c r="I77" s="35" t="n">
        <x:v>295349</x:v>
      </x:c>
    </x:row>
    <x:row r="78" ht="47" customHeight="1">
      <x:c r="A78" s="35" t="str">
        <x:v>W016</x:v>
      </x:c>
      <x:c r="B78" s="35" t="str">
        <x:v>University of Warwick</x:v>
      </x:c>
      <x:c r="C78" s="35" t="str">
        <x:v>W016</x:v>
      </x:c>
      <x:c r="D78" s="35" t="str">
        <x:v>Edición 2026 o 2026–2027 identificada en el catálogo</x:v>
      </x:c>
      <x:c r="E78" s="35" t="str">
        <x:v>https://courses.warwick.ac.uk/modules/2026/WM284-15</x:v>
      </x:c>
      <x:c r="F78" s="35" t="str">
        <x:v>Descripción y resultados de aprendizaje del curso</x:v>
      </x:c>
      <x:c r="G78" s="35" t="str">
        <x:v>Complemento educativo selectivo; no equivalencia entre títulos o créditos de países distintos.</x:v>
      </x:c>
      <x:c r="H78" s="35" t="str">
        <x:v>147355f0da756d0bf0a1ee0fd796d727aed25946ae2ca715d9a79b9a911dd25d</x:v>
      </x:c>
      <x:c r="I78" s="35" t="n">
        <x:v>17175</x:v>
      </x:c>
    </x:row>
    <x:row r="79" ht="47" customHeight="1">
      <x:c r="A79" s="35" t="str">
        <x:v>G009</x:v>
      </x:c>
      <x:c r="B79" s="35" t="str">
        <x:v>University of Guelph</x:v>
      </x:c>
      <x:c r="C79" s="35" t="str">
        <x:v>CIS*6580</x:v>
      </x:c>
      <x:c r="D79" s="35" t="str">
        <x:v>Consulta de 08-09-2026; calendario sin edición anual visible</x:v>
      </x:c>
      <x:c r="E79" s="35" t="str">
        <x:v>https://calendar.uoguelph.ca/search/?P=CIS*6580</x:v>
      </x:c>
      <x:c r="F79" s="35" t="str">
        <x:v>Descripción y resultados de aprendizaje del curso</x:v>
      </x:c>
      <x:c r="G79" s="35" t="str">
        <x:v>Complemento educativo selectivo; no equivalencia entre títulos o créditos de países distintos.</x:v>
      </x:c>
      <x:c r="H79" s="35" t="str">
        <x:v>c9f2de63531cf3fae6276560e1f08aaa8b324a3b0ba83a7d3ec37062ee34d8d2</x:v>
      </x:c>
      <x:c r="I79" s="35" t="n">
        <x:v>204762</x:v>
      </x:c>
    </x:row>
    <x:row r="80" ht="62" customHeight="1">
      <x:c r="A80" s="35" t="str">
        <x:v>SV-ES</x:v>
      </x:c>
      <x:c r="B80" s="35" t="str">
        <x:v>Sistema Vectorial SV; decisión del Director</x:v>
      </x:c>
      <x:c r="C80" s="35" t="str">
        <x:v>Acta de uso del español en todos los repositorios del Sistema Vectorial SV</x:v>
      </x:c>
      <x:c r="D80" s="35" t="str">
        <x:v>2026-09-07</x:v>
      </x:c>
      <x:c r="E80" s="35" t="str">
        <x:v>https://github.com/juantoniolloretegea/SV-lenguaje-de-computacion/blob/ab61d9bb7a2002d3a4a389e292c2a9b0a850d264/docs/calidad/ACTA_DE_USO_DEL_ESPANOL_EN_TODOS_LOS_REPOSITORIOS_SV_2026_09_07.md</x:v>
      </x:c>
      <x:c r="F80" s="35" t="str">
        <x:v>§§1–4</x:v>
      </x:c>
      <x:c r="G80" s="35" t="str">
        <x:v>Norma interna obligatoria de redacción y precisión; no fuente técnica de ciberseguridad.</x:v>
      </x:c>
      <x:c r="H80" s="35" t="str">
        <x:v>Documento rector enlazado por commit</x:v>
      </x:c>
      <x:c r="I80" s="35" t="str"/>
    </x:row>
    <x:row r="81" ht="77" customHeight="1">
      <x:c r="A81" s="35" t="str">
        <x:v>SV-AT</x:v>
      </x:c>
      <x:c r="B81" s="35" t="str">
        <x:v>Sistema Vectorial SV</x:v>
      </x:c>
      <x:c r="C81" s="35" t="str">
        <x:v>Contrato matemático de parámetro atómico, matriz y ruta. INMUNO v0.3</x:v>
      </x:c>
      <x:c r="D81" s="35" t="str">
        <x:v>2026-09-02</x:v>
      </x:c>
      <x:c r="E81" s="35" t="str">
        <x:v>https://github.com/juantoniolloretegea/SVperitus-dataset/blob/fe8adf76aa030ba5ff4997be5772b5de5e4452f3/dominios/inmunologia/cambio-rumbo/03-base-documental-candidata/05-normalizacion-atomica-en-evaluacion/Contrato_matematico_parametro_atomico_matriz_ruta_INMUNO_v0.3_2026-09-02.md</x:v>
      </x:c>
      <x:c r="F81" s="35" t="str">
        <x:v>§§3–7</x:v>
      </x:c>
      <x:c r="G81" s="35" t="str">
        <x:v>Método de identidad, independencia y consecuencia. No se trasladan reglas clínicas, cantidades ni matrices.</x:v>
      </x:c>
      <x:c r="H81" s="35" t="str">
        <x:v>Documento rector enlazado por commit</x:v>
      </x:c>
      <x:c r="I81" s="35" t="str"/>
    </x:row>
    <x:row r="82" ht="77" customHeight="1">
      <x:c r="A82" s="35" t="str">
        <x:v>SV-IN</x:v>
      </x:c>
      <x:c r="B82" s="35" t="str">
        <x:v>Sistema Vectorial SV; instrucción aprobada por el Director</x:v>
      </x:c>
      <x:c r="C82" s="35" t="str">
        <x:v>Instrucción de relevo de ciberseguridad inteligente, revisión 1.2</x:v>
      </x:c>
      <x:c r="D82" s="35" t="str">
        <x:v>2026-09-08</x:v>
      </x:c>
      <x:c r="E82" s="35" t="str">
        <x:v>https://github.com/juantoniolloretegea/SVperitus-dataset/blob/47dc27aec9e7b517c27cfcf39b7ad1b186d36a4c/dominios/ciberseguridad-inteligente/dominio-04-09-26/watson-biblioteca-ciber/Aprobada_INSTRUCCION_RELEVO_CIBERSEGURIDAD_INTELIGENTE_2026_09_08.md</x:v>
      </x:c>
      <x:c r="F82" s="35" t="str">
        <x:v>§§5, 7–9 y 11; orden posterior del Director de 09-09-2026</x:v>
      </x:c>
      <x:c r="G82" s="35" t="str">
        <x:v>Marco de constitución, actualizado en la secuencia por la orden humana que exige terminar el primer universo antes de decidir el relevo.</x:v>
      </x:c>
      <x:c r="H82" s="35" t="str">
        <x:v>Documento rector enlazado por commit</x:v>
      </x:c>
      <x:c r="I82" s="35" t="str"/>
    </x:row>
  </x:sheetData>
  <x:mergeCells>
    <x:mergeCell ref="A1:D1"/>
    <x:mergeCell ref="A2:F2"/>
  </x:mergeCells>
  <x:pageMargins left="0.7" right="0.7" top="0.75" bottom="0.75" header="0.3" footer="0.3"/>
  <x:tableParts count="1">
    <x:tablePart xmlns:r="http://schemas.openxmlformats.org/officeDocument/2006/relationships" r:id="Re84bbd363d5e4e74"/>
  </x:tableParts>
</x:worksheet>
</file>

<file path=xl/worksheets/sheet7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6" hidden="0" customWidth="1"/>
    <x:col min="3" max="3" width="100" hidden="0" customWidth="1"/>
    <x:col min="4" max="4" width="30" hidden="0" customWidth="1"/>
    <x:col min="5" max="5" width="30" hidden="0" customWidth="1"/>
    <x:col min="6" max="6" width="24" hidden="0" customWidth="1"/>
  </x:cols>
  <x:sheetData>
    <x:row r="1" ht="34" customHeight="1">
      <x:c r="A1" s="36" t="str">
        <x:v>Contraste documental de los perfiles nuevos</x:v>
      </x:c>
      <x:c r="B1" s="35"/>
      <x:c r="C1" s="35"/>
      <x:c r="D1" s="35"/>
      <x:c r="E1" s="35"/>
      <x:c r="F1" s="35"/>
    </x:row>
    <x:row r="2" ht="46" customHeight="1">
      <x:c r="A2" s="37" t="str">
        <x:v>Casos sintéticos con resultados esperados previos. La concordancia no acredita eficacia en activos reales ni revisión externa por pares.</x:v>
      </x:c>
      <x:c r="B2" s="35"/>
      <x:c r="C2" s="35"/>
      <x:c r="D2" s="35"/>
      <x:c r="E2" s="35"/>
      <x:c r="F2" s="35"/>
    </x:row>
    <x:row r="3">
      <x:c r="A3" s="35"/>
      <x:c r="B3" s="35"/>
      <x:c r="C3" s="35"/>
      <x:c r="D3" s="35"/>
      <x:c r="E3" s="35"/>
      <x:c r="F3" s="35"/>
    </x:row>
    <x:row r="4" ht="42" customHeight="1">
      <x:c r="A4" s="39" t="str">
        <x:v>Caso</x:v>
      </x:c>
      <x:c r="B4" s="39" t="str">
        <x:v>Parámetro</x:v>
      </x:c>
      <x:c r="C4" s="39" t="str">
        <x:v>Supuesto contrastado</x:v>
      </x:c>
      <x:c r="D4" s="39" t="str">
        <x:v>Esperado</x:v>
      </x:c>
      <x:c r="E4" s="39" t="str">
        <x:v>Obtenido</x:v>
      </x:c>
      <x:c r="F4" s="39" t="str">
        <x:v>Concordancia</x:v>
      </x:c>
    </x:row>
    <x:row r="5" ht="43" customHeight="1">
      <x:c r="A5" s="35" t="str">
        <x:v>ED-001</x:v>
      </x:c>
      <x:c r="B5" s="35" t="str">
        <x:v>P16</x:v>
      </x:c>
      <x:c r="C5" s="35" t="str">
        <x:v>Persistencia y utilización coinciden</x:v>
      </x:c>
      <x:c r="D5" s="35" t="str">
        <x:v>1</x:v>
      </x:c>
      <x:c r="E5" s="35" t="str">
        <x:v>1</x:v>
      </x:c>
      <x:c r="F5" s="35" t="str">
        <x:f>IF(EXACT("x"&amp;D5,"x"&amp;E5),"Concordante","Discordante")</x:f>
        <x:v>Concordante</x:v>
      </x:c>
    </x:row>
    <x:row r="6" ht="43" customHeight="1">
      <x:c r="A6" s="35" t="str">
        <x:v>ED-002</x:v>
      </x:c>
      <x:c r="B6" s="35" t="str">
        <x:v>P16</x:v>
      </x:c>
      <x:c r="C6" s="35" t="str">
        <x:v>Valor persistente anterior</x:v>
      </x:c>
      <x:c r="D6" s="35" t="str">
        <x:v>0</x:v>
      </x:c>
      <x:c r="E6" s="35" t="str">
        <x:v>0</x:v>
      </x:c>
      <x:c r="F6" s="35" t="str">
        <x:f>IF(EXACT("x"&amp;D6,"x"&amp;E6),"Concordante","Discordante")</x:f>
        <x:v>Concordante</x:v>
      </x:c>
    </x:row>
    <x:row r="7" ht="43" customHeight="1">
      <x:c r="A7" s="35" t="str">
        <x:v>ED-003</x:v>
      </x:c>
      <x:c r="B7" s="35" t="str">
        <x:v>P16</x:v>
      </x:c>
      <x:c r="C7" s="35" t="str">
        <x:v>Falta lectura persistente</x:v>
      </x:c>
      <x:c r="D7" s="35" t="str">
        <x:v>U</x:v>
      </x:c>
      <x:c r="E7" s="35" t="str">
        <x:v>U</x:v>
      </x:c>
      <x:c r="F7" s="35" t="str">
        <x:f>IF(EXACT("x"&amp;D7,"x"&amp;E7),"Concordante","Discordante")</x:f>
        <x:v>Concordante</x:v>
      </x:c>
    </x:row>
    <x:row r="8" ht="43" customHeight="1">
      <x:c r="A8" s="35" t="str">
        <x:v>ED-004</x:v>
      </x:c>
      <x:c r="B8" s="35" t="str">
        <x:v>P16</x:v>
      </x:c>
      <x:c r="C8" s="35" t="str">
        <x:v>Se ofrece lectura efectiva como persistente</x:v>
      </x:c>
      <x:c r="D8" s="35" t="str">
        <x:v>NO_ADMITIDA</x:v>
      </x:c>
      <x:c r="E8" s="35" t="str">
        <x:v>NO_ADMITIDA</x:v>
      </x:c>
      <x:c r="F8" s="35" t="str">
        <x:f>IF(EXACT("x"&amp;D8,"x"&amp;E8),"Concordante","Discordante")</x:f>
        <x:v>Concordante</x:v>
      </x:c>
    </x:row>
    <x:row r="9" ht="43" customHeight="1">
      <x:c r="A9" s="35" t="str">
        <x:v>ED-005</x:v>
      </x:c>
      <x:c r="B9" s="35" t="str">
        <x:v>P16</x:v>
      </x:c>
      <x:c r="C9" s="35" t="str">
        <x:v>Cero numérico no es texto cero</x:v>
      </x:c>
      <x:c r="D9" s="35" t="str">
        <x:v>NO_ADMITIDA</x:v>
      </x:c>
      <x:c r="E9" s="35" t="str">
        <x:v>NO_ADMITIDA</x:v>
      </x:c>
      <x:c r="F9" s="35" t="str">
        <x:f>IF(EXACT("x"&amp;D9,"x"&amp;E9),"Concordante","Discordante")</x:f>
        <x:v>Concordante</x:v>
      </x:c>
    </x:row>
    <x:row r="10" ht="43" customHeight="1">
      <x:c r="A10" s="35" t="str">
        <x:v>ED-006</x:v>
      </x:c>
      <x:c r="B10" s="35" t="str">
        <x:v>P16</x:v>
      </x:c>
      <x:c r="C10" s="35" t="str">
        <x:v>Identificador con ceros iniciales</x:v>
      </x:c>
      <x:c r="D10" s="35" t="str">
        <x:v>0</x:v>
      </x:c>
      <x:c r="E10" s="35" t="str">
        <x:v>0</x:v>
      </x:c>
      <x:c r="F10" s="35" t="str">
        <x:f>IF(EXACT("x"&amp;D10,"x"&amp;E10),"Concordante","Discordante")</x:f>
        <x:v>Concordante</x:v>
      </x:c>
    </x:row>
    <x:row r="11" ht="43" customHeight="1">
      <x:c r="A11" s="35" t="str">
        <x:v>ED-007</x:v>
      </x:c>
      <x:c r="B11" s="35" t="str">
        <x:v>P17</x:v>
      </x:c>
      <x:c r="C11" s="35" t="str">
        <x:v>Inicialización terminada</x:v>
      </x:c>
      <x:c r="D11" s="35" t="str">
        <x:v>1</x:v>
      </x:c>
      <x:c r="E11" s="35" t="str">
        <x:v>1</x:v>
      </x:c>
      <x:c r="F11" s="35" t="str">
        <x:f>IF(EXACT("x"&amp;D11,"x"&amp;E11),"Concordante","Discordante")</x:f>
        <x:v>Concordante</x:v>
      </x:c>
    </x:row>
    <x:row r="12" ht="43" customHeight="1">
      <x:c r="A12" s="35" t="str">
        <x:v>ED-008</x:v>
      </x:c>
      <x:c r="B12" s="35" t="str">
        <x:v>P17</x:v>
      </x:c>
      <x:c r="C12" s="35" t="str">
        <x:v>Creación satisfactoria sin prueba de inicialización</x:v>
      </x:c>
      <x:c r="D12" s="35" t="str">
        <x:v>U</x:v>
      </x:c>
      <x:c r="E12" s="35" t="str">
        <x:v>U</x:v>
      </x:c>
      <x:c r="F12" s="35" t="str">
        <x:f>IF(EXACT("x"&amp;D12,"x"&amp;E12),"Concordante","Discordante")</x:f>
        <x:v>Concordante</x:v>
      </x:c>
    </x:row>
    <x:row r="13" ht="43" customHeight="1">
      <x:c r="A13" s="35" t="str">
        <x:v>ED-009</x:v>
      </x:c>
      <x:c r="B13" s="35" t="str">
        <x:v>P17</x:v>
      </x:c>
      <x:c r="C13" s="35" t="str">
        <x:v>Fallo de inicialización después de creación</x:v>
      </x:c>
      <x:c r="D13" s="35" t="str">
        <x:v>0</x:v>
      </x:c>
      <x:c r="E13" s="35" t="str">
        <x:v>0</x:v>
      </x:c>
      <x:c r="F13" s="35" t="str">
        <x:f>IF(EXACT("x"&amp;D13,"x"&amp;E13),"Concordante","Discordante")</x:f>
        <x:v>Concordante</x:v>
      </x:c>
    </x:row>
    <x:row r="14" ht="43" customHeight="1">
      <x:c r="A14" s="35" t="str">
        <x:v>ED-010</x:v>
      </x:c>
      <x:c r="B14" s="35" t="str">
        <x:v>P17</x:v>
      </x:c>
      <x:c r="C14" s="35" t="str">
        <x:v>Estado previo al hito observado</x:v>
      </x:c>
      <x:c r="D14" s="35" t="str">
        <x:v>0</x:v>
      </x:c>
      <x:c r="E14" s="35" t="str">
        <x:v>0</x:v>
      </x:c>
      <x:c r="F14" s="35" t="str">
        <x:f>IF(EXACT("x"&amp;D14,"x"&amp;E14),"Concordante","Discordante")</x:f>
        <x:v>Concordante</x:v>
      </x:c>
    </x:row>
    <x:row r="15" ht="43" customHeight="1">
      <x:c r="A15" s="35" t="str">
        <x:v>ED-011</x:v>
      </x:c>
      <x:c r="B15" s="35" t="str">
        <x:v>P18</x:v>
      </x:c>
      <x:c r="C15" s="35" t="str">
        <x:v>Parche habilitado</x:v>
      </x:c>
      <x:c r="D15" s="35" t="str">
        <x:v>1</x:v>
      </x:c>
      <x:c r="E15" s="35" t="str">
        <x:v>1</x:v>
      </x:c>
      <x:c r="F15" s="35" t="str">
        <x:f>IF(EXACT("x"&amp;D15,"x"&amp;E15),"Concordante","Discordante")</x:f>
        <x:v>Concordante</x:v>
      </x:c>
    </x:row>
    <x:row r="16" ht="43" customHeight="1">
      <x:c r="A16" s="35" t="str">
        <x:v>ED-012</x:v>
      </x:c>
      <x:c r="B16" s="35" t="str">
        <x:v>P18</x:v>
      </x:c>
      <x:c r="C16" s="35" t="str">
        <x:v>Parche deshabilitado</x:v>
      </x:c>
      <x:c r="D16" s="35" t="str">
        <x:v>0</x:v>
      </x:c>
      <x:c r="E16" s="35" t="str">
        <x:v>0</x:v>
      </x:c>
      <x:c r="F16" s="35" t="str">
        <x:f>IF(EXACT("x"&amp;D16,"x"&amp;E16),"Concordante","Discordante")</x:f>
        <x:v>Concordante</x:v>
      </x:c>
    </x:row>
    <x:row r="17" ht="43" customHeight="1">
      <x:c r="A17" s="35" t="str">
        <x:v>ED-013</x:v>
      </x:c>
      <x:c r="B17" s="35" t="str">
        <x:v>P18</x:v>
      </x:c>
      <x:c r="C17" s="35" t="str">
        <x:v>Desaparición de archivo no demuestra deshabilitación</x:v>
      </x:c>
      <x:c r="D17" s="35" t="str">
        <x:v>U</x:v>
      </x:c>
      <x:c r="E17" s="35" t="str">
        <x:v>U</x:v>
      </x:c>
      <x:c r="F17" s="35" t="str">
        <x:f>IF(EXACT("x"&amp;D17,"x"&amp;E17),"Concordante","Discordante")</x:f>
        <x:v>Concordante</x:v>
      </x:c>
    </x:row>
    <x:row r="18" ht="43" customHeight="1">
      <x:c r="A18" s="35" t="str">
        <x:v>ED-014</x:v>
      </x:c>
      <x:c r="B18" s="35" t="str">
        <x:v>P19</x:v>
      </x:c>
      <x:c r="C18" s="35" t="str">
        <x:v>Tarea objetivo durante aplicación</x:v>
      </x:c>
      <x:c r="D18" s="35" t="str">
        <x:v>1</x:v>
      </x:c>
      <x:c r="E18" s="35" t="str">
        <x:v>1</x:v>
      </x:c>
      <x:c r="F18" s="35" t="str">
        <x:f>IF(EXACT("x"&amp;D18,"x"&amp;E18),"Concordante","Discordante")</x:f>
        <x:v>Concordante</x:v>
      </x:c>
    </x:row>
    <x:row r="19" ht="43" customHeight="1">
      <x:c r="A19" s="35" t="str">
        <x:v>ED-015</x:v>
      </x:c>
      <x:c r="B19" s="35" t="str">
        <x:v>P19</x:v>
      </x:c>
      <x:c r="C19" s="35" t="str">
        <x:v>Tarea antigua durante aplicación</x:v>
      </x:c>
      <x:c r="D19" s="35" t="str">
        <x:v>0</x:v>
      </x:c>
      <x:c r="E19" s="35" t="str">
        <x:v>0</x:v>
      </x:c>
      <x:c r="F19" s="35" t="str">
        <x:f>IF(EXACT("x"&amp;D19,"x"&amp;E19),"Concordante","Discordante")</x:f>
        <x:v>Concordante</x:v>
      </x:c>
    </x:row>
    <x:row r="20" ht="43" customHeight="1">
      <x:c r="A20" s="35" t="str">
        <x:v>ED-016</x:v>
      </x:c>
      <x:c r="B20" s="35" t="str">
        <x:v>P19</x:v>
      </x:c>
      <x:c r="C20" s="35" t="str">
        <x:v>Objetivo de retirada alcanzado</x:v>
      </x:c>
      <x:c r="D20" s="35" t="str">
        <x:v>1</x:v>
      </x:c>
      <x:c r="E20" s="35" t="str">
        <x:v>1</x:v>
      </x:c>
      <x:c r="F20" s="35" t="str">
        <x:f>IF(EXACT("x"&amp;D20,"x"&amp;E20),"Concordante","Discordante")</x:f>
        <x:v>Concordante</x:v>
      </x:c>
    </x:row>
    <x:row r="21" ht="43" customHeight="1">
      <x:c r="A21" s="35" t="str">
        <x:v>ED-017</x:v>
      </x:c>
      <x:c r="B21" s="35" t="str">
        <x:v>P19</x:v>
      </x:c>
      <x:c r="C21" s="35" t="str">
        <x:v>Fuera de transición: -1 no significa sin parche</x:v>
      </x:c>
      <x:c r="D21" s="35" t="str">
        <x:v>NO_APLICABLE</x:v>
      </x:c>
      <x:c r="E21" s="35" t="str">
        <x:v>NO_APLICABLE</x:v>
      </x:c>
      <x:c r="F21" s="35" t="str">
        <x:f>IF(EXACT("x"&amp;D21,"x"&amp;E21),"Concordante","Discordante")</x:f>
        <x:v>Concordante</x:v>
      </x:c>
    </x:row>
    <x:row r="22" ht="43" customHeight="1">
      <x:c r="A22" s="35" t="str">
        <x:v>ED-018</x:v>
      </x:c>
      <x:c r="B22" s="35" t="str">
        <x:v>P19</x:v>
      </x:c>
      <x:c r="C22" s="35" t="str">
        <x:v>-1 dentro de una transición declarada es inconsistencia</x:v>
      </x:c>
      <x:c r="D22" s="35" t="str">
        <x:v>U</x:v>
      </x:c>
      <x:c r="E22" s="35" t="str">
        <x:v>U</x:v>
      </x:c>
      <x:c r="F22" s="35" t="str">
        <x:f>IF(EXACT("x"&amp;D22,"x"&amp;E22),"Concordante","Discordante")</x:f>
        <x:v>Concordante</x:v>
      </x:c>
    </x:row>
    <x:row r="23" ht="43" customHeight="1">
      <x:c r="A23" s="35" t="str">
        <x:v>ED-019</x:v>
      </x:c>
      <x:c r="B23" s="35" t="str">
        <x:v>P20</x:v>
      </x:c>
      <x:c r="C23" s="35" t="str">
        <x:v>Referencia anterior conservada</x:v>
      </x:c>
      <x:c r="D23" s="35" t="str">
        <x:v>1</x:v>
      </x:c>
      <x:c r="E23" s="35" t="str">
        <x:v>1</x:v>
      </x:c>
      <x:c r="F23" s="35" t="str">
        <x:f>IF(EXACT("x"&amp;D23,"x"&amp;E23),"Concordante","Discordante")</x:f>
        <x:v>Concordante</x:v>
      </x:c>
    </x:row>
    <x:row r="24" ht="43" customHeight="1">
      <x:c r="A24" s="35" t="str">
        <x:v>ED-020</x:v>
      </x:c>
      <x:c r="B24" s="35" t="str">
        <x:v>P20</x:v>
      </x:c>
      <x:c r="C24" s="35" t="str">
        <x:v>Ausencia acreditada</x:v>
      </x:c>
      <x:c r="D24" s="35" t="str">
        <x:v>0</x:v>
      </x:c>
      <x:c r="E24" s="35" t="str">
        <x:v>0</x:v>
      </x:c>
      <x:c r="F24" s="35" t="str">
        <x:f>IF(EXACT("x"&amp;D24,"x"&amp;E24),"Concordante","Discordante")</x:f>
        <x:v>Concordante</x:v>
      </x:c>
    </x:row>
    <x:row r="25" ht="43" customHeight="1">
      <x:c r="A25" s="35" t="str">
        <x:v>ED-021</x:v>
      </x:c>
      <x:c r="B25" s="35" t="str">
        <x:v>P20</x:v>
      </x:c>
      <x:c r="C25" s="35" t="str">
        <x:v>Ausencia con enumeración parcial</x:v>
      </x:c>
      <x:c r="D25" s="35" t="str">
        <x:v>U</x:v>
      </x:c>
      <x:c r="E25" s="35" t="str">
        <x:v>U</x:v>
      </x:c>
      <x:c r="F25" s="35" t="str">
        <x:f>IF(EXACT("x"&amp;D25,"x"&amp;E25),"Concordante","Discordante")</x:f>
        <x:v>Concordante</x:v>
      </x:c>
    </x:row>
    <x:row r="26" ht="43" customHeight="1">
      <x:c r="A26" s="35" t="str">
        <x:v>ED-022</x:v>
      </x:c>
      <x:c r="B26" s="35" t="str">
        <x:v>P21</x:v>
      </x:c>
      <x:c r="C26" s="35" t="str">
        <x:v>Entrada objetivo</x:v>
      </x:c>
      <x:c r="D26" s="35" t="str">
        <x:v>1</x:v>
      </x:c>
      <x:c r="E26" s="35" t="str">
        <x:v>1</x:v>
      </x:c>
      <x:c r="F26" s="35" t="str">
        <x:f>IF(EXACT("x"&amp;D26,"x"&amp;E26),"Concordante","Discordante")</x:f>
        <x:v>Concordante</x:v>
      </x:c>
    </x:row>
    <x:row r="27" ht="43" customHeight="1">
      <x:c r="A27" s="35" t="str">
        <x:v>ED-023</x:v>
      </x:c>
      <x:c r="B27" s="35" t="str">
        <x:v>P21</x:v>
      </x:c>
      <x:c r="C27" s="35" t="str">
        <x:v>Entrada anterior pese a origen nuevo</x:v>
      </x:c>
      <x:c r="D27" s="35" t="str">
        <x:v>0</x:v>
      </x:c>
      <x:c r="E27" s="35" t="str">
        <x:v>0</x:v>
      </x:c>
      <x:c r="F27" s="35" t="str">
        <x:f>IF(EXACT("x"&amp;D27,"x"&amp;E27),"Concordante","Discordante")</x:f>
        <x:v>Concordante</x:v>
      </x:c>
    </x:row>
    <x:row r="28" ht="43" customHeight="1">
      <x:c r="A28" s="35" t="str">
        <x:v>ED-024</x:v>
      </x:c>
      <x:c r="B28" s="35" t="str">
        <x:v>P21</x:v>
      </x:c>
      <x:c r="C28" s="35" t="str">
        <x:v>Falta contenido observado</x:v>
      </x:c>
      <x:c r="D28" s="35" t="str">
        <x:v>U</x:v>
      </x:c>
      <x:c r="E28" s="35" t="str">
        <x:v>U</x:v>
      </x:c>
      <x:c r="F28" s="35" t="str">
        <x:f>IF(EXACT("x"&amp;D28,"x"&amp;E28),"Concordante","Discordante")</x:f>
        <x:v>Concordante</x:v>
      </x:c>
    </x:row>
    <x:row r="29" ht="43" customHeight="1">
      <x:c r="A29" s="35" t="str">
        <x:v>ED-025</x:v>
      </x:c>
      <x:c r="B29" s="35" t="str">
        <x:v>P21</x:v>
      </x:c>
      <x:c r="C29" s="35" t="str">
        <x:v>Ausencia legítima de entrada</x:v>
      </x:c>
      <x:c r="D29" s="35" t="str">
        <x:v>NO_APLICABLE</x:v>
      </x:c>
      <x:c r="E29" s="35" t="str">
        <x:v>NO_APLICABLE</x:v>
      </x:c>
      <x:c r="F29" s="35" t="str">
        <x:f>IF(EXACT("x"&amp;D29,"x"&amp;E29),"Concordante","Discordante")</x:f>
        <x:v>Concordante</x:v>
      </x:c>
    </x:row>
    <x:row r="30" ht="43" customHeight="1">
      <x:c r="A30" s="35" t="str">
        <x:v>ED-026</x:v>
      </x:c>
      <x:c r="B30" s="35" t="str">
        <x:v>P22</x:v>
      </x:c>
      <x:c r="C30" s="35" t="str">
        <x:v>Selección del objetivo</x:v>
      </x:c>
      <x:c r="D30" s="35" t="str">
        <x:v>1</x:v>
      </x:c>
      <x:c r="E30" s="35" t="str">
        <x:v>1</x:v>
      </x:c>
      <x:c r="F30" s="35" t="str">
        <x:f>IF(EXACT("x"&amp;D30,"x"&amp;E30),"Concordante","Discordante")</x:f>
        <x:v>Concordante</x:v>
      </x:c>
    </x:row>
    <x:row r="31" ht="43" customHeight="1">
      <x:c r="A31" s="35" t="str">
        <x:v>ED-027</x:v>
      </x:c>
      <x:c r="B31" s="35" t="str">
        <x:v>P22</x:v>
      </x:c>
      <x:c r="C31" s="35" t="str">
        <x:v>Selección anterior aunque exista el objetivo</x:v>
      </x:c>
      <x:c r="D31" s="35" t="str">
        <x:v>0</x:v>
      </x:c>
      <x:c r="E31" s="35" t="str">
        <x:v>0</x:v>
      </x:c>
      <x:c r="F31" s="35" t="str">
        <x:f>IF(EXACT("x"&amp;D31,"x"&amp;E31),"Concordante","Discordante")</x:f>
        <x:v>Concordante</x:v>
      </x:c>
    </x:row>
    <x:row r="32" ht="43" customHeight="1">
      <x:c r="A32" s="35" t="str">
        <x:v>ED-028</x:v>
      </x:c>
      <x:c r="B32" s="35" t="str">
        <x:v>P22</x:v>
      </x:c>
      <x:c r="C32" s="35" t="str">
        <x:v>Búsqueda con precedencia desconocida</x:v>
      </x:c>
      <x:c r="D32" s="35" t="str">
        <x:v>U</x:v>
      </x:c>
      <x:c r="E32" s="35" t="str">
        <x:v>U</x:v>
      </x:c>
      <x:c r="F32" s="35" t="str">
        <x:f>IF(EXACT("x"&amp;D32,"x"&amp;E32),"Concordante","Discordante")</x:f>
        <x:v>Concordante</x:v>
      </x:c>
    </x:row>
    <x:row r="33" ht="43" customHeight="1">
      <x:c r="A33" s="35" t="str">
        <x:v>ED-029</x:v>
      </x:c>
      <x:c r="B33" s="35" t="str">
        <x:v>P23</x:v>
      </x:c>
      <x:c r="C33" s="35" t="str">
        <x:v>Sincronización satisfactoria de la escritura pertinente</x:v>
      </x:c>
      <x:c r="D33" s="35" t="str">
        <x:v>1</x:v>
      </x:c>
      <x:c r="E33" s="35" t="str">
        <x:v>1</x:v>
      </x:c>
      <x:c r="F33" s="35" t="str">
        <x:f>IF(EXACT("x"&amp;D33,"x"&amp;E33),"Concordante","Discordante")</x:f>
        <x:v>Concordante</x:v>
      </x:c>
    </x:row>
    <x:row r="34" ht="43" customHeight="1">
      <x:c r="A34" s="35" t="str">
        <x:v>ED-030</x:v>
      </x:c>
      <x:c r="B34" s="35" t="str">
        <x:v>P23</x:v>
      </x:c>
      <x:c r="C34" s="35" t="str">
        <x:v>Sincronización fallida es hecho observado</x:v>
      </x:c>
      <x:c r="D34" s="35" t="str">
        <x:v>0</x:v>
      </x:c>
      <x:c r="E34" s="35" t="str">
        <x:v>0</x:v>
      </x:c>
      <x:c r="F34" s="35" t="str">
        <x:f>IF(EXACT("x"&amp;D34,"x"&amp;E34),"Concordante","Discordante")</x:f>
        <x:v>Concordante</x:v>
      </x:c>
    </x:row>
    <x:row r="35" ht="43" customHeight="1">
      <x:c r="A35" s="35" t="str">
        <x:v>ED-031</x:v>
      </x:c>
      <x:c r="B35" s="35" t="str">
        <x:v>P23</x:v>
      </x:c>
      <x:c r="C35" s="35" t="str">
        <x:v>Sin resultado</x:v>
      </x:c>
      <x:c r="D35" s="35" t="str">
        <x:v>U</x:v>
      </x:c>
      <x:c r="E35" s="35" t="str">
        <x:v>U</x:v>
      </x:c>
      <x:c r="F35" s="35" t="str">
        <x:f>IF(EXACT("x"&amp;D35,"x"&amp;E35),"Concordante","Discordante")</x:f>
        <x:v>Concordante</x:v>
      </x:c>
    </x:row>
    <x:row r="36" ht="43" customHeight="1">
      <x:c r="A36" s="35" t="str">
        <x:v>ED-032</x:v>
      </x:c>
      <x:c r="B36" s="35" t="str">
        <x:v>P23</x:v>
      </x:c>
      <x:c r="C36" s="35" t="str">
        <x:v>Se ofrece FlushViewOfFile como equivalente</x:v>
      </x:c>
      <x:c r="D36" s="35" t="str">
        <x:v>NO_ADMITIDA</x:v>
      </x:c>
      <x:c r="E36" s="35" t="str">
        <x:v>NO_ADMITIDA</x:v>
      </x:c>
      <x:c r="F36" s="35" t="str">
        <x:f>IF(EXACT("x"&amp;D36,"x"&amp;E36),"Concordante","Discordante")</x:f>
        <x:v>Concordante</x:v>
      </x:c>
    </x:row>
    <x:row r="37" ht="43" customHeight="1">
      <x:c r="A37" s="35" t="str">
        <x:v>ED-033</x:v>
      </x:c>
      <x:c r="B37" s="35" t="str">
        <x:v>P23</x:v>
      </x:c>
      <x:c r="C37" s="35" t="str">
        <x:v>Sincronización anterior a una nueva escritura</x:v>
      </x:c>
      <x:c r="D37" s="35" t="str">
        <x:v>NO_ADMITIDA</x:v>
      </x:c>
      <x:c r="E37" s="35" t="str">
        <x:v>NO_ADMITIDA</x:v>
      </x:c>
      <x:c r="F37" s="35" t="str">
        <x:f>IF(EXACT("x"&amp;D37,"x"&amp;E37),"Concordante","Discordante")</x:f>
        <x:v>Concordante</x:v>
      </x:c>
    </x:row>
    <x:row r="38" ht="43" customHeight="1">
      <x:c r="A38" s="35" t="str">
        <x:v>ED-034</x:v>
      </x:c>
      <x:c r="B38" s="35" t="str">
        <x:v>P24</x:v>
      </x:c>
      <x:c r="C38" s="35" t="str">
        <x:v>Operación pendiente pese al éxito del instalador</x:v>
      </x:c>
      <x:c r="D38" s="35" t="str">
        <x:v>1</x:v>
      </x:c>
      <x:c r="E38" s="35" t="str">
        <x:v>1</x:v>
      </x:c>
      <x:c r="F38" s="35" t="str">
        <x:f>IF(EXACT("x"&amp;D38,"x"&amp;E38),"Concordante","Discordante")</x:f>
        <x:v>Concordante</x:v>
      </x:c>
    </x:row>
    <x:row r="39" ht="43" customHeight="1">
      <x:c r="A39" s="35" t="str">
        <x:v>ED-035</x:v>
      </x:c>
      <x:c r="B39" s="35" t="str">
        <x:v>P24</x:v>
      </x:c>
      <x:c r="C39" s="35" t="str">
        <x:v>Cola completa sin la operación</x:v>
      </x:c>
      <x:c r="D39" s="35" t="str">
        <x:v>0</x:v>
      </x:c>
      <x:c r="E39" s="35" t="str">
        <x:v>0</x:v>
      </x:c>
      <x:c r="F39" s="35" t="str">
        <x:f>IF(EXACT("x"&amp;D39,"x"&amp;E39),"Concordante","Discordante")</x:f>
        <x:v>Concordante</x:v>
      </x:c>
    </x:row>
    <x:row r="40" ht="43" customHeight="1">
      <x:c r="A40" s="35" t="str">
        <x:v>ED-036</x:v>
      </x:c>
      <x:c r="B40" s="35" t="str">
        <x:v>P24</x:v>
      </x:c>
      <x:c r="C40" s="35" t="str">
        <x:v>Cola parcial sin la operación</x:v>
      </x:c>
      <x:c r="D40" s="35" t="str">
        <x:v>U</x:v>
      </x:c>
      <x:c r="E40" s="35" t="str">
        <x:v>U</x:v>
      </x:c>
      <x:c r="F40" s="35" t="str">
        <x:f>IF(EXACT("x"&amp;D40,"x"&amp;E40),"Concordante","Discordante")</x:f>
        <x:v>Concordante</x:v>
      </x:c>
    </x:row>
    <x:row r="41" ht="43" customHeight="1">
      <x:c r="A41" s="35" t="str">
        <x:v>ED-037</x:v>
      </x:c>
      <x:c r="B41" s="35" t="str">
        <x:v>P24</x:v>
      </x:c>
      <x:c r="C41" s="35" t="str">
        <x:v>Cancelación: ausencia no acredita aplicación</x:v>
      </x:c>
      <x:c r="D41" s="35" t="str">
        <x:v>0</x:v>
      </x:c>
      <x:c r="E41" s="35" t="str">
        <x:v>0</x:v>
      </x:c>
      <x:c r="F41" s="35" t="str">
        <x:f>IF(EXACT("x"&amp;D41,"x"&amp;E41),"Concordante","Discordante")</x:f>
        <x:v>Concordante</x:v>
      </x:c>
    </x:row>
    <x:row r="42" ht="43" customHeight="1">
      <x:c r="A42" s="35" t="str">
        <x:v>ED-038</x:v>
      </x:c>
      <x:c r="B42" s="35" t="str">
        <x:v>P16</x:v>
      </x:c>
      <x:c r="C42" s="35" t="str">
        <x:v>Fallo del lector, sin estado del dominio</x:v>
      </x:c>
      <x:c r="D42" s="35" t="str">
        <x:v>FALLO_TECNICO</x:v>
      </x:c>
      <x:c r="E42" s="35" t="str">
        <x:v>FALLO_TECNICO</x:v>
      </x:c>
      <x:c r="F42" s="35" t="str">
        <x:f>IF(EXACT("x"&amp;D42,"x"&amp;E42),"Concordante","Discordante")</x:f>
        <x:v>Concordante</x:v>
      </x:c>
    </x:row>
    <x:row r="43" ht="43" customHeight="1">
      <x:c r="A43" s="35" t="str">
        <x:v>ED-039</x:v>
      </x:c>
      <x:c r="B43" s="35" t="str">
        <x:v>P16</x:v>
      </x:c>
      <x:c r="C43" s="35" t="str">
        <x:v>Evidencia no admitida</x:v>
      </x:c>
      <x:c r="D43" s="35" t="str">
        <x:v>NO_ADMITIDA</x:v>
      </x:c>
      <x:c r="E43" s="35" t="str">
        <x:v>NO_ADMITIDA</x:v>
      </x:c>
      <x:c r="F43" s="35" t="str">
        <x:f>IF(EXACT("x"&amp;D43,"x"&amp;E43),"Concordante","Discordante")</x:f>
        <x:v>Concordante</x:v>
      </x:c>
    </x:row>
    <x:row r="44" ht="43" customHeight="1">
      <x:c r="A44" s="35" t="str">
        <x:v>ED-040</x:v>
      </x:c>
      <x:c r="B44" s="35" t="str">
        <x:v>P16</x:v>
      </x:c>
      <x:c r="C44" s="35" t="str">
        <x:v>Conflicto entre evidencias admitidas</x:v>
      </x:c>
      <x:c r="D44" s="35" t="str">
        <x:v>U</x:v>
      </x:c>
      <x:c r="E44" s="35" t="str">
        <x:v>U</x:v>
      </x:c>
      <x:c r="F44" s="35" t="str">
        <x:f>IF(EXACT("x"&amp;D44,"x"&amp;E44),"Concordante","Discordante")</x:f>
        <x:v>Concordante</x:v>
      </x:c>
    </x:row>
    <x:row r="45" ht="43" customHeight="1">
      <x:c r="A45" s="35" t="str">
        <x:v>ED-041</x:v>
      </x:c>
      <x:c r="B45" s="35" t="str">
        <x:v>P17</x:v>
      </x:c>
      <x:c r="C45" s="35" t="str">
        <x:v>Fallo del lector, sin estado del dominio</x:v>
      </x:c>
      <x:c r="D45" s="35" t="str">
        <x:v>FALLO_TECNICO</x:v>
      </x:c>
      <x:c r="E45" s="35" t="str">
        <x:v>FALLO_TECNICO</x:v>
      </x:c>
      <x:c r="F45" s="35" t="str">
        <x:f>IF(EXACT("x"&amp;D45,"x"&amp;E45),"Concordante","Discordante")</x:f>
        <x:v>Concordante</x:v>
      </x:c>
    </x:row>
    <x:row r="46" ht="43" customHeight="1">
      <x:c r="A46" s="35" t="str">
        <x:v>ED-042</x:v>
      </x:c>
      <x:c r="B46" s="35" t="str">
        <x:v>P17</x:v>
      </x:c>
      <x:c r="C46" s="35" t="str">
        <x:v>Evidencia no admitida</x:v>
      </x:c>
      <x:c r="D46" s="35" t="str">
        <x:v>NO_ADMITIDA</x:v>
      </x:c>
      <x:c r="E46" s="35" t="str">
        <x:v>NO_ADMITIDA</x:v>
      </x:c>
      <x:c r="F46" s="35" t="str">
        <x:f>IF(EXACT("x"&amp;D46,"x"&amp;E46),"Concordante","Discordante")</x:f>
        <x:v>Concordante</x:v>
      </x:c>
    </x:row>
    <x:row r="47" ht="43" customHeight="1">
      <x:c r="A47" s="35" t="str">
        <x:v>ED-043</x:v>
      </x:c>
      <x:c r="B47" s="35" t="str">
        <x:v>P17</x:v>
      </x:c>
      <x:c r="C47" s="35" t="str">
        <x:v>Conflicto entre evidencias admitidas</x:v>
      </x:c>
      <x:c r="D47" s="35" t="str">
        <x:v>U</x:v>
      </x:c>
      <x:c r="E47" s="35" t="str">
        <x:v>U</x:v>
      </x:c>
      <x:c r="F47" s="35" t="str">
        <x:f>IF(EXACT("x"&amp;D47,"x"&amp;E47),"Concordante","Discordante")</x:f>
        <x:v>Concordante</x:v>
      </x:c>
    </x:row>
    <x:row r="48" ht="43" customHeight="1">
      <x:c r="A48" s="35" t="str">
        <x:v>ED-044</x:v>
      </x:c>
      <x:c r="B48" s="35" t="str">
        <x:v>P18</x:v>
      </x:c>
      <x:c r="C48" s="35" t="str">
        <x:v>Fallo del lector, sin estado del dominio</x:v>
      </x:c>
      <x:c r="D48" s="35" t="str">
        <x:v>FALLO_TECNICO</x:v>
      </x:c>
      <x:c r="E48" s="35" t="str">
        <x:v>FALLO_TECNICO</x:v>
      </x:c>
      <x:c r="F48" s="35" t="str">
        <x:f>IF(EXACT("x"&amp;D48,"x"&amp;E48),"Concordante","Discordante")</x:f>
        <x:v>Concordante</x:v>
      </x:c>
    </x:row>
    <x:row r="49" ht="43" customHeight="1">
      <x:c r="A49" s="35" t="str">
        <x:v>ED-045</x:v>
      </x:c>
      <x:c r="B49" s="35" t="str">
        <x:v>P18</x:v>
      </x:c>
      <x:c r="C49" s="35" t="str">
        <x:v>Evidencia no admitida</x:v>
      </x:c>
      <x:c r="D49" s="35" t="str">
        <x:v>NO_ADMITIDA</x:v>
      </x:c>
      <x:c r="E49" s="35" t="str">
        <x:v>NO_ADMITIDA</x:v>
      </x:c>
      <x:c r="F49" s="35" t="str">
        <x:f>IF(EXACT("x"&amp;D49,"x"&amp;E49),"Concordante","Discordante")</x:f>
        <x:v>Concordante</x:v>
      </x:c>
    </x:row>
    <x:row r="50" ht="43" customHeight="1">
      <x:c r="A50" s="35" t="str">
        <x:v>ED-046</x:v>
      </x:c>
      <x:c r="B50" s="35" t="str">
        <x:v>P18</x:v>
      </x:c>
      <x:c r="C50" s="35" t="str">
        <x:v>Conflicto entre evidencias admitidas</x:v>
      </x:c>
      <x:c r="D50" s="35" t="str">
        <x:v>U</x:v>
      </x:c>
      <x:c r="E50" s="35" t="str">
        <x:v>U</x:v>
      </x:c>
      <x:c r="F50" s="35" t="str">
        <x:f>IF(EXACT("x"&amp;D50,"x"&amp;E50),"Concordante","Discordante")</x:f>
        <x:v>Concordante</x:v>
      </x:c>
    </x:row>
    <x:row r="51" ht="43" customHeight="1">
      <x:c r="A51" s="35" t="str">
        <x:v>ED-047</x:v>
      </x:c>
      <x:c r="B51" s="35" t="str">
        <x:v>P19</x:v>
      </x:c>
      <x:c r="C51" s="35" t="str">
        <x:v>Fallo del lector, sin estado del dominio</x:v>
      </x:c>
      <x:c r="D51" s="35" t="str">
        <x:v>FALLO_TECNICO</x:v>
      </x:c>
      <x:c r="E51" s="35" t="str">
        <x:v>FALLO_TECNICO</x:v>
      </x:c>
      <x:c r="F51" s="35" t="str">
        <x:f>IF(EXACT("x"&amp;D51,"x"&amp;E51),"Concordante","Discordante")</x:f>
        <x:v>Concordante</x:v>
      </x:c>
    </x:row>
    <x:row r="52" ht="43" customHeight="1">
      <x:c r="A52" s="35" t="str">
        <x:v>ED-048</x:v>
      </x:c>
      <x:c r="B52" s="35" t="str">
        <x:v>P19</x:v>
      </x:c>
      <x:c r="C52" s="35" t="str">
        <x:v>Evidencia no admitida</x:v>
      </x:c>
      <x:c r="D52" s="35" t="str">
        <x:v>NO_ADMITIDA</x:v>
      </x:c>
      <x:c r="E52" s="35" t="str">
        <x:v>NO_ADMITIDA</x:v>
      </x:c>
      <x:c r="F52" s="35" t="str">
        <x:f>IF(EXACT("x"&amp;D52,"x"&amp;E52),"Concordante","Discordante")</x:f>
        <x:v>Concordante</x:v>
      </x:c>
    </x:row>
    <x:row r="53" ht="43" customHeight="1">
      <x:c r="A53" s="35" t="str">
        <x:v>ED-049</x:v>
      </x:c>
      <x:c r="B53" s="35" t="str">
        <x:v>P19</x:v>
      </x:c>
      <x:c r="C53" s="35" t="str">
        <x:v>Conflicto entre evidencias admitidas</x:v>
      </x:c>
      <x:c r="D53" s="35" t="str">
        <x:v>U</x:v>
      </x:c>
      <x:c r="E53" s="35" t="str">
        <x:v>U</x:v>
      </x:c>
      <x:c r="F53" s="35" t="str">
        <x:f>IF(EXACT("x"&amp;D53,"x"&amp;E53),"Concordante","Discordante")</x:f>
        <x:v>Concordante</x:v>
      </x:c>
    </x:row>
    <x:row r="54" ht="43" customHeight="1">
      <x:c r="A54" s="35" t="str">
        <x:v>ED-050</x:v>
      </x:c>
      <x:c r="B54" s="35" t="str">
        <x:v>P20</x:v>
      </x:c>
      <x:c r="C54" s="35" t="str">
        <x:v>Fallo del lector, sin estado del dominio</x:v>
      </x:c>
      <x:c r="D54" s="35" t="str">
        <x:v>FALLO_TECNICO</x:v>
      </x:c>
      <x:c r="E54" s="35" t="str">
        <x:v>FALLO_TECNICO</x:v>
      </x:c>
      <x:c r="F54" s="35" t="str">
        <x:f>IF(EXACT("x"&amp;D54,"x"&amp;E54),"Concordante","Discordante")</x:f>
        <x:v>Concordante</x:v>
      </x:c>
    </x:row>
    <x:row r="55" ht="43" customHeight="1">
      <x:c r="A55" s="35" t="str">
        <x:v>ED-051</x:v>
      </x:c>
      <x:c r="B55" s="35" t="str">
        <x:v>P20</x:v>
      </x:c>
      <x:c r="C55" s="35" t="str">
        <x:v>Evidencia no admitida</x:v>
      </x:c>
      <x:c r="D55" s="35" t="str">
        <x:v>NO_ADMITIDA</x:v>
      </x:c>
      <x:c r="E55" s="35" t="str">
        <x:v>NO_ADMITIDA</x:v>
      </x:c>
      <x:c r="F55" s="35" t="str">
        <x:f>IF(EXACT("x"&amp;D55,"x"&amp;E55),"Concordante","Discordante")</x:f>
        <x:v>Concordante</x:v>
      </x:c>
    </x:row>
    <x:row r="56" ht="43" customHeight="1">
      <x:c r="A56" s="35" t="str">
        <x:v>ED-052</x:v>
      </x:c>
      <x:c r="B56" s="35" t="str">
        <x:v>P20</x:v>
      </x:c>
      <x:c r="C56" s="35" t="str">
        <x:v>Conflicto entre evidencias admitidas</x:v>
      </x:c>
      <x:c r="D56" s="35" t="str">
        <x:v>U</x:v>
      </x:c>
      <x:c r="E56" s="35" t="str">
        <x:v>U</x:v>
      </x:c>
      <x:c r="F56" s="35" t="str">
        <x:f>IF(EXACT("x"&amp;D56,"x"&amp;E56),"Concordante","Discordante")</x:f>
        <x:v>Concordante</x:v>
      </x:c>
    </x:row>
    <x:row r="57" ht="43" customHeight="1">
      <x:c r="A57" s="35" t="str">
        <x:v>ED-053</x:v>
      </x:c>
      <x:c r="B57" s="35" t="str">
        <x:v>P21</x:v>
      </x:c>
      <x:c r="C57" s="35" t="str">
        <x:v>Fallo del lector, sin estado del dominio</x:v>
      </x:c>
      <x:c r="D57" s="35" t="str">
        <x:v>FALLO_TECNICO</x:v>
      </x:c>
      <x:c r="E57" s="35" t="str">
        <x:v>FALLO_TECNICO</x:v>
      </x:c>
      <x:c r="F57" s="35" t="str">
        <x:f>IF(EXACT("x"&amp;D57,"x"&amp;E57),"Concordante","Discordante")</x:f>
        <x:v>Concordante</x:v>
      </x:c>
    </x:row>
    <x:row r="58" ht="43" customHeight="1">
      <x:c r="A58" s="35" t="str">
        <x:v>ED-054</x:v>
      </x:c>
      <x:c r="B58" s="35" t="str">
        <x:v>P21</x:v>
      </x:c>
      <x:c r="C58" s="35" t="str">
        <x:v>Evidencia no admitida</x:v>
      </x:c>
      <x:c r="D58" s="35" t="str">
        <x:v>NO_ADMITIDA</x:v>
      </x:c>
      <x:c r="E58" s="35" t="str">
        <x:v>NO_ADMITIDA</x:v>
      </x:c>
      <x:c r="F58" s="35" t="str">
        <x:f>IF(EXACT("x"&amp;D58,"x"&amp;E58),"Concordante","Discordante")</x:f>
        <x:v>Concordante</x:v>
      </x:c>
    </x:row>
    <x:row r="59" ht="43" customHeight="1">
      <x:c r="A59" s="35" t="str">
        <x:v>ED-055</x:v>
      </x:c>
      <x:c r="B59" s="35" t="str">
        <x:v>P21</x:v>
      </x:c>
      <x:c r="C59" s="35" t="str">
        <x:v>Conflicto entre evidencias admitidas</x:v>
      </x:c>
      <x:c r="D59" s="35" t="str">
        <x:v>U</x:v>
      </x:c>
      <x:c r="E59" s="35" t="str">
        <x:v>U</x:v>
      </x:c>
      <x:c r="F59" s="35" t="str">
        <x:f>IF(EXACT("x"&amp;D59,"x"&amp;E59),"Concordante","Discordante")</x:f>
        <x:v>Concordante</x:v>
      </x:c>
    </x:row>
    <x:row r="60" ht="43" customHeight="1">
      <x:c r="A60" s="35" t="str">
        <x:v>ED-056</x:v>
      </x:c>
      <x:c r="B60" s="35" t="str">
        <x:v>P22</x:v>
      </x:c>
      <x:c r="C60" s="35" t="str">
        <x:v>Fallo del lector, sin estado del dominio</x:v>
      </x:c>
      <x:c r="D60" s="35" t="str">
        <x:v>FALLO_TECNICO</x:v>
      </x:c>
      <x:c r="E60" s="35" t="str">
        <x:v>FALLO_TECNICO</x:v>
      </x:c>
      <x:c r="F60" s="35" t="str">
        <x:f>IF(EXACT("x"&amp;D60,"x"&amp;E60),"Concordante","Discordante")</x:f>
        <x:v>Concordante</x:v>
      </x:c>
    </x:row>
    <x:row r="61" ht="43" customHeight="1">
      <x:c r="A61" s="35" t="str">
        <x:v>ED-057</x:v>
      </x:c>
      <x:c r="B61" s="35" t="str">
        <x:v>P22</x:v>
      </x:c>
      <x:c r="C61" s="35" t="str">
        <x:v>Evidencia no admitida</x:v>
      </x:c>
      <x:c r="D61" s="35" t="str">
        <x:v>NO_ADMITIDA</x:v>
      </x:c>
      <x:c r="E61" s="35" t="str">
        <x:v>NO_ADMITIDA</x:v>
      </x:c>
      <x:c r="F61" s="35" t="str">
        <x:f>IF(EXACT("x"&amp;D61,"x"&amp;E61),"Concordante","Discordante")</x:f>
        <x:v>Concordante</x:v>
      </x:c>
    </x:row>
    <x:row r="62" ht="43" customHeight="1">
      <x:c r="A62" s="35" t="str">
        <x:v>ED-058</x:v>
      </x:c>
      <x:c r="B62" s="35" t="str">
        <x:v>P22</x:v>
      </x:c>
      <x:c r="C62" s="35" t="str">
        <x:v>Conflicto entre evidencias admitidas</x:v>
      </x:c>
      <x:c r="D62" s="35" t="str">
        <x:v>U</x:v>
      </x:c>
      <x:c r="E62" s="35" t="str">
        <x:v>U</x:v>
      </x:c>
      <x:c r="F62" s="35" t="str">
        <x:f>IF(EXACT("x"&amp;D62,"x"&amp;E62),"Concordante","Discordante")</x:f>
        <x:v>Concordante</x:v>
      </x:c>
    </x:row>
    <x:row r="63" ht="43" customHeight="1">
      <x:c r="A63" s="35" t="str">
        <x:v>ED-059</x:v>
      </x:c>
      <x:c r="B63" s="35" t="str">
        <x:v>P23</x:v>
      </x:c>
      <x:c r="C63" s="35" t="str">
        <x:v>Fallo del lector, sin estado del dominio</x:v>
      </x:c>
      <x:c r="D63" s="35" t="str">
        <x:v>FALLO_TECNICO</x:v>
      </x:c>
      <x:c r="E63" s="35" t="str">
        <x:v>FALLO_TECNICO</x:v>
      </x:c>
      <x:c r="F63" s="35" t="str">
        <x:f>IF(EXACT("x"&amp;D63,"x"&amp;E63),"Concordante","Discordante")</x:f>
        <x:v>Concordante</x:v>
      </x:c>
    </x:row>
    <x:row r="64" ht="43" customHeight="1">
      <x:c r="A64" s="35" t="str">
        <x:v>ED-060</x:v>
      </x:c>
      <x:c r="B64" s="35" t="str">
        <x:v>P23</x:v>
      </x:c>
      <x:c r="C64" s="35" t="str">
        <x:v>Evidencia no admitida</x:v>
      </x:c>
      <x:c r="D64" s="35" t="str">
        <x:v>NO_ADMITIDA</x:v>
      </x:c>
      <x:c r="E64" s="35" t="str">
        <x:v>NO_ADMITIDA</x:v>
      </x:c>
      <x:c r="F64" s="35" t="str">
        <x:f>IF(EXACT("x"&amp;D64,"x"&amp;E64),"Concordante","Discordante")</x:f>
        <x:v>Concordante</x:v>
      </x:c>
    </x:row>
    <x:row r="65" ht="43" customHeight="1">
      <x:c r="A65" s="35" t="str">
        <x:v>ED-061</x:v>
      </x:c>
      <x:c r="B65" s="35" t="str">
        <x:v>P23</x:v>
      </x:c>
      <x:c r="C65" s="35" t="str">
        <x:v>Conflicto entre evidencias admitidas</x:v>
      </x:c>
      <x:c r="D65" s="35" t="str">
        <x:v>U</x:v>
      </x:c>
      <x:c r="E65" s="35" t="str">
        <x:v>U</x:v>
      </x:c>
      <x:c r="F65" s="35" t="str">
        <x:f>IF(EXACT("x"&amp;D65,"x"&amp;E65),"Concordante","Discordante")</x:f>
        <x:v>Concordante</x:v>
      </x:c>
    </x:row>
    <x:row r="66" ht="43" customHeight="1">
      <x:c r="A66" s="35" t="str">
        <x:v>ED-062</x:v>
      </x:c>
      <x:c r="B66" s="35" t="str">
        <x:v>P24</x:v>
      </x:c>
      <x:c r="C66" s="35" t="str">
        <x:v>Fallo del lector, sin estado del dominio</x:v>
      </x:c>
      <x:c r="D66" s="35" t="str">
        <x:v>FALLO_TECNICO</x:v>
      </x:c>
      <x:c r="E66" s="35" t="str">
        <x:v>FALLO_TECNICO</x:v>
      </x:c>
      <x:c r="F66" s="35" t="str">
        <x:f>IF(EXACT("x"&amp;D66,"x"&amp;E66),"Concordante","Discordante")</x:f>
        <x:v>Concordante</x:v>
      </x:c>
    </x:row>
    <x:row r="67" ht="43" customHeight="1">
      <x:c r="A67" s="35" t="str">
        <x:v>ED-063</x:v>
      </x:c>
      <x:c r="B67" s="35" t="str">
        <x:v>P24</x:v>
      </x:c>
      <x:c r="C67" s="35" t="str">
        <x:v>Evidencia no admitida</x:v>
      </x:c>
      <x:c r="D67" s="35" t="str">
        <x:v>NO_ADMITIDA</x:v>
      </x:c>
      <x:c r="E67" s="35" t="str">
        <x:v>NO_ADMITIDA</x:v>
      </x:c>
      <x:c r="F67" s="35" t="str">
        <x:f>IF(EXACT("x"&amp;D67,"x"&amp;E67),"Concordante","Discordante")</x:f>
        <x:v>Concordante</x:v>
      </x:c>
    </x:row>
    <x:row r="68" ht="43" customHeight="1">
      <x:c r="A68" s="35" t="str">
        <x:v>ED-064</x:v>
      </x:c>
      <x:c r="B68" s="35" t="str">
        <x:v>P24</x:v>
      </x:c>
      <x:c r="C68" s="35" t="str">
        <x:v>Conflicto entre evidencias admitidas</x:v>
      </x:c>
      <x:c r="D68" s="35" t="str">
        <x:v>U</x:v>
      </x:c>
      <x:c r="E68" s="35" t="str">
        <x:v>U</x:v>
      </x:c>
      <x:c r="F68" s="35" t="str">
        <x:f>IF(EXACT("x"&amp;D68,"x"&amp;E68),"Concordante","Discordante")</x:f>
        <x:v>Concordante</x:v>
      </x:c>
    </x:row>
    <x:row r="72" ht="95" customHeight="1">
      <x:c r="A72" s="29" t="str">
        <x:v>Modificación deliberada del observador</x:v>
      </x:c>
      <x:c r="B72" s="29" t="str">
        <x:v>Casos que la refutan</x:v>
      </x:c>
      <x:c r="C72" s="29" t="str">
        <x:v>Cantidad</x:v>
      </x:c>
    </x:row>
    <x:row r="73" ht="95" customHeight="1">
      <x:c r="A73" s="29" t="str">
        <x:v>Siempre favorable</x:v>
      </x:c>
      <x:c r="B73" s="29" t="str">
        <x:v>ED-002, ED-003, ED-004, ED-005, ED-006, ED-008, ED-009, ED-010, ED-012, ED-013, ED-015, ED-017, ED-018, ED-020, ED-021, ED-023, ED-024, ED-025, ED-027, ED-028, ED-030, ED-031, ED-032, ED-033, ED-035, ED-036, ED-037, ED-038, ED-039, ED-040, ED-041, ED-042, ED-043, ED-044, ED-045, ED-046, ED-047, ED-048, ED-049, ED-050, ED-051, ED-052, ED-053, ED-054, ED-055, ED-056, ED-057, ED-058, ED-059, ED-060, ED-061, ED-062, ED-063, ED-064</x:v>
      </x:c>
      <x:c r="C73" s="29" t="n">
        <x:v>54</x:v>
      </x:c>
    </x:row>
    <x:row r="74" ht="95" customHeight="1">
      <x:c r="A74" s="29" t="str">
        <x:v>Ausencia convertida en cero</x:v>
      </x:c>
      <x:c r="B74" s="29" t="str">
        <x:v>ED-003, ED-008, ED-013, ED-018, ED-021, ED-024, ED-028, ED-031, ED-036, ED-040, ED-043, ED-046, ED-049, ED-052, ED-055, ED-058, ED-061, ED-064</x:v>
      </x:c>
      <x:c r="C74" s="29" t="n">
        <x:v>18</x:v>
      </x:c>
    </x:row>
    <x:row r="75" ht="95" customHeight="1">
      <x:c r="A75" s="29" t="str">
        <x:v>Fallo técnico convertido en incertidumbre</x:v>
      </x:c>
      <x:c r="B75" s="29" t="str">
        <x:v>ED-038, ED-041, ED-044, ED-047, ED-050, ED-053, ED-056, ED-059, ED-062</x:v>
      </x:c>
      <x:c r="C75" s="29" t="n">
        <x:v>9</x:v>
      </x:c>
    </x:row>
    <x:row r="76" ht="95" customHeight="1">
      <x:c r="A76" s="29" t="str">
        <x:v>Estado de tarea sin contexto</x:v>
      </x:c>
      <x:c r="B76" s="29" t="str">
        <x:v>ED-016, ED-017, ED-018, ED-047, ED-048</x:v>
      </x:c>
      <x:c r="C76" s="29" t="n">
        <x:v>5</x:v>
      </x:c>
    </x:row>
    <x:row r="77" ht="95" customHeight="1">
      <x:c r="A77" s="29" t="str">
        <x:v>Sincronización sin comprobar generación</x:v>
      </x:c>
      <x:c r="B77" s="29" t="str">
        <x:v>ED-032, ED-033</x:v>
      </x:c>
      <x:c r="C77" s="29" t="n">
        <x:v>2</x:v>
      </x:c>
    </x:row>
    <x:row r="78" ht="95" customHeight="1">
      <x:c r="A78" s="29" t="str">
        <x:v>Ausencia de referencia sin cobertura</x:v>
      </x:c>
      <x:c r="B78" s="29" t="str">
        <x:v>ED-021</x:v>
      </x:c>
      <x:c r="C78" s="29" t="n">
        <x:v>1</x:v>
      </x:c>
    </x:row>
    <x:row r="79" ht="95" customHeight="1">
      <x:c r="A79" s="29" t="str">
        <x:v>Ceros iniciales eliminados</x:v>
      </x:c>
      <x:c r="B79" s="29" t="str">
        <x:v>ED-006</x:v>
      </x:c>
      <x:c r="C79" s="29" t="n">
        <x:v>1</x:v>
      </x:c>
    </x:row>
    <x:row r="82">
      <x:c r="A82" t="str">
        <x:v>Comprobación</x:v>
      </x:c>
      <x:c r="B82" t="str">
        <x:v>Resultado</x:v>
      </x:c>
    </x:row>
    <x:row r="83">
      <x:c r="A83" t="str">
        <x:v>Resultados discordantes</x:v>
      </x:c>
      <x:c r="B83" t="n">
        <x:f>COUNTIF(F5:F68,"Discordante")</x:f>
        <x:v>0</x:v>
      </x:c>
    </x:row>
    <x:row r="84">
      <x:c r="A84" t="str">
        <x:v>Identidades paramétricas repetidas</x:v>
      </x:c>
      <x:c r="B84" t="n">
        <x:f>IF(COUNTIF('67_Parametros'!B5:B28,'67_Parametros'!B5)=1,0,1)+IF(COUNTIF('67_Parametros'!B5:B28,'67_Parametros'!B6)=1,0,1)+IF(COUNTIF('67_Parametros'!B5:B28,'67_Parametros'!B7)=1,0,1)+IF(COUNTIF('67_Parametros'!B5:B28,'67_Parametros'!B8)=1,0,1)+IF(COUNTIF('67_Parametros'!B5:B28,'67_Parametros'!B9)=1,0,1)+IF(COUNTIF('67_Parametros'!B5:B28,'67_Parametros'!B10)=1,0,1)+IF(COUNTIF('67_Parametros'!B5:B28,'67_Parametros'!B11)=1,0,1)+IF(COUNTIF('67_Parametros'!B5:B28,'67_Parametros'!B12)=1,0,1)+IF(COUNTIF('67_Parametros'!B5:B28,'67_Parametros'!B13)=1,0,1)+IF(COUNTIF('67_Parametros'!B5:B28,'67_Parametros'!B14)=1,0,1)+IF(COUNTIF('67_Parametros'!B5:B28,'67_Parametros'!B15)=1,0,1)+IF(COUNTIF('67_Parametros'!B5:B28,'67_Parametros'!B16)=1,0,1)+IF(COUNTIF('67_Parametros'!B5:B28,'67_Parametros'!B17)=1,0,1)+IF(COUNTIF('67_Parametros'!B5:B28,'67_Parametros'!B18)=1,0,1)+IF(COUNTIF('67_Parametros'!B5:B28,'67_Parametros'!B19)=1,0,1)+IF(COUNTIF('67_Parametros'!B5:B28,'67_Parametros'!B20)=1,0,1)+IF(COUNTIF('67_Parametros'!B5:B28,'67_Parametros'!B21)=1,0,1)+IF(COUNTIF('67_Parametros'!B5:B28,'67_Parametros'!B22)=1,0,1)+IF(COUNTIF('67_Parametros'!B5:B28,'67_Parametros'!B23)=1,0,1)+IF(COUNTIF('67_Parametros'!B5:B28,'67_Parametros'!B24)=1,0,1)+IF(COUNTIF('67_Parametros'!B5:B28,'67_Parametros'!B25)=1,0,1)+IF(COUNTIF('67_Parametros'!B5:B28,'67_Parametros'!B26)=1,0,1)+IF(COUNTIF('67_Parametros'!B5:B28,'67_Parametros'!B27)=1,0,1)+IF(COUNTIF('67_Parametros'!B5:B28,'67_Parametros'!B28)=1,0,1)</x:f>
        <x:v>0</x:v>
      </x:c>
    </x:row>
  </x:sheetData>
  <x:mergeCells>
    <x:mergeCell ref="A1:D1"/>
    <x:mergeCell ref="A2:F2"/>
  </x:mergeCells>
  <x:conditionalFormatting sqref="F5:F68">
    <x:cfRule type="containsText" dxfId="28" priority="1" operator="containsText" text="Discordante"/>
  </x:conditionalFormatting>
  <x:pageMargins left="0.7" right="0.7" top="0.75" bottom="0.75" header="0.3" footer="0.3"/>
  <x:tableParts count="1">
    <x:tablePart xmlns:r="http://schemas.openxmlformats.org/officeDocument/2006/relationships" r:id="R8aede36562e24f97"/>
  </x:tableParts>
</x:worksheet>
</file>

<file path=xl/worksheets/sheet74.xml><?xml version="1.0" encoding="utf-8"?>
<x:worksheet xmlns:x="http://schemas.openxmlformats.org/spreadsheetml/2006/main">
  <x:sheetPr>
    <x:tabColor rgb="FF254F69"/>
  </x:sheetPr>
  <x:sheetViews>
    <x:sheetView showGridLines="0" workbookViewId="0">
      <x:pane xSplit="1" ySplit="4" topLeftCell="B5" activePane="bottomRight" state="frozen"/>
    </x:sheetView>
  </x:sheetViews>
  <x:sheetFormatPr defaultRowHeight="15"/>
  <x:cols>
    <x:col min="1" max="1" width="43" hidden="0" customWidth="1"/>
    <x:col min="2" max="2" width="69" hidden="0" customWidth="1"/>
    <x:col min="3" max="3" width="104" hidden="0" customWidth="1"/>
  </x:cols>
  <x:sheetData>
    <x:row r="1" ht="34" customHeight="1">
      <x:c r="A1" s="36" t="str">
        <x:v>Identidad, autoridad y datos: revisión del primer universo</x:v>
      </x:c>
      <x:c r="B1" s="35"/>
      <x:c r="C1" s="35"/>
    </x:row>
    <x:row r="2" ht="48" customHeight="1">
      <x:c r="A2" s="37" t="str">
        <x:v>Versión 0.9. El cierre de 24 parámetros se rectifica mediante ocho definiciones adicionales. Revisión interna documental.</x:v>
      </x:c>
      <x:c r="B2" s="35"/>
      <x:c r="C2" s="35"/>
    </x:row>
    <x:row r="3">
      <x:c r="A3" s="35"/>
      <x:c r="B3" s="35"/>
      <x:c r="C3" s="35"/>
    </x:row>
    <x:row r="4" ht="62" customHeight="1">
      <x:c r="A4" s="51" t="str">
        <x:v>Cuestión</x:v>
      </x:c>
      <x:c r="B4" s="51" t="str">
        <x:v>Resultado actual</x:v>
      </x:c>
      <x:c r="C4" s="51" t="str">
        <x:v>Fundamento y alcance</x:v>
      </x:c>
    </x:row>
    <x:row r="5" ht="48" customHeight="1">
      <x:c r="A5" s="35" t="str">
        <x:v>Dictamen</x:v>
      </x:c>
      <x:c r="B5" s="35" t="str">
        <x:v>Insuficiencia anterior corregida documentalmente</x:v>
      </x:c>
      <x:c r="C5" s="35" t="str">
        <x:v>El éxito técnico no acredita legitimidad del acto ni protección suficiente de sus pruebas.</x:v>
      </x:c>
    </x:row>
    <x:row r="6" ht="44" customHeight="1">
      <x:c r="A6" s="35" t="str">
        <x:v>Definiciones técnicas conservadas</x:v>
      </x:c>
      <x:c r="B6" s="40" t="n">
        <x:f>COUNTA('67_Parametros'!A5:A28)</x:f>
        <x:v>24</x:v>
      </x:c>
      <x:c r="C6" s="35" t="str">
        <x:v>P01–P24: hojas 67 y 68, vigentes en sus definiciones y consecuencias.</x:v>
      </x:c>
    </x:row>
    <x:row r="7" ht="44" customHeight="1">
      <x:c r="A7" s="35" t="str">
        <x:v>Definiciones adicionales</x:v>
      </x:c>
      <x:c r="B7" s="40" t="n">
        <x:f>COUNTA('74_Ampliacion_atomica'!A5:A12)</x:f>
        <x:v>8</x:v>
      </x:c>
      <x:c r="C7" s="35" t="str">
        <x:v>P25–P32: hoja 74. La autenticación se trata como uso de P07.</x:v>
      </x:c>
    </x:row>
    <x:row r="8" ht="44" customHeight="1">
      <x:c r="A8" s="35" t="str">
        <x:v>Total de definiciones documentales</x:v>
      </x:c>
      <x:c r="B8" s="40" t="n">
        <x:f>B6+B7</x:f>
        <x:v>32</x:v>
      </x:c>
      <x:c r="C8" s="35" t="str">
        <x:v>La cardinalidad no crea ni dimensiona células SV.</x:v>
      </x:c>
    </x:row>
    <x:row r="9" ht="48" customHeight="1">
      <x:c r="A9" s="35" t="str">
        <x:v>Estado de capacidad</x:v>
      </x:c>
      <x:c r="B9" s="35" t="str">
        <x:v>Suficiencia operacional SV no acreditada</x:v>
      </x:c>
      <x:c r="C9" s="35" t="str">
        <x:v>La adjudicación documental no ejecuta autenticación, permisos, protección de datos ni consejo SV.</x:v>
      </x:c>
    </x:row>
    <x:row r="10" ht="44" customHeight="1">
      <x:c r="A10" s="35" t="str">
        <x:v>Controles</x:v>
      </x:c>
      <x:c r="B10" s="35" t="str">
        <x:v>16 contratos</x:v>
      </x:c>
      <x:c r="C10" s="35" t="str">
        <x:v>Hoja 75: evidencia, autoridad y vistas de datos diferenciadas.</x:v>
      </x:c>
    </x:row>
    <x:row r="11" ht="44" customHeight="1">
      <x:c r="A11" s="35" t="str">
        <x:v>Hipótesis compacta: universos</x:v>
      </x:c>
      <x:c r="B11" s="40" t="n">
        <x:f>'77_Estimacion_revisada'!B37</x:f>
        <x:v>29</x:v>
      </x:c>
      <x:c r="C11" s="35" t="str">
        <x:v>Grupos de productos de la hoja 76; no mínimo demostrado.</x:v>
      </x:c>
    </x:row>
    <x:row r="12" ht="44" customHeight="1">
      <x:c r="A12" s="35" t="str">
        <x:v>Hipótesis central: universos</x:v>
      </x:c>
      <x:c r="B12" s="40" t="n">
        <x:f>'77_Estimacion_revisada'!B38</x:f>
        <x:v>38</x:v>
      </x:c>
      <x:c r="C12" s="35" t="str">
        <x:v>Partición propuesta, sin calibración empírica.</x:v>
      </x:c>
    </x:row>
    <x:row r="13" ht="44" customHeight="1">
      <x:c r="A13" s="35" t="str">
        <x:v>Hipótesis amplia: universos</x:v>
      </x:c>
      <x:c r="B13" s="40" t="n">
        <x:f>'77_Estimacion_revisada'!B39</x:f>
        <x:v>59</x:v>
      </x:c>
      <x:c r="C13" s="35" t="str">
        <x:v>Incluye CYO-20, condicionado a su ámbito institucional.</x:v>
      </x:c>
    </x:row>
    <x:row r="14" ht="44" customHeight="1">
      <x:c r="A14" s="35" t="str">
        <x:v>Hipótesis compacta: parámetros</x:v>
      </x:c>
      <x:c r="B14" s="40" t="n">
        <x:f>'77_Estimacion_revisada'!I37</x:f>
        <x:v>288</x:v>
      </x:c>
      <x:c r="C14" s="35" t="str">
        <x:v>Leer aproximadamente 290; presupuesto y reutilización supuestos.</x:v>
      </x:c>
    </x:row>
    <x:row r="15" ht="44" customHeight="1">
      <x:c r="A15" s="35" t="str">
        <x:v>Hipótesis central: parámetros</x:v>
      </x:c>
      <x:c r="B15" s="40" t="n">
        <x:f>'77_Estimacion_revisada'!I38</x:f>
        <x:v>552</x:v>
      </x:c>
      <x:c r="C15" s="35" t="str">
        <x:v>Leer aproximadamente 550; no predicción exacta.</x:v>
      </x:c>
    </x:row>
    <x:row r="16" ht="44" customHeight="1">
      <x:c r="A16" s="35" t="str">
        <x:v>Hipótesis amplia: parámetros</x:v>
      </x:c>
      <x:c r="B16" s="40" t="n">
        <x:f>'77_Estimacion_revisada'!I39</x:f>
        <x:v>1062</x:v>
      </x:c>
      <x:c r="C16" s="35" t="str">
        <x:v>Leer aproximadamente 1.060; no máximo demostrado.</x:v>
      </x:c>
    </x:row>
    <x:row r="17" ht="48" customHeight="1">
      <x:c r="A17" s="35" t="str">
        <x:v>Pruebas de esta revisión</x:v>
      </x:c>
      <x:c r="B17" s="35" t="str">
        <x:v>46 casos sintéticos y 11 mutantes detectados</x:v>
      </x:c>
      <x:c r="C17" s="35" t="str">
        <x:v>Diez pares documentales con igual estado técnico y distinta información de gobierno.</x:v>
      </x:c>
    </x:row>
    <x:row r="18" ht="44" customHeight="1">
      <x:c r="A18" s="35" t="str">
        <x:v>Lectura del Lenguaje</x:v>
      </x:c>
      <x:c r="B18" s="35" t="str">
        <x:v>IR y LIG cotejados en la entrega vigente</x:v>
      </x:c>
      <x:c r="C18" s="35" t="str">
        <x:v>Inspección estática; no ejecución Rust ni modificación del Lenguaje.</x:v>
      </x:c>
    </x:row>
    <x:row r="19" ht="48" customHeight="1">
      <x:c r="A19" s="35" t="str">
        <x:v>Propuesta para la decisión humana</x:v>
      </x:c>
      <x:c r="B19" s="35" t="str">
        <x:v>Contrastar el primer universo ampliado con el Lenguaje</x:v>
      </x:c>
      <x:c r="C19" s="35" t="str">
        <x:v>Un segundo requiere una relación semántica nueva y consecuencia propia. No se abre automáticamente.</x:v>
      </x:c>
    </x:row>
    <x:row r="20" ht="48" customHeight="1">
      <x:c r="A20" s="35" t="str">
        <x:v>Conservación histórica</x:v>
      </x:c>
      <x:c r="B20" s="35" t="str">
        <x:v>v0.8 permanece congelado</x:v>
      </x:c>
      <x:c r="C20" s="35" t="str">
        <x:v>66 y 70 contienen conclusiones y estimaciones anteriores. 69 se interpreta conforme a la sucesión de controles de 75.</x:v>
      </x:c>
    </x:row>
    <x:row r="21" ht="44" customHeight="1">
      <x:c r="A21" s="35" t="str">
        <x:v>Lectura actual</x:v>
      </x:c>
      <x:c r="B21" s="35" t="str">
        <x:v>73–80; P01–P24 en 67/68</x:v>
      </x:c>
      <x:c r="C21" s="35" t="str">
        <x:v>Base curricular anterior conservada. Acta y revisión v0.3 en el expediente.</x:v>
      </x:c>
    </x:row>
  </x:sheetData>
  <x:mergeCells>
    <x:mergeCell ref="A1:C1"/>
    <x:mergeCell ref="A2:C2"/>
  </x:mergeCells>
  <x:pageMargins left="0.7" right="0.7" top="0.75" bottom="0.75" header="0.3" footer="0.3"/>
  <x:tableParts count="1">
    <x:tablePart xmlns:r="http://schemas.openxmlformats.org/officeDocument/2006/relationships" r:id="Rfdef8ca97f5948bd"/>
  </x:tableParts>
</x:worksheet>
</file>

<file path=xl/worksheets/sheet7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5" hidden="0" customWidth="1"/>
    <x:col min="3" max="3" width="12" hidden="0" customWidth="1"/>
    <x:col min="4" max="4" width="46" hidden="0" customWidth="1"/>
    <x:col min="5" max="5" width="67" hidden="0" customWidth="1"/>
    <x:col min="6" max="6" width="86" hidden="0" customWidth="1"/>
    <x:col min="7" max="7" width="69" hidden="0" customWidth="1"/>
    <x:col min="8" max="8" width="69" hidden="0" customWidth="1"/>
    <x:col min="9" max="9" width="69" hidden="0" customWidth="1"/>
    <x:col min="10" max="10" width="120" hidden="0" customWidth="1"/>
    <x:col min="11" max="11" width="90" hidden="0" customWidth="1"/>
    <x:col min="12" max="12" width="100" hidden="0" customWidth="1"/>
    <x:col min="13" max="13" width="95" hidden="0" customWidth="1"/>
    <x:col min="14" max="14" width="90" hidden="0" customWidth="1"/>
    <x:col min="15" max="15" width="100" hidden="0" customWidth="1"/>
    <x:col min="16" max="16" width="95" hidden="0" customWidth="1"/>
    <x:col min="17" max="17" width="68" hidden="0" customWidth="1"/>
  </x:cols>
  <x:sheetData>
    <x:row r="1" ht="34" customHeight="1">
      <x:c r="A1" s="36" t="str">
        <x:v>Ocho definiciones adicionales de gobierno de la actuación</x:v>
      </x:c>
      <x:c r="B1" s="35"/>
      <x:c r="C1" s="35"/>
      <x:c r="D1" s="35"/>
      <x:c r="E1" s="35"/>
      <x:c r="F1" s="35"/>
      <x:c r="G1" s="35"/>
      <x:c r="H1" s="35"/>
      <x:c r="I1" s="35"/>
      <x:c r="J1" s="35"/>
      <x:c r="K1" s="35"/>
      <x:c r="L1" s="35"/>
      <x:c r="M1" s="35"/>
      <x:c r="N1" s="35"/>
      <x:c r="O1" s="35"/>
      <x:c r="P1" s="35"/>
      <x:c r="Q1" s="35"/>
    </x:row>
    <x:row r="2" ht="48" customHeight="1">
      <x:c r="A2" s="37" t="str">
        <x:v>P01–P24 se conservan en 67/68. P25–P32 completan el inventario documental bajo las presiones examinadas.</x:v>
      </x:c>
      <x:c r="B2" s="35"/>
      <x:c r="C2" s="35"/>
      <x:c r="D2" s="35"/>
      <x:c r="E2" s="35"/>
      <x:c r="F2" s="35"/>
      <x:c r="G2" s="35"/>
      <x:c r="H2" s="35"/>
      <x:c r="I2" s="35"/>
      <x:c r="J2" s="35"/>
      <x:c r="K2" s="35"/>
      <x:c r="L2" s="35"/>
      <x:c r="M2" s="35"/>
      <x:c r="N2" s="35"/>
      <x:c r="O2" s="35"/>
      <x:c r="P2" s="35"/>
      <x:c r="Q2" s="35"/>
    </x:row>
    <x:row r="3">
      <x:c r="A3" s="35"/>
      <x:c r="B3" s="35"/>
      <x:c r="C3" s="35"/>
      <x:c r="D3" s="35"/>
      <x:c r="E3" s="35"/>
      <x:c r="F3" s="35"/>
      <x:c r="G3" s="35"/>
      <x:c r="H3" s="35"/>
      <x:c r="I3" s="35"/>
      <x:c r="J3" s="35"/>
      <x:c r="K3" s="35"/>
      <x:c r="L3" s="35"/>
      <x:c r="M3" s="35"/>
      <x:c r="N3" s="35"/>
      <x:c r="O3" s="35"/>
      <x:c r="P3" s="35"/>
      <x:c r="Q3" s="35"/>
    </x:row>
    <x:row r="4" ht="62" customHeight="1">
      <x:c r="A4" s="51" t="str">
        <x:v>Parámetro</x:v>
      </x:c>
      <x:c r="B4" s="51" t="str">
        <x:v>Identidad estable</x:v>
      </x:c>
      <x:c r="C4" s="51" t="str">
        <x:v>Versión</x:v>
      </x:c>
      <x:c r="D4" s="51" t="str">
        <x:v>Denominación</x:v>
      </x:c>
      <x:c r="E4" s="51" t="str">
        <x:v>Sujeto</x:v>
      </x:c>
      <x:c r="F4" s="51" t="str">
        <x:v>Proposición</x:v>
      </x:c>
      <x:c r="G4" s="51" t="str">
        <x:v>Condición de 1</x:v>
      </x:c>
      <x:c r="H4" s="51" t="str">
        <x:v>Condición de 0</x:v>
      </x:c>
      <x:c r="I4" s="51" t="str">
        <x:v>Condición de U</x:v>
      </x:c>
      <x:c r="J4" s="51" t="str">
        <x:v>Observación y perfil</x:v>
      </x:c>
      <x:c r="K4" s="51" t="str">
        <x:v>Conocimiento necesario</x:v>
      </x:c>
      <x:c r="L4" s="51" t="str">
        <x:v>Relación</x:v>
      </x:c>
      <x:c r="M4" s="51" t="str">
        <x:v>Consecuencia de omisión</x:v>
      </x:c>
      <x:c r="N4" s="51" t="str">
        <x:v>Límite frente al exceso</x:v>
      </x:c>
      <x:c r="O4" s="51" t="str">
        <x:v>Variación independiente</x:v>
      </x:c>
      <x:c r="P4" s="51" t="str">
        <x:v>Partición examinada</x:v>
      </x:c>
      <x:c r="Q4" s="51" t="str">
        <x:v>Fuentes</x:v>
      </x:c>
    </x:row>
    <x:row r="5" ht="80" customHeight="1">
      <x:c r="A5" s="35" t="str">
        <x:v>P25</x:v>
      </x:c>
      <x:c r="B5" s="35" t="str">
        <x:v>PAR-CYB-ACTO-SESION-VINCULADOS-001</x:v>
      </x:c>
      <x:c r="C5" s="35" t="str">
        <x:v>0.1</x:v>
      </x:c>
      <x:c r="D5" s="35" t="str">
        <x:v>Vinculación de un acto con una sesión</x:v>
      </x:c>
      <x:c r="E5" s="35" t="str">
        <x:v>Un acto individual y una sesión identificada del sistema que lo ejecutó</x:v>
      </x:c>
      <x:c r="F5" s="35" t="str">
        <x:v>El acto identificado está vinculado a la sesión de referencia por la relación de atribución admitida.</x:v>
      </x:c>
      <x:c r="G5" s="35" t="str">
        <x:v>Relación explícita y coherente entre ese acto y esa sesión.</x:v>
      </x:c>
      <x:c r="H5" s="35" t="str">
        <x:v>Relación completa que atribuye el acto a otra sesión y excluye la de referencia.</x:v>
      </x:c>
      <x:c r="I5" s="35" t="str">
        <x:v>Sólo consta un nombre, la relación está incompleta o hay atribuciones incompatibles.</x:v>
      </x:c>
      <x:c r="J5" s="35" t="str">
        <x:v>Identificadores de acto, sesión y emisor; referencia del registro de correlación y perfil de observación. El nombre de cuenta o la proximidad temporal no bastan. El resultado de autenticación se registra aparte como uso específico de P07; no demuestra quién controló físicamente una credencial robada.</x:v>
      </x:c>
      <x:c r="K5" s="35" t="str">
        <x:v>Autenticar una sesión y atribuirle un acto son relaciones diferentes.</x:v>
      </x:c>
      <x:c r="L5" s="35" t="str">
        <x:v>Acto → sesión → principal declarado; la correspondencia con persona responsable exige evidencia propia, sin publicar esa identidad en la vista general.</x:v>
      </x:c>
      <x:c r="M5" s="35" t="str">
        <x:v>Un cambio ejecutado por otra sesión puede atribuirse al técnico legítimo y ocultar la intervención ajena.</x:v>
      </x:c>
      <x:c r="N5" s="35" t="str">
        <x:v>Una atribución incompleta no permite acusar a una persona ni borrar el resultado técnico observado.</x:v>
      </x:c>
      <x:c r="O5" s="35" t="str">
        <x:v>Dos instalaciones satisfactorias y una misma sesión autenticada; sólo una conserva la relación de ejecución con esa sesión.</x:v>
      </x:c>
      <x:c r="P5" s="35" t="str">
        <x:v>La identidad compuesta identifica un acto; se adjudica una sola arista, no toda la cadena de responsabilidad.</x:v>
      </x:c>
      <x:c r="Q5" s="35" t="str">
        <x:v>N01 art. 24, anexo II op.acc.1 y op.exp.8; N09, gestión de usuarios; ADJ1 §2.3</x:v>
      </x:c>
    </x:row>
    <x:row r="6" ht="64" customHeight="1">
      <x:c r="A6" s="35" t="str">
        <x:v>P26</x:v>
      </x:c>
      <x:c r="B6" s="35" t="str">
        <x:v>PAR-CYB-EMISOR-COMPETENTE-001</x:v>
      </x:c>
      <x:c r="C6" s="35" t="str">
        <x:v>0.1</x:v>
      </x:c>
      <x:c r="D6" s="35" t="str">
        <x:v>Competencia del emisor de una autorización</x:v>
      </x:c>
      <x:c r="E6" s="35" t="str">
        <x:v>Un emisor, una facultad concreta y el instante de emisión de una autorización</x:v>
      </x:c>
      <x:c r="F6" s="35" t="str">
        <x:v>El emisor figura como titular de la facultad de conceder esa autorización en el registro institucional aplicable al instante de emisión.</x:v>
      </x:c>
      <x:c r="G6" s="35" t="str">
        <x:v>Correspondencia positiva con la atribución institucional vigente en ese instante.</x:v>
      </x:c>
      <x:c r="H6" s="35" t="str">
        <x:v>Registro completo que excluye expresamente esa facultad para el emisor.</x:v>
      </x:c>
      <x:c r="I6" s="35" t="str">
        <x:v>Competencia, vigencia o registro institucional insuficientemente acreditados.</x:v>
      </x:c>
      <x:c r="J6" s="35" t="str">
        <x:v>Anclaje de autoridad fijado por la organización competente; historial de atribuciones y facultad individual. La verificación de firma no crea competencia. La cadena de delegación se resuelve por aristas; su legitimidad conjunta no se oculta en este parámetro.</x:v>
      </x:c>
      <x:c r="K6" s="35" t="str">
        <x:v>La identidad de un firmante no determina las facultades que le atribuye una organización.</x:v>
      </x:c>
      <x:c r="L6" s="35" t="str">
        <x:v>Emisor → facultad institucional; después se examinan alcance, tiempo y revocación del permiso emitido.</x:v>
      </x:c>
      <x:c r="M6" s="35" t="str">
        <x:v>Un documento firmado por un proveedor o por un agente sin facultad puede presentarse como autorización institucional.</x:v>
      </x:c>
      <x:c r="N6" s="35" t="str">
        <x:v>No se presume incompetencia por falta de acceso del observador al registro; se conserva U.</x:v>
      </x:c>
      <x:c r="O6" s="35" t="str">
        <x:v>Un emisor competente puede conceder permiso para otro activo; un emisor incompetente puede escribir un alcance aparentemente exacto.</x:v>
      </x:c>
      <x:c r="P6" s="35" t="str">
        <x:v>La facultad individual se fija antes de consultar; no se agregan todas las competencias de la persona.</x:v>
      </x:c>
      <x:c r="Q6" s="35" t="str">
        <x:v>N01 arts. 11, 21 y op.acc.4; N06 §2.1; N10 §1.1</x:v>
      </x:c>
    </x:row>
    <x:row r="7" ht="64" customHeight="1">
      <x:c r="A7" s="35" t="str">
        <x:v>P27</x:v>
      </x:c>
      <x:c r="B7" s="35" t="str">
        <x:v>PAR-CYB-ALCANCE-PERMISO-001</x:v>
      </x:c>
      <x:c r="C7" s="35" t="str">
        <x:v>0.1</x:v>
      </x:c>
      <x:c r="D7" s="35" t="str">
        <x:v>Pertenencia del acto al alcance de un permiso</x:v>
      </x:c>
      <x:c r="E7" s="35" t="str">
        <x:v>Un permiso y un acto individual con recurso, acción, destinatario y finalidad declarados</x:v>
      </x:c>
      <x:c r="F7" s="35" t="str">
        <x:v>La tupla del acto pertenece al conjunto de actuaciones que declara el permiso de referencia.</x:v>
      </x:c>
      <x:c r="G7" s="35" t="str">
        <x:v>Pertenencia acreditada bajo la regla de alcance previamente fijada.</x:v>
      </x:c>
      <x:c r="H7" s="35" t="str">
        <x:v>Exclusión acreditada de la tupla del acto.</x:v>
      </x:c>
      <x:c r="I7" s="35" t="str">
        <x:v>Finalidad, recurso, acción, destinatario o regla de pertenencia indeterminados.</x:v>
      </x:c>
      <x:c r="J7" s="35" t="str">
        <x:v>Perfil documental PR-ALC/1: conjunto finito explícito de tuplas exactas. No admite comodines interpretados por el auxiliar. Las restricciones adicionales del permiso se conservan y evalúan separadamente; una política más rica requiere su perfil y no se aproxima por este conjunto.</x:v>
      </x:c>
      <x:c r="K7" s="35" t="str">
        <x:v>Un permiso identifica aquello que permite; la posesión de una credencial no amplía ese alcance.</x:v>
      </x:c>
      <x:c r="L7" s="35" t="str">
        <x:v>Permiso → acto/recurso/finalidad; cada eslabón de delegación conserva su alcance y no puede ampliarlo.</x:v>
      </x:c>
      <x:c r="M7" s="35" t="str">
        <x:v>Se puede legitimar un reinicio en otro servicio, una exportación de registros no prevista o el uso de credenciales por otro agente.</x:v>
      </x:c>
      <x:c r="N7" s="35" t="str">
        <x:v>La exclusión de este permiso no demuestra que no exista otro permiso aplicable; la cobertura de autorizaciones se comprueba aparte.</x:v>
      </x:c>
      <x:c r="O7" s="35" t="str">
        <x:v>Un permiso auténtico emitido por autoridad competente puede estar vigente y excluir el activo o destinatario del acto.</x:v>
      </x:c>
      <x:c r="P7" s="35" t="str">
        <x:v>Acción y recurso fijan el sujeto relacional de la pertenencia. Los incumplimientos de campos se explican; no se crean átomos por cada palabra de la tupla.</x:v>
      </x:c>
      <x:c r="Q7" s="35" t="str">
        <x:v>N01 op.acc.4; N06 §2.1; N10 §§1.1 y 2.1; ADJ1 §2.3</x:v>
      </x:c>
    </x:row>
    <x:row r="8" ht="64" customHeight="1">
      <x:c r="A8" s="35" t="str">
        <x:v>P28</x:v>
      </x:c>
      <x:c r="B8" s="35" t="str">
        <x:v>PAR-CYB-INTERVALO-PERMISO-001</x:v>
      </x:c>
      <x:c r="C8" s="35" t="str">
        <x:v>0.1</x:v>
      </x:c>
      <x:c r="D8" s="35" t="str">
        <x:v>Inclusión temporal del acto en la vigencia declarada</x:v>
      </x:c>
      <x:c r="E8" s="35" t="str">
        <x:v>Un permiso y el intervalo de ejecución de un acto individual</x:v>
      </x:c>
      <x:c r="F8" s="35" t="str">
        <x:v>Todo el intervalo posible del acto queda comprendido en el intervalo de vigencia declarado por ese permiso.</x:v>
      </x:c>
      <x:c r="G8" s="35" t="str">
        <x:v>Inclusión completa para todos los tiempos compatibles con la evidencia admitida.</x:v>
      </x:c>
      <x:c r="H8" s="35" t="str">
        <x:v>La evidencia demuestra que el acto no quedó íntegramente incluido.</x:v>
      </x:c>
      <x:c r="I8" s="35" t="str">
        <x:v>La incertidumbre del reloj o de los extremos permite tanto inclusión como incumplimiento.</x:v>
      </x:c>
      <x:c r="J8" s="35" t="str">
        <x:v>Perfil PR-TIEMPO/1: intervalos cerrados, escala común y precisión declarada; enteros decimales exactos conservados como texto. No confundir hora del registro, del sellado, de observación y del acto. Límites abiertos o reglas de zona horaria requieren otro perfil explícito.</x:v>
      </x:c>
      <x:c r="K8" s="35" t="str">
        <x:v>La fecha escrita en un documento y el tiempo acreditado de la actuación no son intercambiables.</x:v>
      </x:c>
      <x:c r="L8" s="35" t="str">
        <x:v>Intervalo del acto frente a vigencia; la emisión previa y la revocación se contrastan por separado.</x:v>
      </x:c>
      <x:c r="M8" s="35" t="str">
        <x:v>Un acto posterior a la caducidad puede aconsejarse como autorizado, o puede ignorarse que el permiso caducó durante la actuación.</x:v>
      </x:c>
      <x:c r="N8" s="35" t="str">
        <x:v>La superposición incierta no se transforma en infracción demostrada ni en permiso vigente.</x:v>
      </x:c>
      <x:c r="O8" s="35" t="str">
        <x:v>El intervalo puede estar incluido en la vigencia nominal aunque el permiso ya estuviera revocado o se hubiese emitido después con fecha retroactiva.</x:v>
      </x:c>
      <x:c r="P8" s="35" t="str">
        <x:v>La inclusión de un intervalo es una relación única. Sus extremos son observables del mismo objeto temporal, no dos permisos.</x:v>
      </x:c>
      <x:c r="Q8" s="35" t="str">
        <x:v>N03B arts. 41.1–2 y 42.1; N03C art. 1, puntos 41–42; N06 §2.1; N01 op.exp.8</x:v>
      </x:c>
    </x:row>
    <x:row r="9" ht="64" customHeight="1">
      <x:c r="A9" s="35" t="str">
        <x:v>P29</x:v>
      </x:c>
      <x:c r="B9" s="35" t="str">
        <x:v>PAR-CYB-REVOCACION-AFECTA-001</x:v>
      </x:c>
      <x:c r="C9" s="35" t="str">
        <x:v>0.1</x:v>
      </x:c>
      <x:c r="D9" s="35" t="str">
        <x:v>Revocación que afecta a la actuación</x:v>
      </x:c>
      <x:c r="E9" s="35" t="str">
        <x:v>Un permiso, un acto y el historial competente de revocación</x:v>
      </x:c>
      <x:c r="F9" s="35" t="str">
        <x:v>Existe una revocación efectiva de ese permiso no posterior al final del acto.</x:v>
      </x:c>
      <x:c r="G9" s="35" t="str">
        <x:v>Revocación pertinente inequívocamente efectiva antes de terminar el acto o durante él.</x:v>
      </x:c>
      <x:c r="H9" s="35" t="str">
        <x:v>Historia completa que acredita ausencia de revocación pertinente hasta el final del acto.</x:v>
      </x:c>
      <x:c r="I9" s="35" t="str">
        <x:v>Historia incompleta, efectividad desconocida o solapamiento temporal que impide resolver.</x:v>
      </x:c>
      <x:c r="J9" s="35" t="str">
        <x:v>PR-TIEMPO/1; se distinguen emisión, publicación, recepción y efecto de la revocación. La regla jurídica o institucional determina el efecto. La revocación posterior al final no se aplica retroactivamente por el simple hecho de conocerla después. Una nueva concesión posee otra identidad.</x:v>
      </x:c>
      <x:c r="K9" s="35" t="str">
        <x:v>El intervalo nominal de un permiso puede seguir abierto después de su retirada.</x:v>
      </x:c>
      <x:c r="L9" s="35" t="str">
        <x:v>Revocación → permiso → actos afectados en su horizonte; se conserva la historia anterior.</x:v>
      </x:c>
      <x:c r="M9" s="35" t="str">
        <x:v>Una sesión o agente puede seguir figurando como autorizado después de la retirada de su facultad.</x:v>
      </x:c>
      <x:c r="N9" s="35" t="str">
        <x:v>No se invalida retroactivamente un acto anterior por una revocación posterior, salvo regla explícita aplicable.</x:v>
      </x:c>
      <x:c r="O9" s="35" t="str">
        <x:v>Un permiso no caducado puede estar revocado; un permiso caducado puede no haber sufrido revocación alguna.</x:v>
      </x:c>
      <x:c r="P9" s="35" t="str">
        <x:v>Existencia de un suceso de revocación pertinente, con cobertura del historial. No reúne caducidad y revocación.</x:v>
      </x:c>
      <x:c r="Q9" s="35" t="str">
        <x:v>N09, gestión de usuarios; N06 §2.1; N01 op.acc.1 y op.acc.4</x:v>
      </x:c>
    </x:row>
    <x:row r="10" ht="64" customHeight="1">
      <x:c r="A10" s="35" t="str">
        <x:v>P30</x:v>
      </x:c>
      <x:c r="B10" s="35" t="str">
        <x:v>PAR-CYB-AUTORIZACION-PREVIA-001</x:v>
      </x:c>
      <x:c r="C10" s="35" t="str">
        <x:v>0.1</x:v>
      </x:c>
      <x:c r="D10" s="35" t="str">
        <x:v>Precedencia de la emisión de una autorización</x:v>
      </x:c>
      <x:c r="E10" s="35" t="str">
        <x:v>Una autorización identificada y el comienzo de un acto</x:v>
      </x:c>
      <x:c r="F10" s="35" t="str">
        <x:v>La emisión efectiva de la autorización precedió al comienzo de la actuación.</x:v>
      </x:c>
      <x:c r="G10" s="35" t="str">
        <x:v>La emisión ocurrió estrictamente antes de comenzar, con orden acreditado.</x:v>
      </x:c>
      <x:c r="H10" s="35" t="str">
        <x:v>La emisión ocurrió después de comenzar o fue simultánea según el perfil temporal exacto.</x:v>
      </x:c>
      <x:c r="I10" s="35" t="str">
        <x:v>Los intervalos de incertidumbre no permiten establecer el orden estricto.</x:v>
      </x:c>
      <x:c r="J10" s="35" t="str">
        <x:v>PR-TIEMPO/1; se compara tiempo de emisión acreditado con comienzo, no fecha redactada retrospectivamente. Este átomo sólo describe precedencia; el régimen de urgencia o autorización permanente es contexto y puede aportar otro permiso válido anterior.</x:v>
      </x:c>
      <x:c r="K10" s="35" t="str">
        <x:v>Ratificar después y autorizar antes son sucesos distintos.</x:v>
      </x:c>
      <x:c r="L10" s="35" t="str">
        <x:v>Emisión → inicio del acto; plan, alcance y vigencia no sustituyen ese orden.</x:v>
      </x:c>
      <x:c r="M10" s="35" t="str">
        <x:v>Una aprobación posterior puede encubrir que el experto no autorizó la actuación cuando todavía podía decidirla.</x:v>
      </x:c>
      <x:c r="N10" s="35" t="str">
        <x:v>Un acto urgente no se califica por automatismo: se examina si estaba amparado por una autorización permanente u otro régimen aplicable.</x:v>
      </x:c>
      <x:c r="O10" s="35" t="str">
        <x:v>La vigencia nominal puede abarcar el acto y la aprobación ser posterior; un acto planificado puede seguir sin aprobación previa.</x:v>
      </x:c>
      <x:c r="P10" s="35" t="str">
        <x:v>Una relación de precedencia entre dos sucesos; no se añade una valoración global de legalidad.</x:v>
      </x:c>
      <x:c r="Q10" s="35" t="str">
        <x:v>N01 art. 21 y op.exp.5; N03B arts. 41–42; ADJ1 §§2.3 y 2.5</x:v>
      </x:c>
    </x:row>
    <x:row r="11" ht="64" customHeight="1">
      <x:c r="A11" s="35" t="str">
        <x:v>P31</x:v>
      </x:c>
      <x:c r="B11" s="35" t="str">
        <x:v>PAR-CYB-PRINCIPALES-DISTINTOS-001</x:v>
      </x:c>
      <x:c r="C11" s="35" t="str">
        <x:v>0.1</x:v>
      </x:c>
      <x:c r="D11" s="35" t="str">
        <x:v>Separación de los titulares de dos funciones</x:v>
      </x:c>
      <x:c r="E11" s="35" t="str">
        <x:v>Dos funciones concretas de una actuación para las que se exige separación</x:v>
      </x:c>
      <x:c r="F11" s="35" t="str">
        <x:v>Los titulares acreditados de ambas funciones corresponden a principales institucionales distintos.</x:v>
      </x:c>
      <x:c r="G11" s="35" t="str">
        <x:v>Identidades canónicas distintas acreditadas por la referencia institucional.</x:v>
      </x:c>
      <x:c r="H11" s="35" t="str">
        <x:v>Ambas funciones se atribuyen al mismo principal, aunque utilice cuentas diferentes.</x:v>
      </x:c>
      <x:c r="I11" s="35" t="str">
        <x:v>Se conocen cuentas o nombres, pero no puede resolverse la identidad canónica de los titulares.</x:v>
      </x:c>
      <x:c r="J11" s="35" t="str">
        <x:v>La exigencia de separación se activa antes según categoría, medida o política aplicable. Se usa un par de funciones y titulares; otras incompatibilidades o independencia organizativa necesitan controles propios. Sin exigencia, el perfil es NO_APLICABLE, no Tri.1.</x:v>
      </x:c>
      <x:c r="K11" s="35" t="str">
        <x:v>Dos cuentas no equivalen necesariamente a dos personas o autoridades independientes.</x:v>
      </x:c>
      <x:c r="L11" s="35" t="str">
        <x:v>Funciones → titulares → identidad canónica; el permiso de cada titular se examina por separado.</x:v>
      </x:c>
      <x:c r="M11" s="35" t="str">
        <x:v>Una misma persona puede autorizar y ejecutar usando alias, aparentando una separación inexistente.</x:v>
      </x:c>
      <x:c r="N11" s="35" t="str">
        <x:v>No se impone doble control a todos los cambios ni se afirma independencia organizativa sólo por tener titulares distintos.</x:v>
      </x:c>
      <x:c r="O11" s="35" t="str">
        <x:v>Dos titulares distintos pueden carecer de competencia; un titular competente puede asumir ambas funciones con cuentas diferentes.</x:v>
      </x:c>
      <x:c r="P11" s="35" t="str">
        <x:v>Una desigualdad entre dos identidades canónicas. La independencia institucional más amplia sigue siendo compuesta.</x:v>
      </x:c>
      <x:c r="Q11" s="35" t="str">
        <x:v>N01 anexo II op.acc.3, categoría MEDIA/ALTA; N09, gestión de usuarios</x:v>
      </x:c>
    </x:row>
    <x:row r="12" ht="64" customHeight="1">
      <x:c r="A12" s="35" t="str">
        <x:v>P32</x:v>
      </x:c>
      <x:c r="B12" s="35" t="str">
        <x:v>PAR-CYB-ACTO-PREVISTO-001</x:v>
      </x:c>
      <x:c r="C12" s="35" t="str">
        <x:v>0.1</x:v>
      </x:c>
      <x:c r="D12" s="35" t="str">
        <x:v>Pertenencia de la actuación a un plan previo</x:v>
      </x:c>
      <x:c r="E12" s="35" t="str">
        <x:v>Una actuación y la versión del plan fijada antes de ejecutarla</x:v>
      </x:c>
      <x:c r="F12" s="35" t="str">
        <x:v>El acto individual figura entre las actuaciones previstas por esa versión del plan.</x:v>
      </x:c>
      <x:c r="G12" s="35" t="str">
        <x:v>Pertenencia expresa al plan previo y a su ámbito.</x:v>
      </x:c>
      <x:c r="H12" s="35" t="str">
        <x:v>Plan previo completo que excluye el acto.</x:v>
      </x:c>
      <x:c r="I12" s="35" t="str">
        <x:v>Plan incompleto, versión posterior presentada como previa o correspondencia indeterminada.</x:v>
      </x:c>
      <x:c r="J12" s="35" t="str">
        <x:v>PR-PLAN/1: lista finita de actuaciones individualizadas; la existencia previa y procedencia del plan son admisión. La finalidad justificativa, razón del cambio y régimen de urgencia se conservan en el contexto. Fuera de un régimen que requiera contrastar un plan, el perfil no se activa.</x:v>
      </x:c>
      <x:c r="K12" s="35" t="str">
        <x:v>Planificar una actuación, autorizarla y ejecutarla son hechos diferentes.</x:v>
      </x:c>
      <x:c r="L12" s="35" t="str">
        <x:v>Acto → plan previo → razón y dependencias; permiso y resultado técnico permanecen independientes.</x:v>
      </x:c>
      <x:c r="M12" s="35" t="str">
        <x:v>Puede ocultarse un cambio ajeno al plan, omitiendo sus dependencias, ventana o efectos sobre un servicio regulado.</x:v>
      </x:c>
      <x:c r="N12" s="35" t="str">
        <x:v>Una actuación no planificada no es necesariamente ilícita: puede existir autorización urgente válida y debe explicarse su régimen.</x:v>
      </x:c>
      <x:c r="O12" s="35" t="str">
        <x:v>Una actuación prevista puede no estar autorizada; una actuación urgente autorizada previamente puede no figurar en el plan ordinario.</x:v>
      </x:c>
      <x:c r="P12" s="35" t="str">
        <x:v>Una pertenencia a un conjunto de actuaciones previamente fijado; no mide calidad del plan ni suficiencia de la planificación.</x:v>
      </x:c>
      <x:c r="Q12" s="35" t="str">
        <x:v>N01 op.exp.5; B01 §§3.3.1–3.3.3; ADJ1 §2.3</x:v>
      </x:c>
    </x:row>
  </x:sheetData>
  <x:mergeCells>
    <x:mergeCell ref="A1:D1"/>
    <x:mergeCell ref="A2:F2"/>
  </x:mergeCells>
  <x:pageMargins left="0.7" right="0.7" top="0.75" bottom="0.75" header="0.3" footer="0.3"/>
  <x:tableParts count="1">
    <x:tablePart xmlns:r="http://schemas.openxmlformats.org/officeDocument/2006/relationships" r:id="Rc59598e6d25045dc"/>
  </x:tableParts>
</x:worksheet>
</file>

<file path=xl/worksheets/sheet7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8" hidden="0" customWidth="1"/>
    <x:col min="3" max="3" width="58" hidden="0" customWidth="1"/>
    <x:col min="4" max="4" width="58" hidden="0" customWidth="1"/>
    <x:col min="5" max="5" width="136" hidden="0" customWidth="1"/>
    <x:col min="6" max="6" width="90" hidden="0" customWidth="1"/>
    <x:col min="7" max="7" width="100" hidden="0" customWidth="1"/>
    <x:col min="8" max="8" width="72" hidden="0" customWidth="1"/>
  </x:cols>
  <x:sheetData>
    <x:row r="1" ht="34" customHeight="1">
      <x:c r="A1" s="36" t="str">
        <x:v>Hallazgos, controles y conocimiento educativo</x:v>
      </x:c>
      <x:c r="B1" s="35"/>
      <x:c r="C1" s="35"/>
      <x:c r="D1" s="35"/>
      <x:c r="E1" s="35"/>
      <x:c r="F1" s="35"/>
      <x:c r="G1" s="35"/>
      <x:c r="H1" s="35"/>
    </x:row>
    <x:row r="2" ht="48" customHeight="1">
      <x:c r="A2" s="37" t="str">
        <x:v>Doce hallazgos, dieciséis controles, dieciséis candidatos sin nuevo átomo y seis actividades educativas propuestas.</x:v>
      </x:c>
      <x:c r="B2" s="35"/>
      <x:c r="C2" s="35"/>
      <x:c r="D2" s="35"/>
      <x:c r="E2" s="35"/>
      <x:c r="F2" s="35"/>
      <x:c r="G2" s="35"/>
      <x:c r="H2" s="35"/>
    </x:row>
    <x:row r="3">
      <x:c r="A3" s="35"/>
      <x:c r="B3" s="35"/>
      <x:c r="C3" s="35"/>
      <x:c r="D3" s="35"/>
      <x:c r="E3" s="35"/>
      <x:c r="F3" s="35"/>
      <x:c r="G3" s="35"/>
      <x:c r="H3" s="35"/>
    </x:row>
    <x:row r="4" ht="62" customHeight="1">
      <x:c r="A4" s="51" t="str">
        <x:v>Tipo</x:v>
      </x:c>
      <x:c r="B4" s="51" t="str">
        <x:v>Identidad</x:v>
      </x:c>
      <x:c r="C4" s="51" t="str">
        <x:v>Necesidad</x:v>
      </x:c>
      <x:c r="D4" s="51" t="str">
        <x:v>Clasificación</x:v>
      </x:c>
      <x:c r="E4" s="51" t="str">
        <x:v>Contrato o argumento</x:v>
      </x:c>
      <x:c r="F4" s="51" t="str">
        <x:v>Contraejemplo o consecuencia</x:v>
      </x:c>
      <x:c r="G4" s="51" t="str">
        <x:v>Resolución o destino</x:v>
      </x:c>
      <x:c r="H4" s="51" t="str">
        <x:v>Fundamento</x:v>
      </x:c>
    </x:row>
    <x:row r="5" ht="48" customHeight="1">
      <x:c r="A5" s="35" t="str">
        <x:v>Hallazgo</x:v>
      </x:c>
      <x:c r="B5" s="35" t="str">
        <x:v>HP01</x:v>
      </x:c>
      <x:c r="C5" s="35" t="str">
        <x:v>Insuficiencia del cierre de 24 parámetros</x:v>
      </x:c>
      <x:c r="D5" s="35" t="str">
        <x:v>Material</x:v>
      </x:c>
      <x:c r="E5" s="35" t="str">
        <x:v>C11 y QCY-07-D3 mencionaban autoridad, pero no separaban hechos que pueden variar con el mismo estado técnico.</x:v>
      </x:c>
      <x:c r="F5" s="35" t="str">
        <x:v>Actualización satisfactoria; permiso para otro activo.</x:v>
      </x:c>
      <x:c r="G5" s="35" t="str">
        <x:v>P25–P32 y control de composición de autoridad.</x:v>
      </x:c>
      <x:c r="H5" s="35" t="str">
        <x:v>N01; N06; N09</x:v>
      </x:c>
    </x:row>
    <x:row r="6" ht="48" customHeight="1">
      <x:c r="A6" s="35" t="str">
        <x:v>Hallazgo</x:v>
      </x:c>
      <x:c r="B6" s="35" t="str">
        <x:v>HP02</x:v>
      </x:c>
      <x:c r="C6" s="35" t="str">
        <x:v>Admisión de evidencia y legitimidad del acto</x:v>
      </x:c>
      <x:c r="D6" s="35" t="str">
        <x:v>Material</x:v>
      </x:c>
      <x:c r="E6" s="35" t="str">
        <x:v>La autorización para observar o custodiar no se confunde con el permiso del ejecutor observado.</x:v>
      </x:c>
      <x:c r="F6" s="35" t="str">
        <x:v>Un registro auténtico demuestra una actuación no autorizada.</x:v>
      </x:c>
      <x:c r="G6" s="35" t="str">
        <x:v>C02 revisado: conservar el hecho técnico y el defecto de autorización sin excluir la prueba por ese defecto.</x:v>
      </x:c>
      <x:c r="H6" s="35" t="str">
        <x:v>N01 art. 24; N02B art. 5; N09</x:v>
      </x:c>
    </x:row>
    <x:row r="7" ht="48" customHeight="1">
      <x:c r="A7" s="35" t="str">
        <x:v>Hallazgo</x:v>
      </x:c>
      <x:c r="B7" s="35" t="str">
        <x:v>HP03</x:v>
      </x:c>
      <x:c r="C7" s="35" t="str">
        <x:v>Identidad, autenticación y atribución</x:v>
      </x:c>
      <x:c r="D7" s="35" t="str">
        <x:v>Material</x:v>
      </x:c>
      <x:c r="E7" s="35" t="str">
        <x:v>Una cuenta, un canal cifrado y un resultado de autenticación tienen alcances probatorios distintos.</x:v>
      </x:c>
      <x:c r="F7" s="35" t="str">
        <x:v>Credencial robada; llamada que suplanta al técnico; cuenta compartida.</x:v>
      </x:c>
      <x:c r="G7" s="35" t="str">
        <x:v>P07 por criterio de autenticación; P25; identidad canónica y límites de atribución expresos.</x:v>
      </x:c>
      <x:c r="H7" s="35" t="str">
        <x:v>N06; N07; N09</x:v>
      </x:c>
    </x:row>
    <x:row r="8" ht="48" customHeight="1">
      <x:c r="A8" s="35" t="str">
        <x:v>Hallazgo</x:v>
      </x:c>
      <x:c r="B8" s="35" t="str">
        <x:v>HP04</x:v>
      </x:c>
      <x:c r="C8" s="35" t="str">
        <x:v>Delegación entre humano, servicio y agente</x:v>
      </x:c>
      <x:c r="D8" s="35" t="str">
        <x:v>Material</x:v>
      </x:c>
      <x:c r="E8" s="35" t="str">
        <x:v>Un agente necesita identidad propia y una delegación limitada; no hereda todas las facultades del usuario.</x:v>
      </x:c>
      <x:c r="F8" s="35" t="str">
        <x:v>El humano puede reiniciar; el agente sólo puede consultar y aun así presenta el permiso del humano.</x:v>
      </x:c>
      <x:c r="G8" s="35" t="str">
        <x:v>Cadena finita de permisos por arista, principal actuante y principal por cuya cuenta actúa.</x:v>
      </x:c>
      <x:c r="H8" s="35" t="str">
        <x:v>N06; N10</x:v>
      </x:c>
    </x:row>
    <x:row r="9" ht="48" customHeight="1">
      <x:c r="A9" s="35" t="str">
        <x:v>Hallazgo</x:v>
      </x:c>
      <x:c r="B9" s="35" t="str">
        <x:v>HP05</x:v>
      </x:c>
      <x:c r="C9" s="35" t="str">
        <x:v>Tiempo y prueba del orden</x:v>
      </x:c>
      <x:c r="D9" s="35" t="str">
        <x:v>Material</x:v>
      </x:c>
      <x:c r="E9" s="35" t="str">
        <x:v>Hora del hecho, del registro y del sellado no son sinónimos.</x:v>
      </x:c>
      <x:c r="F9" s="35" t="str">
        <x:v>Un sello válido protege un documento que declara retrospectivamente una fecha de autorización.</x:v>
      </x:c>
      <x:c r="G9" s="35" t="str">
        <x:v>P28–P30; incertidumbre temporal, fuente de reloj y alcance de la comprobación.</x:v>
      </x:c>
      <x:c r="H9" s="35" t="str">
        <x:v>N03B; N03C; N01 op.exp.8 y mp.info.4</x:v>
      </x:c>
    </x:row>
    <x:row r="10" ht="48" customHeight="1">
      <x:c r="A10" s="35" t="str">
        <x:v>Hallazgo</x:v>
      </x:c>
      <x:c r="B10" s="35" t="str">
        <x:v>HP06</x:v>
      </x:c>
      <x:c r="C10" s="35" t="str">
        <x:v>Privacidad de las propias pruebas</x:v>
      </x:c>
      <x:c r="D10" s="35" t="str">
        <x:v>Material</x:v>
      </x:c>
      <x:c r="E10" s="35" t="str">
        <x:v>El registro de seguridad puede contener datos personales y datos de salud; la trazabilidad no legitima cualquier copia o retención.</x:v>
      </x:c>
      <x:c r="F10" s="35" t="str">
        <x:v>El informe del parche incluye una historia clínica y nombres de empleados sin necesidad para su destinatario.</x:v>
      </x:c>
      <x:c r="G10" s="35" t="str">
        <x:v>C15: original bajo custodia competente; vistas mínimas por destinatario; retención y acceso justificados.</x:v>
      </x:c>
      <x:c r="H10" s="35" t="str">
        <x:v>N02B; N09; ADJ1</x:v>
      </x:c>
    </x:row>
    <x:row r="11" ht="48" customHeight="1">
      <x:c r="A11" s="35" t="str">
        <x:v>Hallazgo</x:v>
      </x:c>
      <x:c r="B11" s="35" t="str">
        <x:v>HP07</x:v>
      </x:c>
      <x:c r="C11" s="35" t="str">
        <x:v>Anonimización indebidamente inferida</x:v>
      </x:c>
      <x:c r="D11" s="35" t="str">
        <x:v>Material</x:v>
      </x:c>
      <x:c r="E11" s="35" t="str">
        <x:v>Seudonimizar o cifrar no acredita anonimización; quitar el nombre puede dejar una persona singularizable.</x:v>
      </x:c>
      <x:c r="F11" s="35" t="str">
        <x:v>Identificadores sustituidos por hashes de un espacio pequeño o combinación de fechas y diagnósticos.</x:v>
      </x:c>
      <x:c r="G11" s="35" t="str">
        <x:v>No introducir un átomo datos anónimos. Exigir evaluación de reidentificación, finalidad y contexto de publicación.</x:v>
      </x:c>
      <x:c r="H11" s="35" t="str">
        <x:v>N09, anonimización; N02B considerando 26</x:v>
      </x:c>
    </x:row>
    <x:row r="12" ht="48" customHeight="1">
      <x:c r="A12" s="35" t="str">
        <x:v>Hallazgo</x:v>
      </x:c>
      <x:c r="B12" s="35" t="str">
        <x:v>HP08</x:v>
      </x:c>
      <x:c r="C12" s="35" t="str">
        <x:v>Cobertura real de SASE y SaaS</x:v>
      </x:c>
      <x:c r="D12" s="35" t="str">
        <x:v>Material</x:v>
      </x:c>
      <x:c r="E12" s="35" t="str">
        <x:v>Un control configurado sólo puede acreditar el tráfico, datos y vías que observa.</x:v>
      </x:c>
      <x:c r="F12" s="35" t="str">
        <x:v>Servicio publicado por túnel; la llamada saliente del servidor usa una ruta distinta.</x:v>
      </x:c>
      <x:c r="G12" s="35" t="str">
        <x:v>C05/C06: dirección del flujo y recorrido real; separación CASB por API, inspección en tránsito y procesamiento posterior.</x:v>
      </x:c>
      <x:c r="H12" s="35" t="str">
        <x:v>N05; ADJ2</x:v>
      </x:c>
    </x:row>
    <x:row r="13" ht="48" customHeight="1">
      <x:c r="A13" s="35" t="str">
        <x:v>Hallazgo</x:v>
      </x:c>
      <x:c r="B13" s="35" t="str">
        <x:v>HP09</x:v>
      </x:c>
      <x:c r="C13" s="35" t="str">
        <x:v>Aplicabilidad normativa y edición</x:v>
      </x:c>
      <x:c r="D13" s="35" t="str">
        <x:v>Material</x:v>
      </x:c>
      <x:c r="E13" s="35" t="str">
        <x:v>Se distinguían referencias, pero faltaba el caso regulado explícito para el universo.</x:v>
      </x:c>
      <x:c r="F13" s="35" t="str">
        <x:v>Imponer sello cualificado a todo reinicio o dar por aplicables todas las obligaciones futuras del EHDS.</x:v>
      </x:c>
      <x:c r="G13" s="35" t="str">
        <x:v>C16: jurisdicción, sujeto, servicio, categoría/dimensión, función, fecha y edición; motivar obligación o exclusión.</x:v>
      </x:c>
      <x:c r="H13" s="35" t="str">
        <x:v>N01; N04; ADJ1</x:v>
      </x:c>
    </x:row>
    <x:row r="14" ht="48" customHeight="1">
      <x:c r="A14" s="35" t="str">
        <x:v>Hallazgo</x:v>
      </x:c>
      <x:c r="B14" s="35" t="str">
        <x:v>HP10</x:v>
      </x:c>
      <x:c r="C14" s="35" t="str">
        <x:v>Identidad del documento CCN recibido</x:v>
      </x:c>
      <x:c r="D14" s="35" t="str">
        <x:v>Bibliográfico</x:v>
      </x:c>
      <x:c r="E14" s="35" t="str">
        <x:v>El nombre del archivo conserva una denominación antigua, también presente en el enlace oficial.</x:v>
      </x:c>
      <x:c r="F14" s="35" t="str">
        <x:v>Citar el PDF como certificación de productos sin leer su portada.</x:v>
      </x:c>
      <x:c r="G14" s="35" t="str">
        <x:v>Título real: Ciberseguridad de espacios de datos, CCN-STIC 813, abril de 2024; 30 páginas.</x:v>
      </x:c>
      <x:c r="H14" s="35" t="str">
        <x:v>ADJ1; catálogo y noticia oficial CCN</x:v>
      </x:c>
    </x:row>
    <x:row r="15" ht="48" customHeight="1">
      <x:c r="A15" s="35" t="str">
        <x:v>Hallazgo</x:v>
      </x:c>
      <x:c r="B15" s="35" t="str">
        <x:v>HP11</x:v>
      </x:c>
      <x:c r="C15" s="35" t="str">
        <x:v>Precisión aparente de la estimación</x:v>
      </x:c>
      <x:c r="D15" s="35" t="str">
        <x:v>Metodológico</x:v>
      </x:c>
      <x:c r="E15" s="35" t="str">
        <x:v>29/38/59 eran sumas de hipótesis editoriales, no límites demostrados del dominio.</x:v>
      </x:c>
      <x:c r="F15" s="35" t="str">
        <x:v>Presentar 38 como cantidad objetiva deducida de las asignaturas.</x:v>
      </x:c>
      <x:c r="G15" s="35" t="str">
        <x:v>59 productos candidatos explícitos y reglas de agrupación para cada escenario; presupuestos y reutilización separados.</x:v>
      </x:c>
      <x:c r="H15" s="35" t="str">
        <x:v>Estimación v0.2 y adjudicación propia</x:v>
      </x:c>
    </x:row>
    <x:row r="16" ht="48" customHeight="1">
      <x:c r="A16" s="35" t="str">
        <x:v>Hallazgo</x:v>
      </x:c>
      <x:c r="B16" s="35" t="str">
        <x:v>HP12</x:v>
      </x:c>
      <x:c r="C16" s="35" t="str">
        <x:v>Autoridad preservada frente a autoridad ejecutada</x:v>
      </x:c>
      <x:c r="D16" s="35" t="str">
        <x:v>Límite de capacidad</x:v>
      </x:c>
      <x:c r="E16" s="35" t="str">
        <x:v>LIG/0.1 conserva referencias exactas; su contrato excluye autenticar, conceder permisos y producir Tri.</x:v>
      </x:c>
      <x:c r="F16" s="35" t="str">
        <x:v>Un manifiesto coherente contiene una declaración de autoridad que nadie competente emitió.</x:v>
      </x:c>
      <x:c r="G16" s="35" t="str">
        <x:v>Requisitos por operación, sin afirmar un defecto del núcleo por una capacidad expresamente excluida.</x:v>
      </x:c>
      <x:c r="H16" s="35" t="str">
        <x:v>IR y bindings en 66967a80; RETP-105</x:v>
      </x:c>
    </x:row>
    <x:row r="17" ht="80" customHeight="1">
      <x:c r="A17" s="35" t="str">
        <x:v>Control</x:v>
      </x:c>
      <x:c r="B17" s="35" t="str">
        <x:v>C01</x:v>
      </x:c>
      <x:c r="C17" s="35" t="str">
        <x:v>Identidad y aplicabilidad</x:v>
      </x:c>
      <x:c r="D17" s="35" t="str">
        <x:v>Contrato compuesto</x:v>
      </x:c>
      <x:c r="E17" s="35" t="str">
        <x:v>Identificar activo, componente, vulnerabilidad, actualización, episodio y horizonte. Resolver por separado las condiciones del aviso aplicable: plataforma, arquitectura, versión, precursor y configuración. Si falta una condición decisiva, la aplicabilidad queda sin resolver. Una exclusión exige evidencia de que la regla no corresponde al caso.</x:v>
      </x:c>
      <x:c r="F17" s="35" t="str">
        <x:v>Nombre coincidente en otro equipo; paquete para otra arquitectura; condición desconocida.</x:v>
      </x:c>
      <x:c r="G17" s="35" t="str">
        <x:v>Versión vigente para esta revisión</x:v>
      </x:c>
      <x:c r="H17" s="35" t="str">
        <x:v>T001 §3.2; B03 §§3.3–3.6</x:v>
      </x:c>
    </x:row>
    <x:row r="18" ht="96" customHeight="1">
      <x:c r="A18" s="35" t="str">
        <x:v>Control</x:v>
      </x:c>
      <x:c r="B18" s="35" t="str">
        <x:v>C02</x:v>
      </x:c>
      <x:c r="C18" s="35" t="str">
        <x:v>Admisión de evidencia</x:v>
      </x:c>
      <x:c r="D18" s="35" t="str">
        <x:v>Contrato compuesto</x:v>
      </x:c>
      <x:c r="E18" s="35" t="str">
        <x:v>Distinguir procedencia, integridad, autenticidad, legalidad de adquisición y permiso para observar de la legitimidad del acto observado. Una prueba admisible de una actuación no autorizada conserva el resultado técnico y permite registrar el incumplimiento. Si la adquisición no es admisible, conservar el registro de no admisión y tramitar la custodia competente, sin fabricar una salida del dominio. Los originales quedan bajo acceso y retención justificados; el expediente compartido usa una vista mínima trazable.</x:v>
      </x:c>
      <x:c r="F18" s="35" t="str">
        <x:v>Huella rehecha sobre evidencia falsificada; firma válida de autor no autorizado; lector sin permisos; tipo cambiado.</x:v>
      </x:c>
      <x:c r="G18" s="35" t="str">
        <x:v>Versión vigente para esta revisión</x:v>
      </x:c>
      <x:c r="H18" s="35" t="str">
        <x:v>T001 §2.3.1; F018 §7.4; B03 §§3.13, 3.15, 3.25; N01; N02B; N05–N07; N09; N10, según HP01–HP12</x:v>
      </x:c>
    </x:row>
    <x:row r="19" ht="64" customHeight="1">
      <x:c r="A19" s="35" t="str">
        <x:v>Control</x:v>
      </x:c>
      <x:c r="B19" s="35" t="str">
        <x:v>C03</x:v>
      </x:c>
      <x:c r="C19" s="35" t="str">
        <x:v>Correspondencia e interpretación de resultados</x:v>
      </x:c>
      <x:c r="D19" s="35" t="str">
        <x:v>Contrato compuesto</x:v>
      </x:c>
      <x:c r="E19" s="35" t="str">
        <x:v>Vincular cada resultado al intento y elemento originales. Conservar códigos y errores completos. Un éxito con errores exige analizar qué efectos se produjeron; no prueba éxito íntegro ni ausencia total de modificación. El fallo de instalación es un hecho distinto del fallo al observarla.</x:v>
      </x:c>
      <x:c r="F19" s="35" t="str">
        <x:v>Índice de otra colección; éxito agregado con elemento fallido; confusión entre error de operación y de lectura.</x:v>
      </x:c>
      <x:c r="G19" s="35" t="str">
        <x:v>Versión vigente para esta revisión</x:v>
      </x:c>
      <x:c r="H19" s="35" t="str">
        <x:v>T004–T006</x:v>
      </x:c>
    </x:row>
    <x:row r="20" ht="64" customHeight="1">
      <x:c r="A20" s="35" t="str">
        <x:v>Control</x:v>
      </x:c>
      <x:c r="B20" s="35" t="str">
        <x:v>C04</x:v>
      </x:c>
      <x:c r="C20" s="35" t="str">
        <x:v>Integridad de obligaciones</x:v>
      </x:c>
      <x:c r="D20" s="35" t="str">
        <x:v>Contrato compuesto</x:v>
      </x:c>
      <x:c r="E20" s="35" t="str">
        <x:v>Enumerar las obligaciones específicas y sus efectos exigidos. Cada obligación se asigna a una de las ocho clases y a estados de cumplimiento individualizados. Una lista vacía exige evidencia de que no existen acciones adicionales. Ninguna obligación pertinente queda sustituida por un texto genérico de suficiencia.</x:v>
      </x:c>
      <x:c r="F20" s="35" t="str">
        <x:v>Sólo se comprueba un efecto de una acción compuesta; lista vacía sin fuente; nueva clase añadida durante el consejo.</x:v>
      </x:c>
      <x:c r="G20" s="35" t="str">
        <x:v>Versión vigente para esta revisión</x:v>
      </x:c>
      <x:c r="H20" s="35" t="str">
        <x:v>T001 §2.3.2; B01 §3.3.2</x:v>
      </x:c>
    </x:row>
    <x:row r="21" ht="80" customHeight="1">
      <x:c r="A21" s="35" t="str">
        <x:v>Control</x:v>
      </x:c>
      <x:c r="B21" s="35" t="str">
        <x:v>C05</x:v>
      </x:c>
      <x:c r="C21" s="35" t="str">
        <x:v>Cobertura de sujetos y dependencias</x:v>
      </x:c>
      <x:c r="D21" s="35" t="str">
        <x:v>Contrato compuesto</x:v>
      </x:c>
      <x:c r="E21" s="35" t="str">
        <x:v>Conservar la cobertura finita anterior y añadir principales humanos y de servicio, permisos, delegaciones, vías de administración, destinos de datos, repositorios de pruebas y flujos de salida pertinentes. Cada frontera externa conserva responsable, evidencia, contrato y alcance. Un servicio detrás de una pasarela no acredita que todo su tráfico saliente o sus integraciones pasen por ella.</x:v>
      </x:c>
      <x:c r="F21" s="35" t="str">
        <x:v>Segunda réplica omitida; recurso compartido sin titular; ciclo de dependencias; inventario vacío injustificado.</x:v>
      </x:c>
      <x:c r="G21" s="35" t="str">
        <x:v>Versión vigente para esta revisión</x:v>
      </x:c>
      <x:c r="H21" s="35" t="str">
        <x:v>T001 §3.2; B01 §3.3.3; B04 §3; N01; N02B; N05–N07; N09; N10, según HP01–HP12</x:v>
      </x:c>
    </x:row>
    <x:row r="22" ht="80" customHeight="1">
      <x:c r="A22" s="35" t="str">
        <x:v>Control</x:v>
      </x:c>
      <x:c r="B22" s="35" t="str">
        <x:v>C06</x:v>
      </x:c>
      <x:c r="C22" s="35" t="str">
        <x:v>Validez de la comprobación</x:v>
      </x:c>
      <x:c r="D22" s="35" t="str">
        <x:v>Contrato compuesto</x:v>
      </x:c>
      <x:c r="E22" s="35" t="str">
        <x:v>Mantener criterio previo y sensibilidad propia. P07 puede registrar cada comprobación criptográfica o de autenticación cualificada, sin convertir su éxito en competencia, atribución personal cierta o autorización completa. El estado real del acto y la validez de su permiso exigen relaciones adicionales. Ausencia de alerta DLP no acredita anonimización ni ausencia de exfiltración.</x:v>
      </x:c>
      <x:c r="F22" s="35" t="str">
        <x:v>Escáner sin acceso; versión detectada sin corrección íntegra; dos herramientas con igual limitación; criterio elegido después del resultado.</x:v>
      </x:c>
      <x:c r="G22" s="35" t="str">
        <x:v>Versión vigente para esta revisión</x:v>
      </x:c>
      <x:c r="H22" s="35" t="str">
        <x:v>F018 §§4.3, 6.5, 7.3; B08 §1; B09 §1; N01; N02B; N05–N07; N09; N10, según HP01–HP12</x:v>
      </x:c>
    </x:row>
    <x:row r="23" ht="64" customHeight="1">
      <x:c r="A23" s="35" t="str">
        <x:v>Control</x:v>
      </x:c>
      <x:c r="B23" s="35" t="str">
        <x:v>C07</x:v>
      </x:c>
      <x:c r="C23" s="35" t="str">
        <x:v>Vigencia y orden de los hechos</x:v>
      </x:c>
      <x:c r="D23" s="35" t="str">
        <x:v>Contrato compuesto</x:v>
      </x:c>
      <x:c r="E23" s="35" t="str">
        <x:v>Conservar cambio y retorno; añadir tiempos de acto, emisión, registro, sellado, recepción y efecto jurídico/institucional. Tratar intervalos de incertidumbre y fuentes de tiempo. Una revocación es evidencia del caso bajo regla fija, no aprendizaje de conocimiento. Reevaluar sólo las dependencias y el horizonte afectados.</x:v>
      </x:c>
      <x:c r="F23" s="35" t="str">
        <x:v>Extremos iguales con cambio intermedio; sincronización de otra escritura; restauración fuera del ámbito de la prueba.</x:v>
      </x:c>
      <x:c r="G23" s="35" t="str">
        <x:v>Versión vigente para esta revisión</x:v>
      </x:c>
      <x:c r="H23" s="35" t="str">
        <x:v>T001 §2.3.4; B01 §§3.3.4, 3.4; B06; N01; N02B; N05–N07; N09; N10, según HP01–HP12</x:v>
      </x:c>
    </x:row>
    <x:row r="24" ht="80" customHeight="1">
      <x:c r="A24" s="35" t="str">
        <x:v>Control</x:v>
      </x:c>
      <x:c r="B24" s="35" t="str">
        <x:v>C08</x:v>
      </x:c>
      <x:c r="C24" s="35" t="str">
        <x:v>Impactos sobre servicios y datos</x:v>
      </x:c>
      <x:c r="D24" s="35" t="str">
        <x:v>Contrato compuesto</x:v>
      </x:c>
      <x:c r="E24" s="35" t="str">
        <x:v>Conservar funciones, datos y consecuencias; añadir confidencialidad de registros y telemetría, atribución falsa a una persona, acceso no autorizado y perjuicio a derechos. Separar posibilidad de daño, daño constatado y atribución causal. La conservación de trazabilidad no justifica difusión indiscriminada de identidades o datos de salud.</x:v>
      </x:c>
      <x:c r="F24" s="35" t="str">
        <x:v>Equipo barato del que depende un servicio de alto valor; impacto no monetizado convertido en cero.</x:v>
      </x:c>
      <x:c r="G24" s="35" t="str">
        <x:v>Versión vigente para esta revisión</x:v>
      </x:c>
      <x:c r="H24" s="35" t="str">
        <x:v>B01 §3.3.3; B10 §3.2; N01; N02B; N05–N07; N09; N10, según HP01–HP12</x:v>
      </x:c>
    </x:row>
    <x:row r="25" ht="64" customHeight="1">
      <x:c r="A25" s="35" t="str">
        <x:v>Control</x:v>
      </x:c>
      <x:c r="B25" s="35" t="str">
        <x:v>C09</x:v>
      </x:c>
      <x:c r="C25" s="35" t="str">
        <x:v>Comparación de alternativas</x:v>
      </x:c>
      <x:c r="D25" s="35" t="str">
        <x:v>Contrato compuesto</x:v>
      </x:c>
      <x:c r="E25" s="35" t="str">
        <x:v>Describir completar, aplazar con medidas, sustituir, aislar o recuperar cuando sean pertinentes. Comparar el efecto corrector, los perjuicios y los requisitos de cada opción. Una medida compensatoria o una aceptación de riesgo no se presenta como corrección realizada.</x:v>
      </x:c>
      <x:c r="F25" s="35" t="str">
        <x:v>Aislamiento tratado como parche aplicado; restauración propuesta sin conocer su capacidad o alcance.</x:v>
      </x:c>
      <x:c r="G25" s="35" t="str">
        <x:v>Versión vigente para esta revisión</x:v>
      </x:c>
      <x:c r="H25" s="35" t="str">
        <x:v>T001 §§3.3–3.5; B10 §§3.4, 4.3</x:v>
      </x:c>
    </x:row>
    <x:row r="26" ht="64" customHeight="1">
      <x:c r="A26" s="35" t="str">
        <x:v>Control</x:v>
      </x:c>
      <x:c r="B26" s="35" t="str">
        <x:v>C10</x:v>
      </x:c>
      <x:c r="C26" s="35" t="str">
        <x:v>Viabilidad temporal</x:v>
      </x:c>
      <x:c r="D26" s="35" t="str">
        <x:v>Contrato compuesto</x:v>
      </x:c>
      <x:c r="E26" s="35" t="str">
        <x:v>Declarar ventana, duración de actuación, validación y recuperación, con dependencias y márgenes justificados. Las estimaciones desconocidas se mantienen abiertas. Este análisis sólo se activa si el consejo contempla una actuación pendiente.</x:v>
      </x:c>
      <x:c r="F26" s="35" t="str">
        <x:v>Duración de reinicio considerada sin tiempo de recuperación; ventana disponible confundida con permiso.</x:v>
      </x:c>
      <x:c r="G26" s="35" t="str">
        <x:v>Versión vigente para esta revisión</x:v>
      </x:c>
      <x:c r="H26" s="35" t="str">
        <x:v>B10 §3.2; B01 §3.3.2</x:v>
      </x:c>
    </x:row>
    <x:row r="27" ht="96" customHeight="1">
      <x:c r="A27" s="35" t="str">
        <x:v>Control</x:v>
      </x:c>
      <x:c r="B27" s="35" t="str">
        <x:v>C11</x:v>
      </x:c>
      <x:c r="C27" s="35" t="str">
        <x:v>Autoridad concreta</x:v>
      </x:c>
      <x:c r="D27" s="35" t="str">
        <x:v>Contrato compuesto</x:v>
      </x:c>
      <x:c r="E27" s="35" t="str">
        <x:v>Componer identidad de principal, autenticación y atribución con competencia del emisor, alcance, vigencia, revocación, emisión previa y separación de funciones cuando proceda. La actuación prevista se distingue de la autorizada. Examinar cada arista de delegación, sus restricciones y el principal efectivo; no aceptar autoatribución de facultades por la IA. La autoridad humana del proyecto admite conocimiento; la organización competente concede permisos materiales, y ambos actos permanecen distintos.</x:v>
      </x:c>
      <x:c r="F27" s="35" t="str">
        <x:v>Permiso para otro activo; autorización vencida; IA que se concede una excepción.</x:v>
      </x:c>
      <x:c r="G27" s="35" t="str">
        <x:v>Versión vigente para esta revisión</x:v>
      </x:c>
      <x:c r="H27" s="35" t="str">
        <x:v>B01 §§3.3.1–3.3.2; SV-IN y mandato humano posterior; N01; N02B; N05–N07; N09; N10, según HP01–HP12</x:v>
      </x:c>
    </x:row>
    <x:row r="28" ht="80" customHeight="1">
      <x:c r="A28" s="35" t="str">
        <x:v>Control</x:v>
      </x:c>
      <x:c r="B28" s="35" t="str">
        <x:v>C12</x:v>
      </x:c>
      <x:c r="C28" s="35" t="str">
        <x:v>Proporcionalidad de coste y valor</x:v>
      </x:c>
      <x:c r="D28" s="35" t="str">
        <x:v>Contrato compuesto</x:v>
      </x:c>
      <x:c r="E28" s="35" t="str">
        <x:v>Conservar coste total y valor protegido por servicio y horizonte, incluidos derechos y daños no monetizados. Las alternativas deben satisfacer primero las obligaciones aplicables. No se convierte el precio del equipo en límite del valor protegido ni se permite omitir un requisito obligatorio por resultar caro. La decisión de suspender, sustituir o rediseñar el servicio corresponde al responsable competente.</x:v>
      </x:c>
      <x:c r="F28" s="35" t="str">
        <x:v>Coste de seguridad comparado sólo con precio del equipo; suma de pérdidas que representan el mismo perjuicio.</x:v>
      </x:c>
      <x:c r="G28" s="35" t="str">
        <x:v>Versión vigente para esta revisión</x:v>
      </x:c>
      <x:c r="H28" s="35" t="str">
        <x:v>R035; T001 §3.1; B10 §3.2; principio del Director; N01; N02B; N05–N07; N09; N10, según HP01–HP12</x:v>
      </x:c>
    </x:row>
    <x:row r="29" ht="80" customHeight="1">
      <x:c r="A29" s="35" t="str">
        <x:v>Control</x:v>
      </x:c>
      <x:c r="B29" s="35" t="str">
        <x:v>C13</x:v>
      </x:c>
      <x:c r="C29" s="35" t="str">
        <x:v>Dictamen explicado</x:v>
      </x:c>
      <x:c r="D29" s="35" t="str">
        <x:v>Contrato compuesto</x:v>
      </x:c>
      <x:c r="E29" s="35" t="str">
        <x:v>Conservar explicación reconstruible y distinguir resultado técnico, legitimidad de actuación, insuficiencias y consejo al experto. La explicación identifica referencias mínimas a pruebas y permisos, con vistas por destinatario; el acceso a la identidad personal detallada tiene control propio. El informe documental no se denomina Frame sin arquitectura SV constituida. Un fallo técnico no produce una salida alternativa del dominio.</x:v>
      </x:c>
      <x:c r="F29" s="35" t="str">
        <x:v>Conclusión sin relación causal declarada; suma de estados heterogéneos; incertidumbre omitida.</x:v>
      </x:c>
      <x:c r="G29" s="35" t="str">
        <x:v>Versión vigente para esta revisión</x:v>
      </x:c>
      <x:c r="H29" s="35" t="str">
        <x:v>SV-IN; SV-AT; N01; N02B; N05–N07; N09; N10, según HP01–HP12</x:v>
      </x:c>
    </x:row>
    <x:row r="30" ht="64" customHeight="1">
      <x:c r="A30" s="35" t="str">
        <x:v>Control</x:v>
      </x:c>
      <x:c r="B30" s="35" t="str">
        <x:v>C14</x:v>
      </x:c>
      <x:c r="C30" s="35" t="str">
        <x:v>Control de versiones del conocimiento</x:v>
      </x:c>
      <x:c r="D30" s="35" t="str">
        <x:v>Contrato compuesto</x:v>
      </x:c>
      <x:c r="E30" s="35" t="str">
        <x:v>Fijar las fuentes y reglas antes de cada evaluación. Adquirir novedades en una actividad separada y someter su admisión a decisión humana. Los cambios de catálogos externos pueden exigir revisión, pero no sustituyen automáticamente el conocimiento ni añaden valores a Tri.</x:v>
      </x:c>
      <x:c r="F30" s="35" t="str">
        <x:v>Uso de latest; cambio de CVE equiparado a técnica retirada de otro catálogo; actualización silenciosa de criterio.</x:v>
      </x:c>
      <x:c r="G30" s="35" t="str">
        <x:v>Versión vigente para esta revisión</x:v>
      </x:c>
      <x:c r="H30" s="35" t="str">
        <x:v>SV-IN §§5.4–5.5; mandato del Director</x:v>
      </x:c>
    </x:row>
    <x:row r="31" ht="96" customHeight="1">
      <x:c r="A31" s="35" t="str">
        <x:v>Control</x:v>
      </x:c>
      <x:c r="B31" s="35" t="str">
        <x:v>C15</x:v>
      </x:c>
      <x:c r="C31" s="35" t="str">
        <x:v>Protección de datos en pruebas y explicaciones</x:v>
      </x:c>
      <x:c r="D31" s="35" t="str">
        <x:v>Contrato compuesto</x:v>
      </x:c>
      <x:c r="E31" s="35" t="str">
        <x:v>Fijar finalidad, responsable y encargado cuando proceda, categorías de datos, base del tratamiento y condición aplicable a datos de salud, destinatarios, accesos, transferencias, retención y supresión o bloqueo que corresponda. Justificar cada dato necesario; mantener separada y protegida la tabla de reidentificación. No llamar anónima a una vista seudonimizada. El dominio documental usa testigos sintéticos y no incorpora datos reales. Un original o una huella pueden seguir permitiendo vinculación y requieren evaluación.</x:v>
      </x:c>
      <x:c r="F31" s="35" t="str">
        <x:v>Registro clínico completo publicado para probar un reinicio; misma vista detallada para todos los destinatarios.</x:v>
      </x:c>
      <x:c r="G31" s="35" t="str">
        <x:v>Versión vigente para esta revisión</x:v>
      </x:c>
      <x:c r="H31" s="35" t="str">
        <x:v>N02B arts. 5, 6, 9, 25, 32; N09; ADJ1 §§2.1–2.3</x:v>
      </x:c>
    </x:row>
    <x:row r="32" ht="80" customHeight="1">
      <x:c r="A32" s="35" t="str">
        <x:v>Control</x:v>
      </x:c>
      <x:c r="B32" s="35" t="str">
        <x:v>C16</x:v>
      </x:c>
      <x:c r="C32" s="35" t="str">
        <x:v>Aplicabilidad de obligaciones y perfiles</x:v>
      </x:c>
      <x:c r="D32" s="35" t="str">
        <x:v>Contrato compuesto</x:v>
      </x:c>
      <x:c r="E32" s="35" t="str">
        <x:v>Determinar entidad, jurisdicción, actividad, función, categoría y dimensiones del sistema, fecha relevante y versión de la disposición. Declarar requisitos activados y exclusiones justificadas. Separar ley, guía, norma técnica, evidencia educativa y propuesta de fabricante. La IA aplica conocimiento admitido; un texto nuevo exige adquisición y admisión humana separadas.</x:v>
      </x:c>
      <x:c r="F32" s="35" t="str">
        <x:v>ENS atribuido por etiqueta médica sin examinar su ámbito; exigencia futura del EHDS aplicada ya; producto certificado tomado por sistema conforme.</x:v>
      </x:c>
      <x:c r="G32" s="35" t="str">
        <x:v>Versión vigente para esta revisión</x:v>
      </x:c>
      <x:c r="H32" s="35" t="str">
        <x:v>N01 arts. 2–3 y anexos I–II; N04; ADJ1 §1.4</x:v>
      </x:c>
    </x:row>
    <x:row r="33" ht="48" customHeight="1">
      <x:c r="A33" s="35" t="str">
        <x:v>Candidato</x:v>
      </x:c>
      <x:c r="B33" s="35" t="str">
        <x:v>XA01</x:v>
      </x:c>
      <x:c r="C33" s="35" t="str">
        <x:v>Resultado de autenticación</x:v>
      </x:c>
      <x:c r="D33" s="35" t="str">
        <x:v>Uso de P07</x:v>
      </x:c>
      <x:c r="E33" s="35" t="str">
        <x:v>Resultado de una comprobación con criterio y perfil propios; no se cuenta una identidad nueva por cambiar el criterio.</x:v>
      </x:c>
      <x:c r="F33" s="35" t="str">
        <x:v>No se crea una identidad adicional</x:v>
      </x:c>
      <x:c r="G33" s="35" t="str">
        <x:v>Adjudicación motivada</x:v>
      </x:c>
      <x:c r="H33" s="35" t="str">
        <x:v>Acta v0.3 y bibliografía de presión</x:v>
      </x:c>
    </x:row>
    <x:row r="34" ht="48" customHeight="1">
      <x:c r="A34" s="35" t="str">
        <x:v>Candidato</x:v>
      </x:c>
      <x:c r="B34" s="35" t="str">
        <x:v>XA02</x:v>
      </x:c>
      <x:c r="C34" s="35" t="str">
        <x:v>Firma o sello criptográficamente válido</x:v>
      </x:c>
      <x:c r="D34" s="35" t="str">
        <x:v>Admisión; P07 si su resultado es objeto del consejo</x:v>
      </x:c>
      <x:c r="E34" s="35" t="str">
        <x:v>Verificación, confianza en emisor y competencia son diferentes. No se declara ejecutada criptografía en esta campaña.</x:v>
      </x:c>
      <x:c r="F34" s="35" t="str">
        <x:v>No se crea una identidad adicional</x:v>
      </x:c>
      <x:c r="G34" s="35" t="str">
        <x:v>Adjudicación motivada</x:v>
      </x:c>
      <x:c r="H34" s="35" t="str">
        <x:v>Acta v0.3 y bibliografía de presión</x:v>
      </x:c>
    </x:row>
    <x:row r="35" ht="44" customHeight="1">
      <x:c r="A35" s="35" t="str">
        <x:v>Candidato</x:v>
      </x:c>
      <x:c r="B35" s="35" t="str">
        <x:v>XA03</x:v>
      </x:c>
      <x:c r="C35" s="35" t="str">
        <x:v>Huella de prueba coincidente</x:v>
      </x:c>
      <x:c r="D35" s="35" t="str">
        <x:v>C02</x:v>
      </x:c>
      <x:c r="E35" s="35" t="str">
        <x:v>Fija bytes frente a una referencia confiable; no prueba identidad ni permiso.</x:v>
      </x:c>
      <x:c r="F35" s="35" t="str">
        <x:v>No se crea una identidad adicional</x:v>
      </x:c>
      <x:c r="G35" s="35" t="str">
        <x:v>Adjudicación motivada</x:v>
      </x:c>
      <x:c r="H35" s="35" t="str">
        <x:v>Acta v0.3 y bibliografía de presión</x:v>
      </x:c>
    </x:row>
    <x:row r="36" ht="44" customHeight="1">
      <x:c r="A36" s="35" t="str">
        <x:v>Candidato</x:v>
      </x:c>
      <x:c r="B36" s="35" t="str">
        <x:v>XA04</x:v>
      </x:c>
      <x:c r="C36" s="35" t="str">
        <x:v>Delegación completa válida</x:v>
      </x:c>
      <x:c r="D36" s="35" t="str">
        <x:v>C11 y composición de P26–P30</x:v>
      </x:c>
      <x:c r="E36" s="35" t="str">
        <x:v>Conjunto finito de aristas con raíces, alcance y restricciones; no es una proposición indivisible.</x:v>
      </x:c>
      <x:c r="F36" s="35" t="str">
        <x:v>No se crea una identidad adicional</x:v>
      </x:c>
      <x:c r="G36" s="35" t="str">
        <x:v>Adjudicación motivada</x:v>
      </x:c>
      <x:c r="H36" s="35" t="str">
        <x:v>Acta v0.3 y bibliografía de presión</x:v>
      </x:c>
    </x:row>
    <x:row r="37" ht="44" customHeight="1">
      <x:c r="A37" s="35" t="str">
        <x:v>Candidato</x:v>
      </x:c>
      <x:c r="B37" s="35" t="str">
        <x:v>XA05</x:v>
      </x:c>
      <x:c r="C37" s="35" t="str">
        <x:v>Actuación legalmente autorizada</x:v>
      </x:c>
      <x:c r="D37" s="35" t="str">
        <x:v>C11/C16</x:v>
      </x:c>
      <x:c r="E37" s="35" t="str">
        <x:v>Resultado compuesto y contextual; no se crea un booleano que oculte facultad, alcance, tiempo y excepciones.</x:v>
      </x:c>
      <x:c r="F37" s="35" t="str">
        <x:v>No se crea una identidad adicional</x:v>
      </x:c>
      <x:c r="G37" s="35" t="str">
        <x:v>Adjudicación motivada</x:v>
      </x:c>
      <x:c r="H37" s="35" t="str">
        <x:v>Acta v0.3 y bibliografía de presión</x:v>
      </x:c>
    </x:row>
    <x:row r="38" ht="44" customHeight="1">
      <x:c r="A38" s="35" t="str">
        <x:v>Candidato</x:v>
      </x:c>
      <x:c r="B38" s="35" t="str">
        <x:v>XA06</x:v>
      </x:c>
      <x:c r="C38" s="35" t="str">
        <x:v>Datos anónimos</x:v>
      </x:c>
      <x:c r="D38" s="35" t="str">
        <x:v>C15; contraste especializado</x:v>
      </x:c>
      <x:c r="E38" s="35" t="str">
        <x:v>No es una propiedad deducible de suprimir nombres, cifrar o recibir un informe favorable.</x:v>
      </x:c>
      <x:c r="F38" s="35" t="str">
        <x:v>No se crea una identidad adicional</x:v>
      </x:c>
      <x:c r="G38" s="35" t="str">
        <x:v>Adjudicación motivada</x:v>
      </x:c>
      <x:c r="H38" s="35" t="str">
        <x:v>Acta v0.3 y bibliografía de presión</x:v>
      </x:c>
    </x:row>
    <x:row r="39" ht="44" customHeight="1">
      <x:c r="A39" s="35" t="str">
        <x:v>Candidato</x:v>
      </x:c>
      <x:c r="B39" s="35" t="str">
        <x:v>XA07</x:v>
      </x:c>
      <x:c r="C39" s="35" t="str">
        <x:v>Tratamiento conforme al RGPD</x:v>
      </x:c>
      <x:c r="D39" s="35" t="str">
        <x:v>C15/C16</x:v>
      </x:c>
      <x:c r="E39" s="35" t="str">
        <x:v>Conjunto de obligaciones y valoraciones jurídicas; no se reduce a una variable binaria.</x:v>
      </x:c>
      <x:c r="F39" s="35" t="str">
        <x:v>No se crea una identidad adicional</x:v>
      </x:c>
      <x:c r="G39" s="35" t="str">
        <x:v>Adjudicación motivada</x:v>
      </x:c>
      <x:c r="H39" s="35" t="str">
        <x:v>Acta v0.3 y bibliografía de presión</x:v>
      </x:c>
    </x:row>
    <x:row r="40" ht="48" customHeight="1">
      <x:c r="A40" s="35" t="str">
        <x:v>Candidato</x:v>
      </x:c>
      <x:c r="B40" s="35" t="str">
        <x:v>XA08</x:v>
      </x:c>
      <x:c r="C40" s="35" t="str">
        <x:v>Consentimiento siempre obtenido</x:v>
      </x:c>
      <x:c r="D40" s="35" t="str">
        <x:v>No universal</x:v>
      </x:c>
      <x:c r="E40" s="35" t="str">
        <x:v>El consentimiento no es la única base; en salud deben justificarse la base del artículo 6 y la condición pertinente del artículo 9.</x:v>
      </x:c>
      <x:c r="F40" s="35" t="str">
        <x:v>No se crea una identidad adicional</x:v>
      </x:c>
      <x:c r="G40" s="35" t="str">
        <x:v>Adjudicación motivada</x:v>
      </x:c>
      <x:c r="H40" s="35" t="str">
        <x:v>Acta v0.3 y bibliografía de presión</x:v>
      </x:c>
    </x:row>
    <x:row r="41" ht="44" customHeight="1">
      <x:c r="A41" s="35" t="str">
        <x:v>Candidato</x:v>
      </x:c>
      <x:c r="B41" s="35" t="str">
        <x:v>XA09</x:v>
      </x:c>
      <x:c r="C41" s="35" t="str">
        <x:v>DLP sin alertas</x:v>
      </x:c>
      <x:c r="D41" s="35" t="str">
        <x:v>P07 por criterio y C06</x:v>
      </x:c>
      <x:c r="E41" s="35" t="str">
        <x:v>Conserva sólo el alcance y sensibilidad de esa comprobación.</x:v>
      </x:c>
      <x:c r="F41" s="35" t="str">
        <x:v>No se crea una identidad adicional</x:v>
      </x:c>
      <x:c r="G41" s="35" t="str">
        <x:v>Adjudicación motivada</x:v>
      </x:c>
      <x:c r="H41" s="35" t="str">
        <x:v>Acta v0.3 y bibliografía de presión</x:v>
      </x:c>
    </x:row>
    <x:row r="42" ht="44" customHeight="1">
      <x:c r="A42" s="35" t="str">
        <x:v>Candidato</x:v>
      </x:c>
      <x:c r="B42" s="35" t="str">
        <x:v>XA10</x:v>
      </x:c>
      <x:c r="C42" s="35" t="str">
        <x:v>Todo el tráfico protegido</x:v>
      </x:c>
      <x:c r="D42" s="35" t="str">
        <x:v>C05/C06</x:v>
      </x:c>
      <x:c r="E42" s="35" t="str">
        <x:v>Cobertura y propiedades por flujo, dirección y destino, incluidas salidas y rutas de elusión.</x:v>
      </x:c>
      <x:c r="F42" s="35" t="str">
        <x:v>No se crea una identidad adicional</x:v>
      </x:c>
      <x:c r="G42" s="35" t="str">
        <x:v>Adjudicación motivada</x:v>
      </x:c>
      <x:c r="H42" s="35" t="str">
        <x:v>Acta v0.3 y bibliografía de presión</x:v>
      </x:c>
    </x:row>
    <x:row r="43" ht="44" customHeight="1">
      <x:c r="A43" s="35" t="str">
        <x:v>Candidato</x:v>
      </x:c>
      <x:c r="B43" s="35" t="str">
        <x:v>XA11</x:v>
      </x:c>
      <x:c r="C43" s="35" t="str">
        <x:v>Motivo del cambio suficiente</x:v>
      </x:c>
      <x:c r="D43" s="35" t="str">
        <x:v>Contexto y juicio experto</x:v>
      </x:c>
      <x:c r="E43" s="35" t="str">
        <x:v>La razón declarada puede ser falsa o insuficiente; pertenencia a plan y permiso no la acreditan.</x:v>
      </x:c>
      <x:c r="F43" s="35" t="str">
        <x:v>No se crea una identidad adicional</x:v>
      </x:c>
      <x:c r="G43" s="35" t="str">
        <x:v>Adjudicación motivada</x:v>
      </x:c>
      <x:c r="H43" s="35" t="str">
        <x:v>Acta v0.3 y bibliografía de presión</x:v>
      </x:c>
    </x:row>
    <x:row r="44" ht="48" customHeight="1">
      <x:c r="A44" s="35" t="str">
        <x:v>Candidato</x:v>
      </x:c>
      <x:c r="B44" s="35" t="str">
        <x:v>XA12</x:v>
      </x:c>
      <x:c r="C44" s="35" t="str">
        <x:v>Independencia organizativa total</x:v>
      </x:c>
      <x:c r="D44" s="35" t="str">
        <x:v>C11/C16</x:v>
      </x:c>
      <x:c r="E44" s="35" t="str">
        <x:v>P31 sólo distingue identidades de dos titulares; relaciones jerárquicas, conflictos e independencia de auditoría requieren más contexto.</x:v>
      </x:c>
      <x:c r="F44" s="35" t="str">
        <x:v>No se crea una identidad adicional</x:v>
      </x:c>
      <x:c r="G44" s="35" t="str">
        <x:v>Adjudicación motivada</x:v>
      </x:c>
      <x:c r="H44" s="35" t="str">
        <x:v>Acta v0.3 y bibliografía de presión</x:v>
      </x:c>
    </x:row>
    <x:row r="45" ht="44" customHeight="1">
      <x:c r="A45" s="35" t="str">
        <x:v>Candidato</x:v>
      </x:c>
      <x:c r="B45" s="35" t="str">
        <x:v>XA13</x:v>
      </x:c>
      <x:c r="C45" s="35" t="str">
        <x:v>Sello cualificado siempre requerido</x:v>
      </x:c>
      <x:c r="D45" s="35" t="str">
        <x:v>No universal</x:v>
      </x:c>
      <x:c r="E45" s="35" t="str">
        <x:v>Se consulta la medida y perfil aplicables. No se traslada mp.info.4 nivel ALTO a todos los actos.</x:v>
      </x:c>
      <x:c r="F45" s="35" t="str">
        <x:v>No se crea una identidad adicional</x:v>
      </x:c>
      <x:c r="G45" s="35" t="str">
        <x:v>Adjudicación motivada</x:v>
      </x:c>
      <x:c r="H45" s="35" t="str">
        <x:v>Acta v0.3 y bibliografía de presión</x:v>
      </x:c>
    </x:row>
    <x:row r="46" ht="44" customHeight="1">
      <x:c r="A46" s="35" t="str">
        <x:v>Candidato</x:v>
      </x:c>
      <x:c r="B46" s="35" t="str">
        <x:v>XA14</x:v>
      </x:c>
      <x:c r="C46" s="35" t="str">
        <x:v>Producto certificado, sistema conforme</x:v>
      </x:c>
      <x:c r="D46" s="35" t="str">
        <x:v>Desestimado</x:v>
      </x:c>
      <x:c r="E46" s="35" t="str">
        <x:v>La evaluación del componente no sustituye integración, configuración, alcance ni conformidad del sistema.</x:v>
      </x:c>
      <x:c r="F46" s="35" t="str">
        <x:v>No se crea una identidad adicional</x:v>
      </x:c>
      <x:c r="G46" s="35" t="str">
        <x:v>Adjudicación motivada</x:v>
      </x:c>
      <x:c r="H46" s="35" t="str">
        <x:v>Acta v0.3 y bibliografía de presión</x:v>
      </x:c>
    </x:row>
    <x:row r="47" ht="44" customHeight="1">
      <x:c r="A47" s="35" t="str">
        <x:v>Candidato</x:v>
      </x:c>
      <x:c r="B47" s="35" t="str">
        <x:v>XA15</x:v>
      </x:c>
      <x:c r="C47" s="35" t="str">
        <x:v>Nuevo parámetro por cada agente o sesión</x:v>
      </x:c>
      <x:c r="D47" s="35" t="str">
        <x:v>Uso de identidad existente</x:v>
      </x:c>
      <x:c r="E47" s="35" t="str">
        <x:v>Distintas instancias conservan estados propios; no multiplican definiciones.</x:v>
      </x:c>
      <x:c r="F47" s="35" t="str">
        <x:v>No se crea una identidad adicional</x:v>
      </x:c>
      <x:c r="G47" s="35" t="str">
        <x:v>Adjudicación motivada</x:v>
      </x:c>
      <x:c r="H47" s="35" t="str">
        <x:v>Acta v0.3 y bibliografía de presión</x:v>
      </x:c>
    </x:row>
    <x:row r="48" ht="44" customHeight="1">
      <x:c r="A48" s="35" t="str">
        <x:v>Candidato</x:v>
      </x:c>
      <x:c r="B48" s="35" t="str">
        <x:v>XA16</x:v>
      </x:c>
      <x:c r="C48" s="35" t="str">
        <x:v>Parámetro adicional para completar una célula</x:v>
      </x:c>
      <x:c r="D48" s="35" t="str">
        <x:v>Desestimado</x:v>
      </x:c>
      <x:c r="E48" s="35" t="str">
        <x:v>32 no determina geometría, partición ni tamaño. No hay relleno ni células menores de SV(9,3).</x:v>
      </x:c>
      <x:c r="F48" s="35" t="str">
        <x:v>No se crea una identidad adicional</x:v>
      </x:c>
      <x:c r="G48" s="35" t="str">
        <x:v>Adjudicación motivada</x:v>
      </x:c>
      <x:c r="H48" s="35" t="str">
        <x:v>Acta v0.3 y bibliografía de presión</x:v>
      </x:c>
    </x:row>
    <x:row r="49" ht="48" customHeight="1">
      <x:c r="A49" s="35" t="str">
        <x:v>Educación</x:v>
      </x:c>
      <x:c r="B49" s="35" t="str">
        <x:v>EDP01</x:v>
      </x:c>
      <x:c r="C49" s="35" t="str">
        <x:v>Identidad, autenticación y atribución</x:v>
      </x:c>
      <x:c r="D49" s="35" t="str">
        <x:v>Sistemas, redes, gestión de identidades; factores humanos</x:v>
      </x:c>
      <x:c r="E49" s="35" t="str">
        <x:v>Reconstruir un acto con sesión, principal y origen; explicar por qué una llamada o un nombre no prueban identidad.</x:v>
      </x:c>
      <x:c r="F49" s="35" t="str">
        <x:v>Atribución falsa y consejo dirigido al responsable equivocado.</x:v>
      </x:c>
      <x:c r="G49" s="35" t="str">
        <x:v>CYO-03, CYO-16, CYO-21; P25</x:v>
      </x:c>
      <x:c r="H49" s="35" t="str">
        <x:v>N06; N07; N09; base URJC y complemento Warwick ya inventariados</x:v>
      </x:c>
    </x:row>
    <x:row r="50" ht="48" customHeight="1">
      <x:c r="A50" s="35" t="str">
        <x:v>Educación</x:v>
      </x:c>
      <x:c r="B50" s="35" t="str">
        <x:v>EDP02</x:v>
      </x:c>
      <x:c r="C50" s="35" t="str">
        <x:v>Autorización y delegación</x:v>
      </x:c>
      <x:c r="D50" s="35" t="str">
        <x:v>Gobierno, acceso, sistemas distribuidos</x:v>
      </x:c>
      <x:c r="E50" s="35" t="str">
        <x:v>Comparar permisos con igual apariencia y distinto emisor, recurso, destinatario, finalidad o cadena de delegación.</x:v>
      </x:c>
      <x:c r="F50" s="35" t="str">
        <x:v>Ejecución o acceso sin facultad suficiente.</x:v>
      </x:c>
      <x:c r="G50" s="35" t="str">
        <x:v>CYO-03, CYO-21; P26/P27</x:v>
      </x:c>
      <x:c r="H50" s="35" t="str">
        <x:v>N01; N06; N10</x:v>
      </x:c>
    </x:row>
    <x:row r="51" ht="44" customHeight="1">
      <x:c r="A51" s="35" t="str">
        <x:v>Educación</x:v>
      </x:c>
      <x:c r="B51" s="35" t="str">
        <x:v>EDP03</x:v>
      </x:c>
      <x:c r="C51" s="35" t="str">
        <x:v>Tiempo y evidencia</x:v>
      </x:c>
      <x:c r="D51" s="35" t="str">
        <x:v>Sistemas, auditoría, método científico</x:v>
      </x:c>
      <x:c r="E51" s="35" t="str">
        <x:v>Resolver orden con precisión declarada y mostrar cuándo el sello sólo acredita el documento sellado.</x:v>
      </x:c>
      <x:c r="F51" s="35" t="str">
        <x:v>Ratificación posterior presentada como aprobación previa.</x:v>
      </x:c>
      <x:c r="G51" s="35" t="str">
        <x:v>CYO-10, CYO-16; P28–P30</x:v>
      </x:c>
      <x:c r="H51" s="35" t="str">
        <x:v>N03B; N03C; N09</x:v>
      </x:c>
    </x:row>
    <x:row r="52" ht="48" customHeight="1">
      <x:c r="A52" s="35" t="str">
        <x:v>Educación</x:v>
      </x:c>
      <x:c r="B52" s="35" t="str">
        <x:v>EDP04</x:v>
      </x:c>
      <x:c r="C52" s="35" t="str">
        <x:v>Protección de datos en operaciones</x:v>
      </x:c>
      <x:c r="D52" s="35" t="str">
        <x:v>Protección de datos, seguridad de la información y juicio profesional</x:v>
      </x:c>
      <x:c r="E52" s="35" t="str">
        <x:v>Diseñar una vista de prueba mínima para cada destinatario y justificar conservación, acceso y base del tratamiento.</x:v>
      </x:c>
      <x:c r="F52" s="35" t="str">
        <x:v>Exposición de datos de salud o de empleados por la propia auditoría.</x:v>
      </x:c>
      <x:c r="G52" s="35" t="str">
        <x:v>CYO-17; C15/C16; frontera de OP-CYB-001</x:v>
      </x:c>
      <x:c r="H52" s="35" t="str">
        <x:v>N02B; N09; ADJ1</x:v>
      </x:c>
    </x:row>
    <x:row r="53" ht="48" customHeight="1">
      <x:c r="A53" s="35" t="str">
        <x:v>Educación</x:v>
      </x:c>
      <x:c r="B53" s="35" t="str">
        <x:v>EDP05</x:v>
      </x:c>
      <x:c r="C53" s="35" t="str">
        <x:v>Arquitectura de control y observabilidad</x:v>
      </x:c>
      <x:c r="D53" s="35" t="str">
        <x:v>Redes, arquitectura, monitorización y SOC</x:v>
      </x:c>
      <x:c r="E53" s="35" t="str">
        <x:v>Dibujar y contrastar los recorridos de entrada y salida; distinguir configuración del control, cobertura y eficacia.</x:v>
      </x:c>
      <x:c r="F53" s="35" t="str">
        <x:v>Tráfico o integraciones que eluden la supervisión supuesta.</x:v>
      </x:c>
      <x:c r="G53" s="35" t="str">
        <x:v>CYO-02, CYO-27; C05/C06</x:v>
      </x:c>
      <x:c r="H53" s="35" t="str">
        <x:v>N05; N06; ADJ2</x:v>
      </x:c>
    </x:row>
    <x:row r="54" ht="48" customHeight="1">
      <x:c r="A54" s="35" t="str">
        <x:v>Educación</x:v>
      </x:c>
      <x:c r="B54" s="35" t="str">
        <x:v>EDP06</x:v>
      </x:c>
      <x:c r="C54" s="35" t="str">
        <x:v>Planificación, separación y proporcionalidad</x:v>
      </x:c>
      <x:c r="D54" s="35" t="str">
        <x:v>Gobierno, organización, economía y riesgo</x:v>
      </x:c>
      <x:c r="E54" s="35" t="str">
        <x:v>Comparar acto planificado, permiso, urgencia, titulares de funciones y alternativas admisibles.</x:v>
      </x:c>
      <x:c r="F54" s="35" t="str">
        <x:v>Intervención fuera del plan, falsa separación o ahorro que traslada daño a derechos y servicios.</x:v>
      </x:c>
      <x:c r="G54" s="35" t="str">
        <x:v>CYO-01, CYO-12, CYO-21; P31/P32; C12</x:v>
      </x:c>
      <x:c r="H54" s="35" t="str">
        <x:v>N01; N09; R035 y CMU ya inventariados</x:v>
      </x:c>
    </x:row>
  </x:sheetData>
  <x:mergeCells>
    <x:mergeCell ref="A1:D1"/>
    <x:mergeCell ref="A2:F2"/>
  </x:mergeCells>
  <x:pageMargins left="0.7" right="0.7" top="0.75" bottom="0.75" header="0.3" footer="0.3"/>
  <x:tableParts count="1">
    <x:tablePart xmlns:r="http://schemas.openxmlformats.org/officeDocument/2006/relationships" r:id="R221f0a6205604bb5"/>
  </x:tableParts>
</x:worksheet>
</file>

<file path=xl/worksheets/sheet7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8" hidden="0" customWidth="1"/>
    <x:col min="3" max="3" width="93" hidden="0" customWidth="1"/>
    <x:col min="4" max="4" width="24" hidden="0" customWidth="1"/>
    <x:col min="5" max="5" width="24" hidden="0" customWidth="1"/>
    <x:col min="6" max="6" width="24" hidden="0" customWidth="1"/>
    <x:col min="7" max="7" width="66" hidden="0" customWidth="1"/>
    <x:col min="8" max="8" width="100" hidden="0" customWidth="1"/>
    <x:col min="9" max="9" width="77" hidden="0" customWidth="1"/>
  </x:cols>
  <x:sheetData>
    <x:row r="1" ht="34" customHeight="1">
      <x:c r="A1" s="36" t="str">
        <x:v>Productos profesionales y particiones del dominio</x:v>
      </x:c>
      <x:c r="B1" s="35"/>
      <x:c r="C1" s="35"/>
      <x:c r="D1" s="35"/>
      <x:c r="E1" s="35"/>
      <x:c r="F1" s="35"/>
      <x:c r="G1" s="35"/>
      <x:c r="H1" s="35"/>
      <x:c r="I1" s="35"/>
    </x:row>
    <x:row r="2" ht="48" customHeight="1">
      <x:c r="A2" s="37" t="str">
        <x:v>59 productos candidatos. Las etiquetas de grupo permiten reconstruir 29, 38 y 59; sólo OP-CYB-001 está constituido.</x:v>
      </x:c>
      <x:c r="B2" s="35"/>
      <x:c r="C2" s="35"/>
      <x:c r="D2" s="35"/>
      <x:c r="E2" s="35"/>
      <x:c r="F2" s="35"/>
      <x:c r="G2" s="35"/>
      <x:c r="H2" s="35"/>
      <x:c r="I2" s="35"/>
    </x:row>
    <x:row r="3">
      <x:c r="A3" s="35"/>
      <x:c r="B3" s="35"/>
      <x:c r="C3" s="35"/>
      <x:c r="D3" s="35"/>
      <x:c r="E3" s="35"/>
      <x:c r="F3" s="35"/>
      <x:c r="G3" s="35"/>
      <x:c r="H3" s="35"/>
      <x:c r="I3" s="35"/>
    </x:row>
    <x:row r="4" ht="62" customHeight="1">
      <x:c r="A4" s="51" t="str">
        <x:v>Producto</x:v>
      </x:c>
      <x:c r="B4" s="51" t="str">
        <x:v>Operación</x:v>
      </x:c>
      <x:c r="C4" s="51" t="str">
        <x:v>Resultado profesional</x:v>
      </x:c>
      <x:c r="D4" s="51" t="str">
        <x:v>Grupo compacto</x:v>
      </x:c>
      <x:c r="E4" s="51" t="str">
        <x:v>Grupo central</x:v>
      </x:c>
      <x:c r="F4" s="51" t="str">
        <x:v>Grupo amplio</x:v>
      </x:c>
      <x:c r="G4" s="51" t="str">
        <x:v>Estatuto</x:v>
      </x:c>
      <x:c r="H4" s="51" t="str">
        <x:v>Razón de partición</x:v>
      </x:c>
      <x:c r="I4" s="51" t="str">
        <x:v>Referencia educativa</x:v>
      </x:c>
    </x:row>
    <x:row r="5" ht="44" customHeight="1">
      <x:c r="A5" s="35" t="str">
        <x:v>CYO-01-P1</x:v>
      </x:c>
      <x:c r="B5" s="35" t="str">
        <x:v>CYO-01</x:v>
      </x:c>
      <x:c r="C5" s="35" t="str">
        <x:v>Valoración de riesgo de un servicio</x:v>
      </x:c>
      <x:c r="D5" s="35" t="str">
        <x:v>CYO-01-1</x:v>
      </x:c>
      <x:c r="E5" s="35" t="str">
        <x:v>CYO-01-1</x:v>
      </x:c>
      <x:c r="F5" s="35" t="str">
        <x:v>CYO-01-1</x:v>
      </x:c>
      <x:c r="G5" s="35" t="str">
        <x:v>Producto candidato; universo no constituido</x:v>
      </x:c>
      <x:c r="H5" s="35" t="str">
        <x:v>Separación eventual entre valoración del riesgo y selección del tratamiento.</x:v>
      </x:c>
      <x:c r="I5" s="35" t="str">
        <x:v>R035; IV: métodos, calibración, tratamiento y comunicación</x:v>
      </x:c>
    </x:row>
    <x:row r="6" ht="44" customHeight="1">
      <x:c r="A6" s="35" t="str">
        <x:v>CYO-01-P2</x:v>
      </x:c>
      <x:c r="B6" s="35" t="str">
        <x:v>CYO-01</x:v>
      </x:c>
      <x:c r="C6" s="35" t="str">
        <x:v>Selección y seguimiento del tratamiento del riesgo</x:v>
      </x:c>
      <x:c r="D6" s="35" t="str">
        <x:v>CYO-01-1</x:v>
      </x:c>
      <x:c r="E6" s="35" t="str">
        <x:v>CYO-01-1</x:v>
      </x:c>
      <x:c r="F6" s="35" t="str">
        <x:v>CYO-01-2</x:v>
      </x:c>
      <x:c r="G6" s="35" t="str">
        <x:v>Producto candidato; universo no constituido</x:v>
      </x:c>
      <x:c r="H6" s="35" t="str">
        <x:v>Separación eventual entre valoración del riesgo y selección del tratamiento.</x:v>
      </x:c>
      <x:c r="I6" s="35" t="str">
        <x:v>R035; IV: métodos, calibración, tratamiento y comunicación</x:v>
      </x:c>
    </x:row>
    <x:row r="7" ht="48" customHeight="1">
      <x:c r="A7" s="35" t="str">
        <x:v>CYO-02-P1</x:v>
      </x:c>
      <x:c r="B7" s="35" t="str">
        <x:v>CYO-02</x:v>
      </x:c>
      <x:c r="C7" s="35" t="str">
        <x:v>Diseño de fronteras de confianza</x:v>
      </x:c>
      <x:c r="D7" s="35" t="str">
        <x:v>CYO-02-1</x:v>
      </x:c>
      <x:c r="E7" s="35" t="str">
        <x:v>CYO-02-1</x:v>
      </x:c>
      <x:c r="F7" s="35" t="str">
        <x:v>CYO-02-1</x:v>
      </x:c>
      <x:c r="G7" s="35" t="str">
        <x:v>Producto candidato; universo no constituido</x:v>
      </x:c>
      <x:c r="H7" s="35" t="str">
        <x:v>Fronteras de confianza, aislamiento e integración pueden requerir productos distintos.</x:v>
      </x:c>
      <x:c r="I7" s="35" t="str">
        <x:v>R019; IV: seguridad de redes; complemento R029 redes/nube</x:v>
      </x:c>
    </x:row>
    <x:row r="8" ht="48" customHeight="1">
      <x:c r="A8" s="35" t="str">
        <x:v>CYO-02-P2</x:v>
      </x:c>
      <x:c r="B8" s="35" t="str">
        <x:v>CYO-02</x:v>
      </x:c>
      <x:c r="C8" s="35" t="str">
        <x:v>Diseño de aislamiento y segmentación</x:v>
      </x:c>
      <x:c r="D8" s="35" t="str">
        <x:v>CYO-02-1</x:v>
      </x:c>
      <x:c r="E8" s="35" t="str">
        <x:v>CYO-02-2</x:v>
      </x:c>
      <x:c r="F8" s="35" t="str">
        <x:v>CYO-02-2</x:v>
      </x:c>
      <x:c r="G8" s="35" t="str">
        <x:v>Producto candidato; universo no constituido</x:v>
      </x:c>
      <x:c r="H8" s="35" t="str">
        <x:v>Fronteras de confianza, aislamiento e integración pueden requerir productos distintos.</x:v>
      </x:c>
      <x:c r="I8" s="35" t="str">
        <x:v>R019; IV: seguridad de redes; complemento R029 redes/nube</x:v>
      </x:c>
    </x:row>
    <x:row r="9" ht="48" customHeight="1">
      <x:c r="A9" s="35" t="str">
        <x:v>CYO-02-P3</x:v>
      </x:c>
      <x:c r="B9" s="35" t="str">
        <x:v>CYO-02</x:v>
      </x:c>
      <x:c r="C9" s="35" t="str">
        <x:v>Evaluación de integración de componentes</x:v>
      </x:c>
      <x:c r="D9" s="35" t="str">
        <x:v>CYO-02-1</x:v>
      </x:c>
      <x:c r="E9" s="35" t="str">
        <x:v>CYO-02-2</x:v>
      </x:c>
      <x:c r="F9" s="35" t="str">
        <x:v>CYO-02-3</x:v>
      </x:c>
      <x:c r="G9" s="35" t="str">
        <x:v>Producto candidato; universo no constituido</x:v>
      </x:c>
      <x:c r="H9" s="35" t="str">
        <x:v>Fronteras de confianza, aislamiento e integración pueden requerir productos distintos.</x:v>
      </x:c>
      <x:c r="I9" s="35" t="str">
        <x:v>R019; IV: seguridad de redes; complemento R029 redes/nube</x:v>
      </x:c>
    </x:row>
    <x:row r="10" ht="48" customHeight="1">
      <x:c r="A10" s="35" t="str">
        <x:v>CYO-03-P1</x:v>
      </x:c>
      <x:c r="B10" s="35" t="str">
        <x:v>CYO-03</x:v>
      </x:c>
      <x:c r="C10" s="35" t="str">
        <x:v>Acreditación y ciclo de vida de identidades</x:v>
      </x:c>
      <x:c r="D10" s="35" t="str">
        <x:v>CYO-03-1</x:v>
      </x:c>
      <x:c r="E10" s="35" t="str">
        <x:v>CYO-03-1</x:v>
      </x:c>
      <x:c r="F10" s="35" t="str">
        <x:v>CYO-03-1</x:v>
      </x:c>
      <x:c r="G10" s="35" t="str">
        <x:v>Producto candidato; universo no constituido</x:v>
      </x:c>
      <x:c r="H10" s="35" t="str">
        <x:v>Concesión, revisión y revocación; posible separación entre identidad y privilegio.</x:v>
      </x:c>
      <x:c r="I10" s="35" t="str">
        <x:v>R024; IV: acceso y seguridad de datos; contraste NICE T1548</x:v>
      </x:c>
    </x:row>
    <x:row r="11" ht="48" customHeight="1">
      <x:c r="A11" s="35" t="str">
        <x:v>CYO-03-P2</x:v>
      </x:c>
      <x:c r="B11" s="35" t="str">
        <x:v>CYO-03</x:v>
      </x:c>
      <x:c r="C11" s="35" t="str">
        <x:v>Concesión, revisión y retirada de privilegios</x:v>
      </x:c>
      <x:c r="D11" s="35" t="str">
        <x:v>CYO-03-1</x:v>
      </x:c>
      <x:c r="E11" s="35" t="str">
        <x:v>CYO-03-1</x:v>
      </x:c>
      <x:c r="F11" s="35" t="str">
        <x:v>CYO-03-2</x:v>
      </x:c>
      <x:c r="G11" s="35" t="str">
        <x:v>Producto candidato; universo no constituido</x:v>
      </x:c>
      <x:c r="H11" s="35" t="str">
        <x:v>Concesión, revisión y revocación; posible separación entre identidad y privilegio.</x:v>
      </x:c>
      <x:c r="I11" s="35" t="str">
        <x:v>R024; IV: acceso y seguridad de datos; contraste NICE T1548</x:v>
      </x:c>
    </x:row>
    <x:row r="12" ht="44" customHeight="1">
      <x:c r="A12" s="35" t="str">
        <x:v>CYO-04-P1</x:v>
      </x:c>
      <x:c r="B12" s="35" t="str">
        <x:v>CYO-04</x:v>
      </x:c>
      <x:c r="C12" s="35" t="str">
        <x:v>Evaluación de configuración de plataforma</x:v>
      </x:c>
      <x:c r="D12" s="35" t="str">
        <x:v>CYO-04-1</x:v>
      </x:c>
      <x:c r="E12" s="35" t="str">
        <x:v>CYO-04-1</x:v>
      </x:c>
      <x:c r="F12" s="35" t="str">
        <x:v>CYO-04-1</x:v>
      </x:c>
      <x:c r="G12" s="35" t="str">
        <x:v>Producto candidato; universo no constituido</x:v>
      </x:c>
      <x:c r="H12" s="35" t="str">
        <x:v>Configuración, aplicación y red presentan objetos y criterios diferentes.</x:v>
      </x:c>
      <x:c r="I12" s="35" t="str">
        <x:v>R034; IV: alcance, fases y pruebas; R015 como base</x:v>
      </x:c>
    </x:row>
    <x:row r="13" ht="44" customHeight="1">
      <x:c r="A13" s="35" t="str">
        <x:v>CYO-04-P2</x:v>
      </x:c>
      <x:c r="B13" s="35" t="str">
        <x:v>CYO-04</x:v>
      </x:c>
      <x:c r="C13" s="35" t="str">
        <x:v>Evaluación de seguridad de una aplicación</x:v>
      </x:c>
      <x:c r="D13" s="35" t="str">
        <x:v>CYO-04-1</x:v>
      </x:c>
      <x:c r="E13" s="35" t="str">
        <x:v>CYO-04-2</x:v>
      </x:c>
      <x:c r="F13" s="35" t="str">
        <x:v>CYO-04-2</x:v>
      </x:c>
      <x:c r="G13" s="35" t="str">
        <x:v>Producto candidato; universo no constituido</x:v>
      </x:c>
      <x:c r="H13" s="35" t="str">
        <x:v>Configuración, aplicación y red presentan objetos y criterios diferentes.</x:v>
      </x:c>
      <x:c r="I13" s="35" t="str">
        <x:v>R034; IV: alcance, fases y pruebas; R015 como base</x:v>
      </x:c>
    </x:row>
    <x:row r="14" ht="44" customHeight="1">
      <x:c r="A14" s="35" t="str">
        <x:v>CYO-04-P3</x:v>
      </x:c>
      <x:c r="B14" s="35" t="str">
        <x:v>CYO-04</x:v>
      </x:c>
      <x:c r="C14" s="35" t="str">
        <x:v>Evaluación de seguridad de red</x:v>
      </x:c>
      <x:c r="D14" s="35" t="str">
        <x:v>CYO-04-1</x:v>
      </x:c>
      <x:c r="E14" s="35" t="str">
        <x:v>CYO-04-2</x:v>
      </x:c>
      <x:c r="F14" s="35" t="str">
        <x:v>CYO-04-3</x:v>
      </x:c>
      <x:c r="G14" s="35" t="str">
        <x:v>Producto candidato; universo no constituido</x:v>
      </x:c>
      <x:c r="H14" s="35" t="str">
        <x:v>Configuración, aplicación y red presentan objetos y criterios diferentes.</x:v>
      </x:c>
      <x:c r="I14" s="35" t="str">
        <x:v>R034; IV: alcance, fases y pruebas; R015 como base</x:v>
      </x:c>
    </x:row>
    <x:row r="15" ht="48" customHeight="1">
      <x:c r="A15" s="35" t="str">
        <x:v>CYO-05-P1</x:v>
      </x:c>
      <x:c r="B15" s="35" t="str">
        <x:v>CYO-05</x:v>
      </x:c>
      <x:c r="C15" s="35" t="str">
        <x:v>Constitución verificable de una construcción de software</x:v>
      </x:c>
      <x:c r="D15" s="35" t="str">
        <x:v>CYO-05-1</x:v>
      </x:c>
      <x:c r="E15" s="35" t="str">
        <x:v>CYO-05-1</x:v>
      </x:c>
      <x:c r="F15" s="35" t="str">
        <x:v>CYO-05-1</x:v>
      </x:c>
      <x:c r="G15" s="35" t="str">
        <x:v>Producto candidato; universo no constituido</x:v>
      </x:c>
      <x:c r="H15" s="35" t="str">
        <x:v>Construcción, dependencia y liberación; estados de procedencia y verificación propios.</x:v>
      </x:c>
      <x:c r="I15" s="35" t="str">
        <x:v>R028; IV: desarrollo y análisis seguro; R023 ingeniería</x:v>
      </x:c>
    </x:row>
    <x:row r="16" ht="48" customHeight="1">
      <x:c r="A16" s="35" t="str">
        <x:v>CYO-05-P2</x:v>
      </x:c>
      <x:c r="B16" s="35" t="str">
        <x:v>CYO-05</x:v>
      </x:c>
      <x:c r="C16" s="35" t="str">
        <x:v>Evaluación de dependencias y procedencia</x:v>
      </x:c>
      <x:c r="D16" s="35" t="str">
        <x:v>CYO-05-1</x:v>
      </x:c>
      <x:c r="E16" s="35" t="str">
        <x:v>CYO-05-2</x:v>
      </x:c>
      <x:c r="F16" s="35" t="str">
        <x:v>CYO-05-2</x:v>
      </x:c>
      <x:c r="G16" s="35" t="str">
        <x:v>Producto candidato; universo no constituido</x:v>
      </x:c>
      <x:c r="H16" s="35" t="str">
        <x:v>Construcción, dependencia y liberación; estados de procedencia y verificación propios.</x:v>
      </x:c>
      <x:c r="I16" s="35" t="str">
        <x:v>R028; IV: desarrollo y análisis seguro; R023 ingeniería</x:v>
      </x:c>
    </x:row>
    <x:row r="17" ht="48" customHeight="1">
      <x:c r="A17" s="35" t="str">
        <x:v>CYO-05-P3</x:v>
      </x:c>
      <x:c r="B17" s="35" t="str">
        <x:v>CYO-05</x:v>
      </x:c>
      <x:c r="C17" s="35" t="str">
        <x:v>Liberación de una versión de software</x:v>
      </x:c>
      <x:c r="D17" s="35" t="str">
        <x:v>CYO-05-1</x:v>
      </x:c>
      <x:c r="E17" s="35" t="str">
        <x:v>CYO-05-2</x:v>
      </x:c>
      <x:c r="F17" s="35" t="str">
        <x:v>CYO-05-3</x:v>
      </x:c>
      <x:c r="G17" s="35" t="str">
        <x:v>Producto candidato; universo no constituido</x:v>
      </x:c>
      <x:c r="H17" s="35" t="str">
        <x:v>Construcción, dependencia y liberación; estados de procedencia y verificación propios.</x:v>
      </x:c>
      <x:c r="I17" s="35" t="str">
        <x:v>R028; IV: desarrollo y análisis seguro; R023 ingeniería</x:v>
      </x:c>
    </x:row>
    <x:row r="18" ht="48" customHeight="1">
      <x:c r="A18" s="35" t="str">
        <x:v>CYO-06-P1</x:v>
      </x:c>
      <x:c r="B18" s="35" t="str">
        <x:v>CYO-06</x:v>
      </x:c>
      <x:c r="C18" s="35" t="str">
        <x:v>Evaluación inicial de un proveedor</x:v>
      </x:c>
      <x:c r="D18" s="35" t="str">
        <x:v>CYO-06-1</x:v>
      </x:c>
      <x:c r="E18" s="35" t="str">
        <x:v>CYO-06-1</x:v>
      </x:c>
      <x:c r="F18" s="35" t="str">
        <x:v>CYO-06-1</x:v>
      </x:c>
      <x:c r="G18" s="35" t="str">
        <x:v>Producto candidato; universo no constituido</x:v>
      </x:c>
      <x:c r="H18" s="35" t="str">
        <x:v>Evaluación inicial y seguimiento contractual pueden separarse.</x:v>
      </x:c>
      <x:c r="I18" s="35" t="str">
        <x:v>R035; IV: transferencia y tratamiento; NICE OG-WRL-017 como contraste</x:v>
      </x:c>
    </x:row>
    <x:row r="19" ht="48" customHeight="1">
      <x:c r="A19" s="35" t="str">
        <x:v>CYO-06-P2</x:v>
      </x:c>
      <x:c r="B19" s="35" t="str">
        <x:v>CYO-06</x:v>
      </x:c>
      <x:c r="C19" s="35" t="str">
        <x:v>Seguimiento de obligaciones del proveedor</x:v>
      </x:c>
      <x:c r="D19" s="35" t="str">
        <x:v>CYO-06-1</x:v>
      </x:c>
      <x:c r="E19" s="35" t="str">
        <x:v>CYO-06-1</x:v>
      </x:c>
      <x:c r="F19" s="35" t="str">
        <x:v>CYO-06-2</x:v>
      </x:c>
      <x:c r="G19" s="35" t="str">
        <x:v>Producto candidato; universo no constituido</x:v>
      </x:c>
      <x:c r="H19" s="35" t="str">
        <x:v>Evaluación inicial y seguimiento contractual pueden separarse.</x:v>
      </x:c>
      <x:c r="I19" s="35" t="str">
        <x:v>R035; IV: transferencia y tratamiento; NICE OG-WRL-017 como contraste</x:v>
      </x:c>
    </x:row>
    <x:row r="20" ht="44" customHeight="1">
      <x:c r="A20" s="35" t="str">
        <x:v>CYO-07-P1</x:v>
      </x:c>
      <x:c r="B20" s="35" t="str">
        <x:v>CYO-07</x:v>
      </x:c>
      <x:c r="C20" s="35" t="str">
        <x:v>Clasificación contextual de una alerta</x:v>
      </x:c>
      <x:c r="D20" s="35" t="str">
        <x:v>CYO-07-1</x:v>
      </x:c>
      <x:c r="E20" s="35" t="str">
        <x:v>CYO-07-1</x:v>
      </x:c>
      <x:c r="F20" s="35" t="str">
        <x:v>CYO-07-1</x:v>
      </x:c>
      <x:c r="G20" s="35" t="str">
        <x:v>Producto candidato; universo no constituido</x:v>
      </x:c>
      <x:c r="H20" s="35" t="str">
        <x:v>Un producto de clasificación, con evidencia, contexto y errores diferenciados.</x:v>
      </x:c>
      <x:c r="I20" s="35" t="str">
        <x:v>R033; IV: SOC, correlación y gestión de incidentes</x:v>
      </x:c>
    </x:row>
    <x:row r="21" ht="44" customHeight="1">
      <x:c r="A21" s="35" t="str">
        <x:v>CYO-08-P1</x:v>
      </x:c>
      <x:c r="B21" s="35" t="str">
        <x:v>CYO-08</x:v>
      </x:c>
      <x:c r="C21" s="35" t="str">
        <x:v>Producción de un juicio de inteligencia</x:v>
      </x:c>
      <x:c r="D21" s="35" t="str">
        <x:v>CYO-08-1</x:v>
      </x:c>
      <x:c r="E21" s="35" t="str">
        <x:v>CYO-08-1</x:v>
      </x:c>
      <x:c r="F21" s="35" t="str">
        <x:v>CYO-08-1</x:v>
      </x:c>
      <x:c r="G21" s="35" t="str">
        <x:v>Producto candidato; universo no constituido</x:v>
      </x:c>
      <x:c r="H21" s="35" t="str">
        <x:v>Producción analítica y aplicabilidad operativa de información recibida.</x:v>
      </x:c>
      <x:c r="I21" s="35" t="str">
        <x:v>R033; IV: inteligencia de amenazas</x:v>
      </x:c>
    </x:row>
    <x:row r="22" ht="44" customHeight="1">
      <x:c r="A22" s="35" t="str">
        <x:v>CYO-08-P2</x:v>
      </x:c>
      <x:c r="B22" s="35" t="str">
        <x:v>CYO-08</x:v>
      </x:c>
      <x:c r="C22" s="35" t="str">
        <x:v>Determinación de aplicabilidad de inteligencia recibida</x:v>
      </x:c>
      <x:c r="D22" s="35" t="str">
        <x:v>CYO-08-1</x:v>
      </x:c>
      <x:c r="E22" s="35" t="str">
        <x:v>CYO-08-1</x:v>
      </x:c>
      <x:c r="F22" s="35" t="str">
        <x:v>CYO-08-2</x:v>
      </x:c>
      <x:c r="G22" s="35" t="str">
        <x:v>Producto candidato; universo no constituido</x:v>
      </x:c>
      <x:c r="H22" s="35" t="str">
        <x:v>Producción analítica y aplicabilidad operativa de información recibida.</x:v>
      </x:c>
      <x:c r="I22" s="35" t="str">
        <x:v>R033; IV: inteligencia de amenazas</x:v>
      </x:c>
    </x:row>
    <x:row r="23" ht="44" customHeight="1">
      <x:c r="A23" s="35" t="str">
        <x:v>CYO-09-P1</x:v>
      </x:c>
      <x:c r="B23" s="35" t="str">
        <x:v>CYO-09</x:v>
      </x:c>
      <x:c r="C23" s="35" t="str">
        <x:v>Constitución de un plan de respuesta a incidentes</x:v>
      </x:c>
      <x:c r="D23" s="35" t="str">
        <x:v>CYO-09-1</x:v>
      </x:c>
      <x:c r="E23" s="35" t="str">
        <x:v>CYO-09-1</x:v>
      </x:c>
      <x:c r="F23" s="35" t="str">
        <x:v>CYO-09-1</x:v>
      </x:c>
      <x:c r="G23" s="35" t="str">
        <x:v>Producto candidato; universo no constituido</x:v>
      </x:c>
      <x:c r="H23" s="35" t="str">
        <x:v>Preparación y decisión del plan, separadas de la respuesta efectiva.</x:v>
      </x:c>
      <x:c r="I23" s="35" t="str">
        <x:v>R033; IV: respuesta; R035 balance de tratamiento</x:v>
      </x:c>
    </x:row>
    <x:row r="24" ht="44" customHeight="1">
      <x:c r="A24" s="35" t="str">
        <x:v>CYO-10-P1</x:v>
      </x:c>
      <x:c r="B24" s="35" t="str">
        <x:v>CYO-10</x:v>
      </x:c>
      <x:c r="C24" s="35" t="str">
        <x:v>Adquisición forense</x:v>
      </x:c>
      <x:c r="D24" s="35" t="str">
        <x:v>CYO-10-1</x:v>
      </x:c>
      <x:c r="E24" s="35" t="str">
        <x:v>CYO-10-1</x:v>
      </x:c>
      <x:c r="F24" s="35" t="str">
        <x:v>CYO-10-1</x:v>
      </x:c>
      <x:c r="G24" s="35" t="str">
        <x:v>Producto candidato; universo no constituido</x:v>
      </x:c>
      <x:c r="H24" s="35" t="str">
        <x:v>Adquisición, reconstrucción e interpretación pueden exigir productos diferentes.</x:v>
      </x:c>
      <x:c r="I24" s="35" t="str">
        <x:v>R033; IV: DFIR y cadena de custodia</x:v>
      </x:c>
    </x:row>
    <x:row r="25" ht="44" customHeight="1">
      <x:c r="A25" s="35" t="str">
        <x:v>CYO-10-P2</x:v>
      </x:c>
      <x:c r="B25" s="35" t="str">
        <x:v>CYO-10</x:v>
      </x:c>
      <x:c r="C25" s="35" t="str">
        <x:v>Reconstrucción de sucesos</x:v>
      </x:c>
      <x:c r="D25" s="35" t="str">
        <x:v>CYO-10-1</x:v>
      </x:c>
      <x:c r="E25" s="35" t="str">
        <x:v>CYO-10-2</x:v>
      </x:c>
      <x:c r="F25" s="35" t="str">
        <x:v>CYO-10-2</x:v>
      </x:c>
      <x:c r="G25" s="35" t="str">
        <x:v>Producto candidato; universo no constituido</x:v>
      </x:c>
      <x:c r="H25" s="35" t="str">
        <x:v>Adquisición, reconstrucción e interpretación pueden exigir productos diferentes.</x:v>
      </x:c>
      <x:c r="I25" s="35" t="str">
        <x:v>R033; IV: DFIR y cadena de custodia</x:v>
      </x:c>
    </x:row>
    <x:row r="26" ht="44" customHeight="1">
      <x:c r="A26" s="35" t="str">
        <x:v>CYO-10-P3</x:v>
      </x:c>
      <x:c r="B26" s="35" t="str">
        <x:v>CYO-10</x:v>
      </x:c>
      <x:c r="C26" s="35" t="str">
        <x:v>Interpretación forense de hipótesis</x:v>
      </x:c>
      <x:c r="D26" s="35" t="str">
        <x:v>CYO-10-1</x:v>
      </x:c>
      <x:c r="E26" s="35" t="str">
        <x:v>CYO-10-2</x:v>
      </x:c>
      <x:c r="F26" s="35" t="str">
        <x:v>CYO-10-3</x:v>
      </x:c>
      <x:c r="G26" s="35" t="str">
        <x:v>Producto candidato; universo no constituido</x:v>
      </x:c>
      <x:c r="H26" s="35" t="str">
        <x:v>Adquisición, reconstrucción e interpretación pueden exigir productos diferentes.</x:v>
      </x:c>
      <x:c r="I26" s="35" t="str">
        <x:v>R033; IV: DFIR y cadena de custodia</x:v>
      </x:c>
    </x:row>
    <x:row r="27" ht="44" customHeight="1">
      <x:c r="A27" s="35" t="str">
        <x:v>CYO-11-P1</x:v>
      </x:c>
      <x:c r="B27" s="35" t="str">
        <x:v>CYO-11</x:v>
      </x:c>
      <x:c r="C27" s="35" t="str">
        <x:v>Preparación de un plan de recuperación</x:v>
      </x:c>
      <x:c r="D27" s="35" t="str">
        <x:v>CYO-11-1</x:v>
      </x:c>
      <x:c r="E27" s="35" t="str">
        <x:v>CYO-11-1</x:v>
      </x:c>
      <x:c r="F27" s="35" t="str">
        <x:v>CYO-11-1</x:v>
      </x:c>
      <x:c r="G27" s="35" t="str">
        <x:v>Producto candidato; universo no constituido</x:v>
      </x:c>
      <x:c r="H27" s="35" t="str">
        <x:v>Preparación y prueba del plan; no se cuenta la restauración efectiva aquí.</x:v>
      </x:c>
      <x:c r="I27" s="35" t="str">
        <x:v>R033; IV: BCP/DRP, RPO y RTO</x:v>
      </x:c>
    </x:row>
    <x:row r="28" ht="44" customHeight="1">
      <x:c r="A28" s="35" t="str">
        <x:v>CYO-11-P2</x:v>
      </x:c>
      <x:c r="B28" s="35" t="str">
        <x:v>CYO-11</x:v>
      </x:c>
      <x:c r="C28" s="35" t="str">
        <x:v>Comprobación del plan de recuperación</x:v>
      </x:c>
      <x:c r="D28" s="35" t="str">
        <x:v>CYO-11-1</x:v>
      </x:c>
      <x:c r="E28" s="35" t="str">
        <x:v>CYO-11-1</x:v>
      </x:c>
      <x:c r="F28" s="35" t="str">
        <x:v>CYO-11-2</x:v>
      </x:c>
      <x:c r="G28" s="35" t="str">
        <x:v>Producto candidato; universo no constituido</x:v>
      </x:c>
      <x:c r="H28" s="35" t="str">
        <x:v>Preparación y prueba del plan; no se cuenta la restauración efectiva aquí.</x:v>
      </x:c>
      <x:c r="I28" s="35" t="str">
        <x:v>R033; IV: BCP/DRP, RPO y RTO</x:v>
      </x:c>
    </x:row>
    <x:row r="29" ht="48" customHeight="1">
      <x:c r="A29" s="35" t="str">
        <x:v>CYO-12-P1</x:v>
      </x:c>
      <x:c r="B29" s="35" t="str">
        <x:v>CYO-12</x:v>
      </x:c>
      <x:c r="C29" s="35" t="str">
        <x:v>Planificación de un cambio</x:v>
      </x:c>
      <x:c r="D29" s="35" t="str">
        <x:v>CYO-12-1</x:v>
      </x:c>
      <x:c r="E29" s="35" t="str">
        <x:v>CYO-12-1</x:v>
      </x:c>
      <x:c r="F29" s="35" t="str">
        <x:v>CYO-12-1</x:v>
      </x:c>
      <x:c r="G29" s="35" t="str">
        <x:v>Producto candidato; universo no constituido</x:v>
      </x:c>
      <x:c r="H29" s="35" t="str">
        <x:v>Diseño y autorización del cambio; se descuenta el cierre por actualización ya constituido.</x:v>
      </x:c>
      <x:c r="I29" s="35" t="str">
        <x:v>R025; IV: sistemas operativos; R019 configuración segura</x:v>
      </x:c>
    </x:row>
    <x:row r="30" ht="48" customHeight="1">
      <x:c r="A30" s="35" t="str">
        <x:v>CYO-12-P2</x:v>
      </x:c>
      <x:c r="B30" s="35" t="str">
        <x:v>CYO-12</x:v>
      </x:c>
      <x:c r="C30" s="35" t="str">
        <x:v>Evaluación del mantenimiento programado</x:v>
      </x:c>
      <x:c r="D30" s="35" t="str">
        <x:v>CYO-12-1</x:v>
      </x:c>
      <x:c r="E30" s="35" t="str">
        <x:v>CYO-12-1</x:v>
      </x:c>
      <x:c r="F30" s="35" t="str">
        <x:v>CYO-12-2</x:v>
      </x:c>
      <x:c r="G30" s="35" t="str">
        <x:v>Producto candidato; universo no constituido</x:v>
      </x:c>
      <x:c r="H30" s="35" t="str">
        <x:v>Diseño y autorización del cambio; se descuenta el cierre por actualización ya constituido.</x:v>
      </x:c>
      <x:c r="I30" s="35" t="str">
        <x:v>R025; IV: sistemas operativos; R019 configuración segura</x:v>
      </x:c>
    </x:row>
    <x:row r="31" ht="44" customHeight="1">
      <x:c r="A31" s="35" t="str">
        <x:v>CYO-13-P1</x:v>
      </x:c>
      <x:c r="B31" s="35" t="str">
        <x:v>CYO-13</x:v>
      </x:c>
      <x:c r="C31" s="35" t="str">
        <x:v>Selección de protección criptográfica</x:v>
      </x:c>
      <x:c r="D31" s="35" t="str">
        <x:v>CYO-13-1</x:v>
      </x:c>
      <x:c r="E31" s="35" t="str">
        <x:v>CYO-13-1</x:v>
      </x:c>
      <x:c r="F31" s="35" t="str">
        <x:v>CYO-13-1</x:v>
      </x:c>
      <x:c r="G31" s="35" t="str">
        <x:v>Producto candidato; universo no constituido</x:v>
      </x:c>
      <x:c r="H31" s="35" t="str">
        <x:v>Selección y empleo, claves y validación de protocolos pueden separarse.</x:v>
      </x:c>
      <x:c r="I31" s="35" t="str">
        <x:v>R007; IV: cifrado, autenticación, hash y firma</x:v>
      </x:c>
    </x:row>
    <x:row r="32" ht="44" customHeight="1">
      <x:c r="A32" s="35" t="str">
        <x:v>CYO-13-P2</x:v>
      </x:c>
      <x:c r="B32" s="35" t="str">
        <x:v>CYO-13</x:v>
      </x:c>
      <x:c r="C32" s="35" t="str">
        <x:v>Gestión del ciclo de vida de claves</x:v>
      </x:c>
      <x:c r="D32" s="35" t="str">
        <x:v>CYO-13-1</x:v>
      </x:c>
      <x:c r="E32" s="35" t="str">
        <x:v>CYO-13-2</x:v>
      </x:c>
      <x:c r="F32" s="35" t="str">
        <x:v>CYO-13-2</x:v>
      </x:c>
      <x:c r="G32" s="35" t="str">
        <x:v>Producto candidato; universo no constituido</x:v>
      </x:c>
      <x:c r="H32" s="35" t="str">
        <x:v>Selección y empleo, claves y validación de protocolos pueden separarse.</x:v>
      </x:c>
      <x:c r="I32" s="35" t="str">
        <x:v>R007; IV: cifrado, autenticación, hash y firma</x:v>
      </x:c>
    </x:row>
    <x:row r="33" ht="44" customHeight="1">
      <x:c r="A33" s="35" t="str">
        <x:v>CYO-13-P3</x:v>
      </x:c>
      <x:c r="B33" s="35" t="str">
        <x:v>CYO-13</x:v>
      </x:c>
      <x:c r="C33" s="35" t="str">
        <x:v>Validación del uso de protocolos criptográficos</x:v>
      </x:c>
      <x:c r="D33" s="35" t="str">
        <x:v>CYO-13-1</x:v>
      </x:c>
      <x:c r="E33" s="35" t="str">
        <x:v>CYO-13-2</x:v>
      </x:c>
      <x:c r="F33" s="35" t="str">
        <x:v>CYO-13-3</x:v>
      </x:c>
      <x:c r="G33" s="35" t="str">
        <x:v>Producto candidato; universo no constituido</x:v>
      </x:c>
      <x:c r="H33" s="35" t="str">
        <x:v>Selección y empleo, claves y validación de protocolos pueden separarse.</x:v>
      </x:c>
      <x:c r="I33" s="35" t="str">
        <x:v>R007; IV: cifrado, autenticación, hash y firma</x:v>
      </x:c>
    </x:row>
    <x:row r="34" ht="44" customHeight="1">
      <x:c r="A34" s="35" t="str">
        <x:v>CYO-14-P1</x:v>
      </x:c>
      <x:c r="B34" s="35" t="str">
        <x:v>CYO-14</x:v>
      </x:c>
      <x:c r="C34" s="35" t="str">
        <x:v>Evaluación del riesgo sobre un proceso físico</x:v>
      </x:c>
      <x:c r="D34" s="35" t="str">
        <x:v>CYO-14-1</x:v>
      </x:c>
      <x:c r="E34" s="35" t="str">
        <x:v>CYO-14-1</x:v>
      </x:c>
      <x:c r="F34" s="35" t="str">
        <x:v>CYO-14-1</x:v>
      </x:c>
      <x:c r="G34" s="35" t="str">
        <x:v>Producto candidato; universo no constituido</x:v>
      </x:c>
      <x:c r="H34" s="35" t="str">
        <x:v>Proceso físico, protección y mantenimiento; no extrapolación directa de IT.</x:v>
      </x:c>
      <x:c r="I34" s="35" t="str">
        <x:v>R036; IV: infraestructuras e interdependencias</x:v>
      </x:c>
    </x:row>
    <x:row r="35" ht="44" customHeight="1">
      <x:c r="A35" s="35" t="str">
        <x:v>CYO-14-P2</x:v>
      </x:c>
      <x:c r="B35" s="35" t="str">
        <x:v>CYO-14</x:v>
      </x:c>
      <x:c r="C35" s="35" t="str">
        <x:v>Diseño de protección del proceso</x:v>
      </x:c>
      <x:c r="D35" s="35" t="str">
        <x:v>CYO-14-1</x:v>
      </x:c>
      <x:c r="E35" s="35" t="str">
        <x:v>CYO-14-2</x:v>
      </x:c>
      <x:c r="F35" s="35" t="str">
        <x:v>CYO-14-2</x:v>
      </x:c>
      <x:c r="G35" s="35" t="str">
        <x:v>Producto candidato; universo no constituido</x:v>
      </x:c>
      <x:c r="H35" s="35" t="str">
        <x:v>Proceso físico, protección y mantenimiento; no extrapolación directa de IT.</x:v>
      </x:c>
      <x:c r="I35" s="35" t="str">
        <x:v>R036; IV: infraestructuras e interdependencias</x:v>
      </x:c>
    </x:row>
    <x:row r="36" ht="44" customHeight="1">
      <x:c r="A36" s="35" t="str">
        <x:v>CYO-14-P3</x:v>
      </x:c>
      <x:c r="B36" s="35" t="str">
        <x:v>CYO-14</x:v>
      </x:c>
      <x:c r="C36" s="35" t="str">
        <x:v>Mantenimiento seguro del sistema ciberfísico</x:v>
      </x:c>
      <x:c r="D36" s="35" t="str">
        <x:v>CYO-14-1</x:v>
      </x:c>
      <x:c r="E36" s="35" t="str">
        <x:v>CYO-14-2</x:v>
      </x:c>
      <x:c r="F36" s="35" t="str">
        <x:v>CYO-14-3</x:v>
      </x:c>
      <x:c r="G36" s="35" t="str">
        <x:v>Producto candidato; universo no constituido</x:v>
      </x:c>
      <x:c r="H36" s="35" t="str">
        <x:v>Proceso físico, protección y mantenimiento; no extrapolación directa de IT.</x:v>
      </x:c>
      <x:c r="I36" s="35" t="str">
        <x:v>R036; IV: infraestructuras e interdependencias</x:v>
      </x:c>
    </x:row>
    <x:row r="37" ht="44" customHeight="1">
      <x:c r="A37" s="35" t="str">
        <x:v>CYO-15-P1</x:v>
      </x:c>
      <x:c r="B37" s="35" t="str">
        <x:v>CYO-15</x:v>
      </x:c>
      <x:c r="C37" s="35" t="str">
        <x:v>Dictamen de admisibilidad de un uso concreto de IA</x:v>
      </x:c>
      <x:c r="D37" s="35" t="str">
        <x:v>CYO-15-1</x:v>
      </x:c>
      <x:c r="E37" s="35" t="str">
        <x:v>CYO-15-1</x:v>
      </x:c>
      <x:c r="F37" s="35" t="str">
        <x:v>CYO-15-1</x:v>
      </x:c>
      <x:c r="G37" s="35" t="str">
        <x:v>Producto candidato; universo no constituido</x:v>
      </x:c>
      <x:c r="H37" s="35" t="str">
        <x:v>Decisión sobre un uso concreto, diferenciada de la política general.</x:v>
      </x:c>
      <x:c r="I37" s="35" t="str">
        <x:v>M003; CLO: confianza, ética y evaluación; R037 gobierno</x:v>
      </x:c>
    </x:row>
    <x:row r="38" ht="44" customHeight="1">
      <x:c r="A38" s="35" t="str">
        <x:v>CYO-16-P1</x:v>
      </x:c>
      <x:c r="B38" s="35" t="str">
        <x:v>CYO-16</x:v>
      </x:c>
      <x:c r="C38" s="35" t="str">
        <x:v>Evaluación del diseño de un control</x:v>
      </x:c>
      <x:c r="D38" s="35" t="str">
        <x:v>CYO-16-1</x:v>
      </x:c>
      <x:c r="E38" s="35" t="str">
        <x:v>CYO-16-1</x:v>
      </x:c>
      <x:c r="F38" s="35" t="str">
        <x:v>CYO-16-1</x:v>
      </x:c>
      <x:c r="G38" s="35" t="str">
        <x:v>Producto candidato; universo no constituido</x:v>
      </x:c>
      <x:c r="H38" s="35" t="str">
        <x:v>Diseño y funcionamiento del control pueden dar productos diferentes.</x:v>
      </x:c>
      <x:c r="I38" s="35" t="str">
        <x:v>R032; II/IV: auditoría y evidencia</x:v>
      </x:c>
    </x:row>
    <x:row r="39" ht="44" customHeight="1">
      <x:c r="A39" s="35" t="str">
        <x:v>CYO-16-P2</x:v>
      </x:c>
      <x:c r="B39" s="35" t="str">
        <x:v>CYO-16</x:v>
      </x:c>
      <x:c r="C39" s="35" t="str">
        <x:v>Evaluación del funcionamiento de un control</x:v>
      </x:c>
      <x:c r="D39" s="35" t="str">
        <x:v>CYO-16-1</x:v>
      </x:c>
      <x:c r="E39" s="35" t="str">
        <x:v>CYO-16-1</x:v>
      </x:c>
      <x:c r="F39" s="35" t="str">
        <x:v>CYO-16-2</x:v>
      </x:c>
      <x:c r="G39" s="35" t="str">
        <x:v>Producto candidato; universo no constituido</x:v>
      </x:c>
      <x:c r="H39" s="35" t="str">
        <x:v>Diseño y funcionamiento del control pueden dar productos diferentes.</x:v>
      </x:c>
      <x:c r="I39" s="35" t="str">
        <x:v>R032; II/IV: auditoría y evidencia</x:v>
      </x:c>
    </x:row>
    <x:row r="40" ht="48" customHeight="1">
      <x:c r="A40" s="35" t="str">
        <x:v>CYO-17-P1</x:v>
      </x:c>
      <x:c r="B40" s="35" t="str">
        <x:v>CYO-17</x:v>
      </x:c>
      <x:c r="C40" s="35" t="str">
        <x:v>Evaluación de un tratamiento y comunicación de datos</x:v>
      </x:c>
      <x:c r="D40" s="35" t="str">
        <x:v>CYO-17-1</x:v>
      </x:c>
      <x:c r="E40" s="35" t="str">
        <x:v>CYO-17-1</x:v>
      </x:c>
      <x:c r="F40" s="35" t="str">
        <x:v>CYO-17-1</x:v>
      </x:c>
      <x:c r="G40" s="35" t="str">
        <x:v>Producto candidato; universo no constituido</x:v>
      </x:c>
      <x:c r="H40" s="35" t="str">
        <x:v>Tratamiento de datos, derechos y obligaciones según jurisdicción y función.</x:v>
      </x:c>
      <x:c r="I40" s="35" t="str">
        <x:v>R012; IV: derecho; textos vigentes concretos requieren examen propio</x:v>
      </x:c>
    </x:row>
    <x:row r="41" ht="48" customHeight="1">
      <x:c r="A41" s="35" t="str">
        <x:v>CYO-17-P2</x:v>
      </x:c>
      <x:c r="B41" s="35" t="str">
        <x:v>CYO-17</x:v>
      </x:c>
      <x:c r="C41" s="35" t="str">
        <x:v>Gestión de derechos, conservación y supresión</x:v>
      </x:c>
      <x:c r="D41" s="35" t="str">
        <x:v>CYO-17-1</x:v>
      </x:c>
      <x:c r="E41" s="35" t="str">
        <x:v>CYO-17-2</x:v>
      </x:c>
      <x:c r="F41" s="35" t="str">
        <x:v>CYO-17-2</x:v>
      </x:c>
      <x:c r="G41" s="35" t="str">
        <x:v>Producto candidato; universo no constituido</x:v>
      </x:c>
      <x:c r="H41" s="35" t="str">
        <x:v>Tratamiento de datos, derechos y obligaciones según jurisdicción y función.</x:v>
      </x:c>
      <x:c r="I41" s="35" t="str">
        <x:v>R012; IV: derecho; textos vigentes concretos requieren examen propio</x:v>
      </x:c>
    </x:row>
    <x:row r="42" ht="48" customHeight="1">
      <x:c r="A42" s="35" t="str">
        <x:v>CYO-17-P3</x:v>
      </x:c>
      <x:c r="B42" s="35" t="str">
        <x:v>CYO-17</x:v>
      </x:c>
      <x:c r="C42" s="35" t="str">
        <x:v>Evaluación de obligaciones de privacidad de terceros</x:v>
      </x:c>
      <x:c r="D42" s="35" t="str">
        <x:v>CYO-17-1</x:v>
      </x:c>
      <x:c r="E42" s="35" t="str">
        <x:v>CYO-17-2</x:v>
      </x:c>
      <x:c r="F42" s="35" t="str">
        <x:v>CYO-17-3</x:v>
      </x:c>
      <x:c r="G42" s="35" t="str">
        <x:v>Producto candidato; universo no constituido</x:v>
      </x:c>
      <x:c r="H42" s="35" t="str">
        <x:v>Tratamiento de datos, derechos y obligaciones según jurisdicción y función.</x:v>
      </x:c>
      <x:c r="I42" s="35" t="str">
        <x:v>R012; IV: derecho; textos vigentes concretos requieren examen propio</x:v>
      </x:c>
    </x:row>
    <x:row r="43" ht="48" customHeight="1">
      <x:c r="A43" s="35" t="str">
        <x:v>CYO-18-P1</x:v>
      </x:c>
      <x:c r="B43" s="35" t="str">
        <x:v>CYO-18</x:v>
      </x:c>
      <x:c r="C43" s="35" t="str">
        <x:v>Diseño curricular y cobertura educativa</x:v>
      </x:c>
      <x:c r="D43" s="35" t="str">
        <x:v>CYO-18-1</x:v>
      </x:c>
      <x:c r="E43" s="35" t="str">
        <x:v>CYO-18-1</x:v>
      </x:c>
      <x:c r="F43" s="35" t="str">
        <x:v>CYO-18-1</x:v>
      </x:c>
      <x:c r="G43" s="35" t="str">
        <x:v>Producto candidato; universo no constituido</x:v>
      </x:c>
      <x:c r="H43" s="35" t="str">
        <x:v>Resultados de aprendizaje, secuencia y cobertura del plan.</x:v>
      </x:c>
      <x:c r="I43" s="35" t="str">
        <x:v>R040; II/IV/VII.A: integración y evaluación; NICE OG-WRL-003/004</x:v>
      </x:c>
    </x:row>
    <x:row r="44" ht="44" customHeight="1">
      <x:c r="A44" s="35" t="str">
        <x:v>CYO-19-P1</x:v>
      </x:c>
      <x:c r="B44" s="35" t="str">
        <x:v>CYO-19</x:v>
      </x:c>
      <x:c r="C44" s="35" t="str">
        <x:v>Diseño de un contraste científico</x:v>
      </x:c>
      <x:c r="D44" s="35" t="str">
        <x:v>CYO-19-1</x:v>
      </x:c>
      <x:c r="E44" s="35" t="str">
        <x:v>CYO-19-1</x:v>
      </x:c>
      <x:c r="F44" s="35" t="str">
        <x:v>CYO-19-1</x:v>
      </x:c>
      <x:c r="G44" s="35" t="str">
        <x:v>Producto candidato; universo no constituido</x:v>
      </x:c>
      <x:c r="H44" s="35" t="str">
        <x:v>Diseño del contraste e interpretación; amenazas a la validez.</x:v>
      </x:c>
      <x:c r="I44" s="35" t="str">
        <x:v>W016; Learning outcomes: método y lectura crítica; R040</x:v>
      </x:c>
    </x:row>
    <x:row r="45" ht="44" customHeight="1">
      <x:c r="A45" s="35" t="str">
        <x:v>CYO-19-P2</x:v>
      </x:c>
      <x:c r="B45" s="35" t="str">
        <x:v>CYO-19</x:v>
      </x:c>
      <x:c r="C45" s="35" t="str">
        <x:v>Evaluación e interpretación de resultados de investigación</x:v>
      </x:c>
      <x:c r="D45" s="35" t="str">
        <x:v>CYO-19-1</x:v>
      </x:c>
      <x:c r="E45" s="35" t="str">
        <x:v>CYO-19-1</x:v>
      </x:c>
      <x:c r="F45" s="35" t="str">
        <x:v>CYO-19-2</x:v>
      </x:c>
      <x:c r="G45" s="35" t="str">
        <x:v>Producto candidato; universo no constituido</x:v>
      </x:c>
      <x:c r="H45" s="35" t="str">
        <x:v>Diseño del contraste e interpretación; amenazas a la validez.</x:v>
      </x:c>
      <x:c r="I45" s="35" t="str">
        <x:v>W016; Learning outcomes: método y lectura crítica; R040</x:v>
      </x:c>
    </x:row>
    <x:row r="46" ht="48" customHeight="1">
      <x:c r="A46" s="35" t="str">
        <x:v>CYO-20-P1</x:v>
      </x:c>
      <x:c r="B46" s="35" t="str">
        <x:v>CYO-20</x:v>
      </x:c>
      <x:c r="C46" s="35" t="str">
        <x:v>Investigación de un ciberdelito en el ámbito institucional competente</x:v>
      </x:c>
      <x:c r="D46" s="35" t="str">
        <x:v>Excluido</x:v>
      </x:c>
      <x:c r="E46" s="35" t="str">
        <x:v>Excluido</x:v>
      </x:c>
      <x:c r="F46" s="35" t="str">
        <x:v>CYO-20-1</x:v>
      </x:c>
      <x:c r="G46" s="35" t="str">
        <x:v>Producto candidato; universo no constituido</x:v>
      </x:c>
      <x:c r="H46" s="35" t="str">
        <x:v>Sólo el escenario amplio incorpora la frontera institucional todavía condicionada.</x:v>
      </x:c>
      <x:c r="I46" s="35" t="str">
        <x:v>R012; Ancla educativa jurídica; NICE IN-WRL-001 aporta el rol profesional</x:v>
      </x:c>
    </x:row>
    <x:row r="47" ht="44" customHeight="1">
      <x:c r="A47" s="35" t="str">
        <x:v>CYO-21-P1</x:v>
      </x:c>
      <x:c r="B47" s="35" t="str">
        <x:v>CYO-21</x:v>
      </x:c>
      <x:c r="C47" s="35" t="str">
        <x:v>Autorización institucional de puesta en operación de un sistema</x:v>
      </x:c>
      <x:c r="D47" s="35" t="str">
        <x:v>CYO-21-1</x:v>
      </x:c>
      <x:c r="E47" s="35" t="str">
        <x:v>CYO-21-1</x:v>
      </x:c>
      <x:c r="F47" s="35" t="str">
        <x:v>CYO-21-1</x:v>
      </x:c>
      <x:c r="G47" s="35" t="str">
        <x:v>Producto candidato; universo no constituido</x:v>
      </x:c>
      <x:c r="H47" s="35" t="str">
        <x:v>Evidencia de suficiencia y aceptación expresa por la autoridad.</x:v>
      </x:c>
      <x:c r="I47" s="35" t="str">
        <x:v>R037; IV: gobierno; NICE OG-WRL-013 distingue autoridad</x:v>
      </x:c>
    </x:row>
    <x:row r="48" ht="48" customHeight="1">
      <x:c r="A48" s="35" t="str">
        <x:v>CYO-22-P1</x:v>
      </x:c>
      <x:c r="B48" s="35" t="str">
        <x:v>CYO-22</x:v>
      </x:c>
      <x:c r="C48" s="35" t="str">
        <x:v>Evaluación del desempeño educativo y retroalimentación</x:v>
      </x:c>
      <x:c r="D48" s="35" t="str">
        <x:v>CYO-22-1</x:v>
      </x:c>
      <x:c r="E48" s="35" t="str">
        <x:v>CYO-22-1</x:v>
      </x:c>
      <x:c r="F48" s="35" t="str">
        <x:v>CYO-22-1</x:v>
      </x:c>
      <x:c r="G48" s="35" t="str">
        <x:v>Producto candidato; universo no constituido</x:v>
      </x:c>
      <x:c r="H48" s="35" t="str">
        <x:v>Desempeño observado y retroalimentación; no se duplica el diseño curricular.</x:v>
      </x:c>
      <x:c r="I48" s="35" t="str">
        <x:v>R038; II/IV/VII.A: proyecto formativo, tutores y memoria; M001</x:v>
      </x:c>
    </x:row>
    <x:row r="49" ht="48" customHeight="1">
      <x:c r="A49" s="35" t="str">
        <x:v>CYO-23-P1</x:v>
      </x:c>
      <x:c r="B49" s="35" t="str">
        <x:v>CYO-23</x:v>
      </x:c>
      <x:c r="C49" s="35" t="str">
        <x:v>Evaluación de robustez y seguridad de un sistema de IA</x:v>
      </x:c>
      <x:c r="D49" s="35" t="str">
        <x:v>CYO-23-1</x:v>
      </x:c>
      <x:c r="E49" s="35" t="str">
        <x:v>CYO-23-1</x:v>
      </x:c>
      <x:c r="F49" s="35" t="str">
        <x:v>CYO-23-1</x:v>
      </x:c>
      <x:c r="G49" s="35" t="str">
        <x:v>Producto candidato; universo no constituido</x:v>
      </x:c>
      <x:c r="H49" s="35" t="str">
        <x:v>Robustez y seguridad, datos y privacidad, validez y comportamiento por población.</x:v>
      </x:c>
      <x:c r="I49" s="35" t="str">
        <x:v>M002; CLO: extracción de características y evaluación; M003 robustez; M004 rendimiento</x:v>
      </x:c>
    </x:row>
    <x:row r="50" ht="48" customHeight="1">
      <x:c r="A50" s="35" t="str">
        <x:v>CYO-23-P2</x:v>
      </x:c>
      <x:c r="B50" s="35" t="str">
        <x:v>CYO-23</x:v>
      </x:c>
      <x:c r="C50" s="35" t="str">
        <x:v>Evaluación de privacidad de datos y aprendizaje</x:v>
      </x:c>
      <x:c r="D50" s="35" t="str">
        <x:v>CYO-23-1</x:v>
      </x:c>
      <x:c r="E50" s="35" t="str">
        <x:v>CYO-23-2</x:v>
      </x:c>
      <x:c r="F50" s="35" t="str">
        <x:v>CYO-23-2</x:v>
      </x:c>
      <x:c r="G50" s="35" t="str">
        <x:v>Producto candidato; universo no constituido</x:v>
      </x:c>
      <x:c r="H50" s="35" t="str">
        <x:v>Robustez y seguridad, datos y privacidad, validez y comportamiento por población.</x:v>
      </x:c>
      <x:c r="I50" s="35" t="str">
        <x:v>M002; CLO: extracción de características y evaluación; M003 robustez; M004 rendimiento</x:v>
      </x:c>
    </x:row>
    <x:row r="51" ht="48" customHeight="1">
      <x:c r="A51" s="35" t="str">
        <x:v>CYO-23-P3</x:v>
      </x:c>
      <x:c r="B51" s="35" t="str">
        <x:v>CYO-23</x:v>
      </x:c>
      <x:c r="C51" s="35" t="str">
        <x:v>Evaluación de validez, sesgo y comportamiento por población</x:v>
      </x:c>
      <x:c r="D51" s="35" t="str">
        <x:v>CYO-23-1</x:v>
      </x:c>
      <x:c r="E51" s="35" t="str">
        <x:v>CYO-23-2</x:v>
      </x:c>
      <x:c r="F51" s="35" t="str">
        <x:v>CYO-23-3</x:v>
      </x:c>
      <x:c r="G51" s="35" t="str">
        <x:v>Producto candidato; universo no constituido</x:v>
      </x:c>
      <x:c r="H51" s="35" t="str">
        <x:v>Robustez y seguridad, datos y privacidad, validez y comportamiento por población.</x:v>
      </x:c>
      <x:c r="I51" s="35" t="str">
        <x:v>M002; CLO: extracción de características y evaluación; M003 robustez; M004 rendimiento</x:v>
      </x:c>
    </x:row>
    <x:row r="52" ht="44" customHeight="1">
      <x:c r="A52" s="35" t="str">
        <x:v>CYO-24-P1</x:v>
      </x:c>
      <x:c r="B52" s="35" t="str">
        <x:v>CYO-24</x:v>
      </x:c>
      <x:c r="C52" s="35" t="str">
        <x:v>Contención de un incidente</x:v>
      </x:c>
      <x:c r="D52" s="35" t="str">
        <x:v>CYO-24-1</x:v>
      </x:c>
      <x:c r="E52" s="35" t="str">
        <x:v>CYO-24-1</x:v>
      </x:c>
      <x:c r="F52" s="35" t="str">
        <x:v>CYO-24-1</x:v>
      </x:c>
      <x:c r="G52" s="35" t="str">
        <x:v>Producto candidato; universo no constituido</x:v>
      </x:c>
      <x:c r="H52" s="35" t="str">
        <x:v>Contención y erradicación pueden necesitar universos separados.</x:v>
      </x:c>
      <x:c r="I52" s="35" t="str">
        <x:v>R033; IV: ciclo de respuesta y coordinación</x:v>
      </x:c>
    </x:row>
    <x:row r="53" ht="44" customHeight="1">
      <x:c r="A53" s="35" t="str">
        <x:v>CYO-24-P2</x:v>
      </x:c>
      <x:c r="B53" s="35" t="str">
        <x:v>CYO-24</x:v>
      </x:c>
      <x:c r="C53" s="35" t="str">
        <x:v>Erradicación y comprobación de su alcance</x:v>
      </x:c>
      <x:c r="D53" s="35" t="str">
        <x:v>CYO-24-1</x:v>
      </x:c>
      <x:c r="E53" s="35" t="str">
        <x:v>CYO-24-1</x:v>
      </x:c>
      <x:c r="F53" s="35" t="str">
        <x:v>CYO-24-2</x:v>
      </x:c>
      <x:c r="G53" s="35" t="str">
        <x:v>Producto candidato; universo no constituido</x:v>
      </x:c>
      <x:c r="H53" s="35" t="str">
        <x:v>Contención y erradicación pueden necesitar universos separados.</x:v>
      </x:c>
      <x:c r="I53" s="35" t="str">
        <x:v>R033; IV: ciclo de respuesta y coordinación</x:v>
      </x:c>
    </x:row>
    <x:row r="54" ht="44" customHeight="1">
      <x:c r="A54" s="35" t="str">
        <x:v>CYO-25-P1</x:v>
      </x:c>
      <x:c r="B54" s="35" t="str">
        <x:v>CYO-25</x:v>
      </x:c>
      <x:c r="C54" s="35" t="str">
        <x:v>Restauración de recursos y datos</x:v>
      </x:c>
      <x:c r="D54" s="35" t="str">
        <x:v>CYO-25-1</x:v>
      </x:c>
      <x:c r="E54" s="35" t="str">
        <x:v>CYO-25-1</x:v>
      </x:c>
      <x:c r="F54" s="35" t="str">
        <x:v>CYO-25-1</x:v>
      </x:c>
      <x:c r="G54" s="35" t="str">
        <x:v>Producto candidato; universo no constituido</x:v>
      </x:c>
      <x:c r="H54" s="35" t="str">
        <x:v>Restauración, integridad y reanudación se distinguen de la preparación.</x:v>
      </x:c>
      <x:c r="I54" s="35" t="str">
        <x:v>R033; IV: recuperación; R036 dependencias</x:v>
      </x:c>
    </x:row>
    <x:row r="55" ht="44" customHeight="1">
      <x:c r="A55" s="35" t="str">
        <x:v>CYO-25-P2</x:v>
      </x:c>
      <x:c r="B55" s="35" t="str">
        <x:v>CYO-25</x:v>
      </x:c>
      <x:c r="C55" s="35" t="str">
        <x:v>Reanudación comprobada del servicio</x:v>
      </x:c>
      <x:c r="D55" s="35" t="str">
        <x:v>CYO-25-1</x:v>
      </x:c>
      <x:c r="E55" s="35" t="str">
        <x:v>CYO-25-1</x:v>
      </x:c>
      <x:c r="F55" s="35" t="str">
        <x:v>CYO-25-2</x:v>
      </x:c>
      <x:c r="G55" s="35" t="str">
        <x:v>Producto candidato; universo no constituido</x:v>
      </x:c>
      <x:c r="H55" s="35" t="str">
        <x:v>Restauración, integridad y reanudación se distinguen de la preparación.</x:v>
      </x:c>
      <x:c r="I55" s="35" t="str">
        <x:v>R033; IV: recuperación; R036 dependencias</x:v>
      </x:c>
    </x:row>
    <x:row r="56" ht="48" customHeight="1">
      <x:c r="A56" s="35" t="str">
        <x:v>CYO-26-P1</x:v>
      </x:c>
      <x:c r="B56" s="35" t="str">
        <x:v>CYO-26</x:v>
      </x:c>
      <x:c r="C56" s="35" t="str">
        <x:v>OP-CYB-001: evidencia y legitimidad de corrección por actualización</x:v>
      </x:c>
      <x:c r="D56" s="35" t="str">
        <x:v>CYO-26-1</x:v>
      </x:c>
      <x:c r="E56" s="35" t="str">
        <x:v>CYO-26-1</x:v>
      </x:c>
      <x:c r="F56" s="35" t="str">
        <x:v>CYO-26-1</x:v>
      </x:c>
      <x:c r="G56" s="35" t="str">
        <x:v>Universo constituido documentalmente</x:v>
      </x:c>
      <x:c r="H56" s="35" t="str">
        <x:v>Incluye OP-CYB-001 ya constituido; además, priorización, tratamiento y excepciones según escenario.</x:v>
      </x:c>
      <x:c r="I56" s="35" t="str">
        <x:v>R035; IV: tratamiento; R034 hallazgos; NICE PD-WRL-007</x:v>
      </x:c>
    </x:row>
    <x:row r="57" ht="48" customHeight="1">
      <x:c r="A57" s="35" t="str">
        <x:v>CYO-26-P2</x:v>
      </x:c>
      <x:c r="B57" s="35" t="str">
        <x:v>CYO-26</x:v>
      </x:c>
      <x:c r="C57" s="35" t="str">
        <x:v>Priorización de vulnerabilidades</x:v>
      </x:c>
      <x:c r="D57" s="35" t="str">
        <x:v>CYO-26-2</x:v>
      </x:c>
      <x:c r="E57" s="35" t="str">
        <x:v>CYO-26-2</x:v>
      </x:c>
      <x:c r="F57" s="35" t="str">
        <x:v>CYO-26-2</x:v>
      </x:c>
      <x:c r="G57" s="35" t="str">
        <x:v>Producto candidato; universo no constituido</x:v>
      </x:c>
      <x:c r="H57" s="35" t="str">
        <x:v>Incluye OP-CYB-001 ya constituido; además, priorización, tratamiento y excepciones según escenario.</x:v>
      </x:c>
      <x:c r="I57" s="35" t="str">
        <x:v>R035; IV: tratamiento; R034 hallazgos; NICE PD-WRL-007</x:v>
      </x:c>
    </x:row>
    <x:row r="58" ht="48" customHeight="1">
      <x:c r="A58" s="35" t="str">
        <x:v>CYO-26-P3</x:v>
      </x:c>
      <x:c r="B58" s="35" t="str">
        <x:v>CYO-26</x:v>
      </x:c>
      <x:c r="C58" s="35" t="str">
        <x:v>Selección de tratamiento de una vulnerabilidad</x:v>
      </x:c>
      <x:c r="D58" s="35" t="str">
        <x:v>CYO-26-2</x:v>
      </x:c>
      <x:c r="E58" s="35" t="str">
        <x:v>CYO-26-3</x:v>
      </x:c>
      <x:c r="F58" s="35" t="str">
        <x:v>CYO-26-3</x:v>
      </x:c>
      <x:c r="G58" s="35" t="str">
        <x:v>Producto candidato; universo no constituido</x:v>
      </x:c>
      <x:c r="H58" s="35" t="str">
        <x:v>Incluye OP-CYB-001 ya constituido; además, priorización, tratamiento y excepciones según escenario.</x:v>
      </x:c>
      <x:c r="I58" s="35" t="str">
        <x:v>R035; IV: tratamiento; R034 hallazgos; NICE PD-WRL-007</x:v>
      </x:c>
    </x:row>
    <x:row r="59" ht="48" customHeight="1">
      <x:c r="A59" s="35" t="str">
        <x:v>CYO-26-P4</x:v>
      </x:c>
      <x:c r="B59" s="35" t="str">
        <x:v>CYO-26</x:v>
      </x:c>
      <x:c r="C59" s="35" t="str">
        <x:v>Gestión de excepción y reevaluación de una vulnerabilidad</x:v>
      </x:c>
      <x:c r="D59" s="35" t="str">
        <x:v>CYO-26-2</x:v>
      </x:c>
      <x:c r="E59" s="35" t="str">
        <x:v>CYO-26-3</x:v>
      </x:c>
      <x:c r="F59" s="35" t="str">
        <x:v>CYO-26-4</x:v>
      </x:c>
      <x:c r="G59" s="35" t="str">
        <x:v>Producto candidato; universo no constituido</x:v>
      </x:c>
      <x:c r="H59" s="35" t="str">
        <x:v>Incluye OP-CYB-001 ya constituido; además, priorización, tratamiento y excepciones según escenario.</x:v>
      </x:c>
      <x:c r="I59" s="35" t="str">
        <x:v>R035; IV: tratamiento; R034 hallazgos; NICE PD-WRL-007</x:v>
      </x:c>
    </x:row>
    <x:row r="60" ht="44" customHeight="1">
      <x:c r="A60" s="35" t="str">
        <x:v>CYO-27-P1</x:v>
      </x:c>
      <x:c r="B60" s="35" t="str">
        <x:v>CYO-27</x:v>
      </x:c>
      <x:c r="C60" s="35" t="str">
        <x:v>Evaluación de cobertura de hipótesis de detección</x:v>
      </x:c>
      <x:c r="D60" s="35" t="str">
        <x:v>CYO-27-1</x:v>
      </x:c>
      <x:c r="E60" s="35" t="str">
        <x:v>CYO-27-1</x:v>
      </x:c>
      <x:c r="F60" s="35" t="str">
        <x:v>CYO-27-1</x:v>
      </x:c>
      <x:c r="G60" s="35" t="str">
        <x:v>Producto candidato; universo no constituido</x:v>
      </x:c>
      <x:c r="H60" s="35" t="str">
        <x:v>Cobertura de hipótesis y validación de reglas; posible separación por finalidad.</x:v>
      </x:c>
      <x:c r="I60" s="35" t="str">
        <x:v>R033; IV: SIEM, correlación y detección; R029 red</x:v>
      </x:c>
    </x:row>
    <x:row r="61" ht="44" customHeight="1">
      <x:c r="A61" s="35" t="str">
        <x:v>CYO-27-P2</x:v>
      </x:c>
      <x:c r="B61" s="35" t="str">
        <x:v>CYO-27</x:v>
      </x:c>
      <x:c r="C61" s="35" t="str">
        <x:v>Validación de una regla de detección</x:v>
      </x:c>
      <x:c r="D61" s="35" t="str">
        <x:v>CYO-27-1</x:v>
      </x:c>
      <x:c r="E61" s="35" t="str">
        <x:v>CYO-27-1</x:v>
      </x:c>
      <x:c r="F61" s="35" t="str">
        <x:v>CYO-27-2</x:v>
      </x:c>
      <x:c r="G61" s="35" t="str">
        <x:v>Producto candidato; universo no constituido</x:v>
      </x:c>
      <x:c r="H61" s="35" t="str">
        <x:v>Cobertura de hipótesis y validación de reglas; posible separación por finalidad.</x:v>
      </x:c>
      <x:c r="I61" s="35" t="str">
        <x:v>R033; IV: SIEM, correlación y detección; R029 red</x:v>
      </x:c>
    </x:row>
    <x:row r="62" ht="44" customHeight="1">
      <x:c r="A62" s="35" t="str">
        <x:v>CYO-28-P1</x:v>
      </x:c>
      <x:c r="B62" s="35" t="str">
        <x:v>CYO-28</x:v>
      </x:c>
      <x:c r="C62" s="35" t="str">
        <x:v>Contraste de una hipótesis de búsqueda de amenazas</x:v>
      </x:c>
      <x:c r="D62" s="35" t="str">
        <x:v>CYO-28-1</x:v>
      </x:c>
      <x:c r="E62" s="35" t="str">
        <x:v>CYO-28-1</x:v>
      </x:c>
      <x:c r="F62" s="35" t="str">
        <x:v>CYO-28-1</x:v>
      </x:c>
      <x:c r="G62" s="35" t="str">
        <x:v>Producto candidato; universo no constituido</x:v>
      </x:c>
      <x:c r="H62" s="35" t="str">
        <x:v>Un producto de contraste de hipótesis, distinto de clasificar una alerta.</x:v>
      </x:c>
      <x:c r="I62" s="35" t="str">
        <x:v>R033; IV: tema 6 hunting; G009 contraste</x:v>
      </x:c>
    </x:row>
    <x:row r="63" ht="44" customHeight="1">
      <x:c r="A63" s="35" t="str">
        <x:v>CYO-29-P1</x:v>
      </x:c>
      <x:c r="B63" s="35" t="str">
        <x:v>CYO-29</x:v>
      </x:c>
      <x:c r="C63" s="35" t="str">
        <x:v>Constitución y revisión de política corporativa de IA</x:v>
      </x:c>
      <x:c r="D63" s="35" t="str">
        <x:v>CYO-29-1</x:v>
      </x:c>
      <x:c r="E63" s="35" t="str">
        <x:v>CYO-29-1</x:v>
      </x:c>
      <x:c r="F63" s="35" t="str">
        <x:v>CYO-29-1</x:v>
      </x:c>
      <x:c r="G63" s="35" t="str">
        <x:v>Producto candidato; universo no constituido</x:v>
      </x:c>
      <x:c r="H63" s="35" t="str">
        <x:v>Reglas de uso, excepciones y revisión de política; no aprobación de cada caso.</x:v>
      </x:c>
      <x:c r="I63" s="35" t="str">
        <x:v>R037; IV: gobierno; M003 ética; AN-02 especificidad IA</x:v>
      </x:c>
    </x:row>
  </x:sheetData>
  <x:mergeCells>
    <x:mergeCell ref="A1:D1"/>
    <x:mergeCell ref="A2:F2"/>
  </x:mergeCells>
  <x:pageMargins left="0.7" right="0.7" top="0.75" bottom="0.75" header="0.3" footer="0.3"/>
  <x:tableParts count="1">
    <x:tablePart xmlns:r="http://schemas.openxmlformats.org/officeDocument/2006/relationships" r:id="R6cbb2b6e629b4759"/>
  </x:tableParts>
</x:worksheet>
</file>

<file path=xl/worksheets/sheet78.xml><?xml version="1.0" encoding="utf-8"?>
<x:worksheet xmlns:x="http://schemas.openxmlformats.org/spreadsheetml/2006/main">
  <x:sheetPr>
    <x:tabColor rgb="FF6994AD"/>
  </x:sheetPr>
  <x:sheetViews>
    <x:sheetView showGridLines="0" workbookViewId="0">
      <x:pane xSplit="1" ySplit="4" topLeftCell="B5" activePane="bottomRight" state="frozen"/>
    </x:sheetView>
  </x:sheetViews>
  <x:sheetFormatPr defaultRowHeight="15"/>
  <x:cols>
    <x:col min="1" max="1" width="20" hidden="0" customWidth="1"/>
    <x:col min="2" max="2" width="48" hidden="0" customWidth="1"/>
    <x:col min="3" max="3" width="22" hidden="0" customWidth="1"/>
    <x:col min="4" max="4" width="22" hidden="0" customWidth="1"/>
    <x:col min="5" max="5" width="22" hidden="0" customWidth="1"/>
    <x:col min="6" max="6" width="24" hidden="0" customWidth="1"/>
    <x:col min="7" max="7" width="24" hidden="0" customWidth="1"/>
    <x:col min="8" max="8" width="24" hidden="0" customWidth="1"/>
    <x:col min="9" max="9" width="39" hidden="0" customWidth="1"/>
    <x:col min="10" max="10" width="17" hidden="0" customWidth="1"/>
    <x:col min="11" max="11" width="22" hidden="0" customWidth="1"/>
    <x:col min="12" max="12" width="22" hidden="0" customWidth="1"/>
    <x:col min="13" max="13" width="22" hidden="0" customWidth="1"/>
    <x:col min="14" max="14" width="102" hidden="0" customWidth="1"/>
    <x:col min="15" max="15" width="78" hidden="0" customWidth="1"/>
  </x:cols>
  <x:sheetData>
    <x:row r="1" ht="34" customHeight="1">
      <x:c r="A1" s="36" t="str">
        <x:v>Escenarios de planificación del dominio</x:v>
      </x:c>
      <x:c r="B1" s="35"/>
      <x:c r="C1" s="35"/>
      <x:c r="D1" s="35"/>
      <x:c r="E1" s="35"/>
      <x:c r="F1" s="35"/>
      <x:c r="G1" s="35"/>
      <x:c r="H1" s="35"/>
      <x:c r="I1" s="35"/>
      <x:c r="J1" s="35"/>
      <x:c r="K1" s="35"/>
      <x:c r="L1" s="35"/>
      <x:c r="M1" s="35"/>
      <x:c r="N1" s="35"/>
      <x:c r="O1" s="35"/>
    </x:row>
    <x:row r="2" ht="48" customHeight="1">
      <x:c r="A2" s="37" t="str">
        <x:v>Hipótesis editables en ámbar. El descuento de ocho identidades evita contarlas de nuevo en las incidencias pendientes.</x:v>
      </x:c>
      <x:c r="B2" s="35"/>
      <x:c r="C2" s="35"/>
      <x:c r="D2" s="35"/>
      <x:c r="E2" s="35"/>
      <x:c r="F2" s="35"/>
      <x:c r="G2" s="35"/>
      <x:c r="H2" s="35"/>
      <x:c r="I2" s="35"/>
      <x:c r="J2" s="35"/>
      <x:c r="K2" s="35"/>
      <x:c r="L2" s="35"/>
      <x:c r="M2" s="35"/>
      <x:c r="N2" s="35"/>
      <x:c r="O2" s="35"/>
    </x:row>
    <x:row r="3">
      <x:c r="A3" s="35"/>
      <x:c r="B3" s="35"/>
      <x:c r="C3" s="35"/>
      <x:c r="D3" s="35"/>
      <x:c r="E3" s="35"/>
      <x:c r="F3" s="35"/>
      <x:c r="G3" s="35"/>
      <x:c r="H3" s="35"/>
      <x:c r="I3" s="35"/>
      <x:c r="J3" s="35"/>
      <x:c r="K3" s="35"/>
      <x:c r="L3" s="35"/>
      <x:c r="M3" s="35"/>
      <x:c r="N3" s="35"/>
      <x:c r="O3" s="35"/>
    </x:row>
    <x:row r="4" ht="62" customHeight="1">
      <x:c r="A4" s="51" t="str">
        <x:v>Operación</x:v>
      </x:c>
      <x:c r="B4" s="51" t="str">
        <x:v>Familia profesional</x:v>
      </x:c>
      <x:c r="C4" s="51" t="str">
        <x:v>Universos compacto</x:v>
      </x:c>
      <x:c r="D4" s="51" t="str">
        <x:v>Universos central</x:v>
      </x:c>
      <x:c r="E4" s="51" t="str">
        <x:v>Universos amplio</x:v>
      </x:c>
      <x:c r="F4" s="51" t="str">
        <x:v>Presupuesto compacto anterior</x:v>
      </x:c>
      <x:c r="G4" s="51" t="str">
        <x:v>Presupuesto central anterior</x:v>
      </x:c>
      <x:c r="H4" s="51" t="str">
        <x:v>Presupuesto amplio anterior</x:v>
      </x:c>
      <x:c r="I4" s="51" t="str">
        <x:v>Identidades ya contadas</x:v>
      </x:c>
      <x:c r="J4" s="51" t="str">
        <x:v>Descuento</x:v>
      </x:c>
      <x:c r="K4" s="51" t="str">
        <x:v>Pendientes compacto</x:v>
      </x:c>
      <x:c r="L4" s="51" t="str">
        <x:v>Pendientes central</x:v>
      </x:c>
      <x:c r="M4" s="51" t="str">
        <x:v>Pendientes amplio</x:v>
      </x:c>
      <x:c r="N4" s="51" t="str">
        <x:v>Razón de separación</x:v>
      </x:c>
      <x:c r="O4" s="51" t="str">
        <x:v>Referencia educativa</x:v>
      </x:c>
    </x:row>
    <x:row r="5" ht="44" customHeight="1">
      <x:c r="A5" s="35" t="str">
        <x:v>CYO-01</x:v>
      </x:c>
      <x:c r="B5" s="35" t="str">
        <x:v>Riesgo y tratamiento</x:v>
      </x:c>
      <x:c r="C5" s="52" t="n">
        <x:v>1</x:v>
      </x:c>
      <x:c r="D5" s="52" t="n">
        <x:v>1</x:v>
      </x:c>
      <x:c r="E5" s="52" t="n">
        <x:v>2</x:v>
      </x:c>
      <x:c r="F5" s="52" t="n">
        <x:v>16</x:v>
      </x:c>
      <x:c r="G5" s="52" t="n">
        <x:v>24</x:v>
      </x:c>
      <x:c r="H5" s="52" t="n">
        <x:v>40</x:v>
      </x:c>
      <x:c r="I5" s="35" t="str"/>
      <x:c r="J5" s="40" t="n">
        <x:v>0</x:v>
      </x:c>
      <x:c r="K5" s="40" t="n">
        <x:f>F5-J5</x:f>
        <x:v>16</x:v>
      </x:c>
      <x:c r="L5" s="40" t="n">
        <x:f>G5-J5</x:f>
        <x:v>24</x:v>
      </x:c>
      <x:c r="M5" s="40" t="n">
        <x:f>H5-J5</x:f>
        <x:v>40</x:v>
      </x:c>
      <x:c r="N5" s="35" t="str">
        <x:v>Separación eventual entre valoración del riesgo y selección del tratamiento.</x:v>
      </x:c>
      <x:c r="O5" s="35" t="str">
        <x:v>R035; IV: métodos, calibración, tratamiento y comunicación</x:v>
      </x:c>
    </x:row>
    <x:row r="6" ht="48" customHeight="1">
      <x:c r="A6" s="35" t="str">
        <x:v>CYO-02</x:v>
      </x:c>
      <x:c r="B6" s="35" t="str">
        <x:v>Arquitectura segura</x:v>
      </x:c>
      <x:c r="C6" s="52" t="n">
        <x:v>1</x:v>
      </x:c>
      <x:c r="D6" s="52" t="n">
        <x:v>2</x:v>
      </x:c>
      <x:c r="E6" s="52" t="n">
        <x:v>3</x:v>
      </x:c>
      <x:c r="F6" s="52" t="n">
        <x:v>20</x:v>
      </x:c>
      <x:c r="G6" s="52" t="n">
        <x:v>32</x:v>
      </x:c>
      <x:c r="H6" s="52" t="n">
        <x:v>52</x:v>
      </x:c>
      <x:c r="I6" s="35" t="str"/>
      <x:c r="J6" s="40" t="n">
        <x:v>0</x:v>
      </x:c>
      <x:c r="K6" s="40" t="n">
        <x:f>F6-J6</x:f>
        <x:v>20</x:v>
      </x:c>
      <x:c r="L6" s="40" t="n">
        <x:f>G6-J6</x:f>
        <x:v>32</x:v>
      </x:c>
      <x:c r="M6" s="40" t="n">
        <x:f>H6-J6</x:f>
        <x:v>52</x:v>
      </x:c>
      <x:c r="N6" s="35" t="str">
        <x:v>Fronteras de confianza, aislamiento e integración pueden requerir productos distintos.</x:v>
      </x:c>
      <x:c r="O6" s="35" t="str">
        <x:v>R019; IV: seguridad de redes; complemento R029 redes/nube</x:v>
      </x:c>
    </x:row>
    <x:row r="7" ht="48" customHeight="1">
      <x:c r="A7" s="35" t="str">
        <x:v>CYO-03</x:v>
      </x:c>
      <x:c r="B7" s="35" t="str">
        <x:v>Acceso y privilegios</x:v>
      </x:c>
      <x:c r="C7" s="52" t="n">
        <x:v>1</x:v>
      </x:c>
      <x:c r="D7" s="52" t="n">
        <x:v>1</x:v>
      </x:c>
      <x:c r="E7" s="52" t="n">
        <x:v>2</x:v>
      </x:c>
      <x:c r="F7" s="52" t="n">
        <x:v>14</x:v>
      </x:c>
      <x:c r="G7" s="52" t="n">
        <x:v>22</x:v>
      </x:c>
      <x:c r="H7" s="52" t="n">
        <x:v>36</x:v>
      </x:c>
      <x:c r="I7" s="35" t="str">
        <x:v>P25, P27, P28, P29, P31</x:v>
      </x:c>
      <x:c r="J7" s="40" t="n">
        <x:v>5</x:v>
      </x:c>
      <x:c r="K7" s="40" t="n">
        <x:f>F7-J7</x:f>
        <x:v>9</x:v>
      </x:c>
      <x:c r="L7" s="40" t="n">
        <x:f>G7-J7</x:f>
        <x:v>17</x:v>
      </x:c>
      <x:c r="M7" s="40" t="n">
        <x:f>H7-J7</x:f>
        <x:v>31</x:v>
      </x:c>
      <x:c r="N7" s="35" t="str">
        <x:v>Concesión, revisión y revocación; posible separación entre identidad y privilegio.</x:v>
      </x:c>
      <x:c r="O7" s="35" t="str">
        <x:v>R024; IV: acceso y seguridad de datos; contraste NICE T1548</x:v>
      </x:c>
    </x:row>
    <x:row r="8" ht="44" customHeight="1">
      <x:c r="A8" s="35" t="str">
        <x:v>CYO-04</x:v>
      </x:c>
      <x:c r="B8" s="35" t="str">
        <x:v>Evaluación técnica autorizada</x:v>
      </x:c>
      <x:c r="C8" s="52" t="n">
        <x:v>1</x:v>
      </x:c>
      <x:c r="D8" s="52" t="n">
        <x:v>2</x:v>
      </x:c>
      <x:c r="E8" s="52" t="n">
        <x:v>3</x:v>
      </x:c>
      <x:c r="F8" s="52" t="n">
        <x:v>18</x:v>
      </x:c>
      <x:c r="G8" s="52" t="n">
        <x:v>30</x:v>
      </x:c>
      <x:c r="H8" s="52" t="n">
        <x:v>48</x:v>
      </x:c>
      <x:c r="I8" s="35" t="str"/>
      <x:c r="J8" s="40" t="n">
        <x:v>0</x:v>
      </x:c>
      <x:c r="K8" s="40" t="n">
        <x:f>F8-J8</x:f>
        <x:v>18</x:v>
      </x:c>
      <x:c r="L8" s="40" t="n">
        <x:f>G8-J8</x:f>
        <x:v>30</x:v>
      </x:c>
      <x:c r="M8" s="40" t="n">
        <x:f>H8-J8</x:f>
        <x:v>48</x:v>
      </x:c>
      <x:c r="N8" s="35" t="str">
        <x:v>Configuración, aplicación y red presentan objetos y criterios diferentes.</x:v>
      </x:c>
      <x:c r="O8" s="35" t="str">
        <x:v>R034; IV: alcance, fases y pruebas; R015 como base</x:v>
      </x:c>
    </x:row>
    <x:row r="9" ht="48" customHeight="1">
      <x:c r="A9" s="35" t="str">
        <x:v>CYO-05</x:v>
      </x:c>
      <x:c r="B9" s="35" t="str">
        <x:v>Entrega segura de software</x:v>
      </x:c>
      <x:c r="C9" s="52" t="n">
        <x:v>1</x:v>
      </x:c>
      <x:c r="D9" s="52" t="n">
        <x:v>2</x:v>
      </x:c>
      <x:c r="E9" s="52" t="n">
        <x:v>3</x:v>
      </x:c>
      <x:c r="F9" s="52" t="n">
        <x:v>20</x:v>
      </x:c>
      <x:c r="G9" s="52" t="n">
        <x:v>32</x:v>
      </x:c>
      <x:c r="H9" s="52" t="n">
        <x:v>50</x:v>
      </x:c>
      <x:c r="I9" s="35" t="str"/>
      <x:c r="J9" s="40" t="n">
        <x:v>0</x:v>
      </x:c>
      <x:c r="K9" s="40" t="n">
        <x:f>F9-J9</x:f>
        <x:v>20</x:v>
      </x:c>
      <x:c r="L9" s="40" t="n">
        <x:f>G9-J9</x:f>
        <x:v>32</x:v>
      </x:c>
      <x:c r="M9" s="40" t="n">
        <x:f>H9-J9</x:f>
        <x:v>50</x:v>
      </x:c>
      <x:c r="N9" s="35" t="str">
        <x:v>Construcción, dependencia y liberación; estados de procedencia y verificación propios.</x:v>
      </x:c>
      <x:c r="O9" s="35" t="str">
        <x:v>R028; IV: desarrollo y análisis seguro; R023 ingeniería</x:v>
      </x:c>
    </x:row>
    <x:row r="10" ht="48" customHeight="1">
      <x:c r="A10" s="35" t="str">
        <x:v>CYO-06</x:v>
      </x:c>
      <x:c r="B10" s="35" t="str">
        <x:v>Proveedor y dependencia</x:v>
      </x:c>
      <x:c r="C10" s="52" t="n">
        <x:v>1</x:v>
      </x:c>
      <x:c r="D10" s="52" t="n">
        <x:v>1</x:v>
      </x:c>
      <x:c r="E10" s="52" t="n">
        <x:v>2</x:v>
      </x:c>
      <x:c r="F10" s="52" t="n">
        <x:v>10</x:v>
      </x:c>
      <x:c r="G10" s="52" t="n">
        <x:v>18</x:v>
      </x:c>
      <x:c r="H10" s="52" t="n">
        <x:v>30</x:v>
      </x:c>
      <x:c r="I10" s="35" t="str"/>
      <x:c r="J10" s="40" t="n">
        <x:v>0</x:v>
      </x:c>
      <x:c r="K10" s="40" t="n">
        <x:f>F10-J10</x:f>
        <x:v>10</x:v>
      </x:c>
      <x:c r="L10" s="40" t="n">
        <x:f>G10-J10</x:f>
        <x:v>18</x:v>
      </x:c>
      <x:c r="M10" s="40" t="n">
        <x:f>H10-J10</x:f>
        <x:v>30</x:v>
      </x:c>
      <x:c r="N10" s="35" t="str">
        <x:v>Evaluación inicial y seguimiento contractual pueden separarse.</x:v>
      </x:c>
      <x:c r="O10" s="35" t="str">
        <x:v>R035; IV: transferencia y tratamiento; NICE OG-WRL-017 como contraste</x:v>
      </x:c>
    </x:row>
    <x:row r="11" ht="44" customHeight="1">
      <x:c r="A11" s="35" t="str">
        <x:v>CYO-07</x:v>
      </x:c>
      <x:c r="B11" s="35" t="str">
        <x:v>Clasificación de alertas</x:v>
      </x:c>
      <x:c r="C11" s="52" t="n">
        <x:v>1</x:v>
      </x:c>
      <x:c r="D11" s="52" t="n">
        <x:v>1</x:v>
      </x:c>
      <x:c r="E11" s="52" t="n">
        <x:v>1</x:v>
      </x:c>
      <x:c r="F11" s="52" t="n">
        <x:v>12</x:v>
      </x:c>
      <x:c r="G11" s="52" t="n">
        <x:v>18</x:v>
      </x:c>
      <x:c r="H11" s="52" t="n">
        <x:v>28</x:v>
      </x:c>
      <x:c r="I11" s="35" t="str"/>
      <x:c r="J11" s="40" t="n">
        <x:v>0</x:v>
      </x:c>
      <x:c r="K11" s="40" t="n">
        <x:f>F11-J11</x:f>
        <x:v>12</x:v>
      </x:c>
      <x:c r="L11" s="40" t="n">
        <x:f>G11-J11</x:f>
        <x:v>18</x:v>
      </x:c>
      <x:c r="M11" s="40" t="n">
        <x:f>H11-J11</x:f>
        <x:v>28</x:v>
      </x:c>
      <x:c r="N11" s="35" t="str">
        <x:v>Un producto de clasificación, con evidencia, contexto y errores diferenciados.</x:v>
      </x:c>
      <x:c r="O11" s="35" t="str">
        <x:v>R033; IV: SOC, correlación y gestión de incidentes</x:v>
      </x:c>
    </x:row>
    <x:row r="12" ht="44" customHeight="1">
      <x:c r="A12" s="35" t="str">
        <x:v>CYO-08</x:v>
      </x:c>
      <x:c r="B12" s="35" t="str">
        <x:v>Inteligencia de amenazas</x:v>
      </x:c>
      <x:c r="C12" s="52" t="n">
        <x:v>1</x:v>
      </x:c>
      <x:c r="D12" s="52" t="n">
        <x:v>1</x:v>
      </x:c>
      <x:c r="E12" s="52" t="n">
        <x:v>2</x:v>
      </x:c>
      <x:c r="F12" s="52" t="n">
        <x:v>12</x:v>
      </x:c>
      <x:c r="G12" s="52" t="n">
        <x:v>20</x:v>
      </x:c>
      <x:c r="H12" s="52" t="n">
        <x:v>32</x:v>
      </x:c>
      <x:c r="I12" s="35" t="str"/>
      <x:c r="J12" s="40" t="n">
        <x:v>0</x:v>
      </x:c>
      <x:c r="K12" s="40" t="n">
        <x:f>F12-J12</x:f>
        <x:v>12</x:v>
      </x:c>
      <x:c r="L12" s="40" t="n">
        <x:f>G12-J12</x:f>
        <x:v>20</x:v>
      </x:c>
      <x:c r="M12" s="40" t="n">
        <x:f>H12-J12</x:f>
        <x:v>32</x:v>
      </x:c>
      <x:c r="N12" s="35" t="str">
        <x:v>Producción analítica y aplicabilidad operativa de información recibida.</x:v>
      </x:c>
      <x:c r="O12" s="35" t="str">
        <x:v>R033; IV: inteligencia de amenazas</x:v>
      </x:c>
    </x:row>
    <x:row r="13" ht="44" customHeight="1">
      <x:c r="A13" s="35" t="str">
        <x:v>CYO-09</x:v>
      </x:c>
      <x:c r="B13" s="35" t="str">
        <x:v>Plan de respuesta</x:v>
      </x:c>
      <x:c r="C13" s="52" t="n">
        <x:v>1</x:v>
      </x:c>
      <x:c r="D13" s="52" t="n">
        <x:v>1</x:v>
      </x:c>
      <x:c r="E13" s="52" t="n">
        <x:v>1</x:v>
      </x:c>
      <x:c r="F13" s="52" t="n">
        <x:v>8</x:v>
      </x:c>
      <x:c r="G13" s="52" t="n">
        <x:v>14</x:v>
      </x:c>
      <x:c r="H13" s="52" t="n">
        <x:v>24</x:v>
      </x:c>
      <x:c r="I13" s="35" t="str"/>
      <x:c r="J13" s="40" t="n">
        <x:v>0</x:v>
      </x:c>
      <x:c r="K13" s="40" t="n">
        <x:f>F13-J13</x:f>
        <x:v>8</x:v>
      </x:c>
      <x:c r="L13" s="40" t="n">
        <x:f>G13-J13</x:f>
        <x:v>14</x:v>
      </x:c>
      <x:c r="M13" s="40" t="n">
        <x:f>H13-J13</x:f>
        <x:v>24</x:v>
      </x:c>
      <x:c r="N13" s="35" t="str">
        <x:v>Preparación y decisión del plan, separadas de la respuesta efectiva.</x:v>
      </x:c>
      <x:c r="O13" s="35" t="str">
        <x:v>R033; IV: respuesta; R035 balance de tratamiento</x:v>
      </x:c>
    </x:row>
    <x:row r="14" ht="44" customHeight="1">
      <x:c r="A14" s="35" t="str">
        <x:v>CYO-10</x:v>
      </x:c>
      <x:c r="B14" s="35" t="str">
        <x:v>Análisis forense</x:v>
      </x:c>
      <x:c r="C14" s="52" t="n">
        <x:v>1</x:v>
      </x:c>
      <x:c r="D14" s="52" t="n">
        <x:v>2</x:v>
      </x:c>
      <x:c r="E14" s="52" t="n">
        <x:v>3</x:v>
      </x:c>
      <x:c r="F14" s="52" t="n">
        <x:v>18</x:v>
      </x:c>
      <x:c r="G14" s="52" t="n">
        <x:v>30</x:v>
      </x:c>
      <x:c r="H14" s="52" t="n">
        <x:v>48</x:v>
      </x:c>
      <x:c r="I14" s="35" t="str"/>
      <x:c r="J14" s="40" t="n">
        <x:v>0</x:v>
      </x:c>
      <x:c r="K14" s="40" t="n">
        <x:f>F14-J14</x:f>
        <x:v>18</x:v>
      </x:c>
      <x:c r="L14" s="40" t="n">
        <x:f>G14-J14</x:f>
        <x:v>30</x:v>
      </x:c>
      <x:c r="M14" s="40" t="n">
        <x:f>H14-J14</x:f>
        <x:v>48</x:v>
      </x:c>
      <x:c r="N14" s="35" t="str">
        <x:v>Adquisición, reconstrucción e interpretación pueden exigir productos diferentes.</x:v>
      </x:c>
      <x:c r="O14" s="35" t="str">
        <x:v>R033; IV: DFIR y cadena de custodia</x:v>
      </x:c>
    </x:row>
    <x:row r="15" ht="44" customHeight="1">
      <x:c r="A15" s="35" t="str">
        <x:v>CYO-11</x:v>
      </x:c>
      <x:c r="B15" s="35" t="str">
        <x:v>Preparación de recuperación</x:v>
      </x:c>
      <x:c r="C15" s="52" t="n">
        <x:v>1</x:v>
      </x:c>
      <x:c r="D15" s="52" t="n">
        <x:v>1</x:v>
      </x:c>
      <x:c r="E15" s="52" t="n">
        <x:v>2</x:v>
      </x:c>
      <x:c r="F15" s="52" t="n">
        <x:v>12</x:v>
      </x:c>
      <x:c r="G15" s="52" t="n">
        <x:v>20</x:v>
      </x:c>
      <x:c r="H15" s="52" t="n">
        <x:v>32</x:v>
      </x:c>
      <x:c r="I15" s="35" t="str"/>
      <x:c r="J15" s="40" t="n">
        <x:v>0</x:v>
      </x:c>
      <x:c r="K15" s="40" t="n">
        <x:f>F15-J15</x:f>
        <x:v>12</x:v>
      </x:c>
      <x:c r="L15" s="40" t="n">
        <x:f>G15-J15</x:f>
        <x:v>20</x:v>
      </x:c>
      <x:c r="M15" s="40" t="n">
        <x:f>H15-J15</x:f>
        <x:v>32</x:v>
      </x:c>
      <x:c r="N15" s="35" t="str">
        <x:v>Preparación y prueba del plan; no se cuenta la restauración efectiva aquí.</x:v>
      </x:c>
      <x:c r="O15" s="35" t="str">
        <x:v>R033; IV: BCP/DRP, RPO y RTO</x:v>
      </x:c>
    </x:row>
    <x:row r="16" ht="48" customHeight="1">
      <x:c r="A16" s="35" t="str">
        <x:v>CYO-12</x:v>
      </x:c>
      <x:c r="B16" s="35" t="str">
        <x:v>Cambio y mantenimiento</x:v>
      </x:c>
      <x:c r="C16" s="52" t="n">
        <x:v>1</x:v>
      </x:c>
      <x:c r="D16" s="52" t="n">
        <x:v>1</x:v>
      </x:c>
      <x:c r="E16" s="52" t="n">
        <x:v>2</x:v>
      </x:c>
      <x:c r="F16" s="52" t="n">
        <x:v>6</x:v>
      </x:c>
      <x:c r="G16" s="52" t="n">
        <x:v>10</x:v>
      </x:c>
      <x:c r="H16" s="52" t="n">
        <x:v>18</x:v>
      </x:c>
      <x:c r="I16" s="35" t="str">
        <x:v>P32</x:v>
      </x:c>
      <x:c r="J16" s="40" t="n">
        <x:v>1</x:v>
      </x:c>
      <x:c r="K16" s="40" t="n">
        <x:f>F16-J16</x:f>
        <x:v>5</x:v>
      </x:c>
      <x:c r="L16" s="40" t="n">
        <x:f>G16-J16</x:f>
        <x:v>9</x:v>
      </x:c>
      <x:c r="M16" s="40" t="n">
        <x:f>H16-J16</x:f>
        <x:v>17</x:v>
      </x:c>
      <x:c r="N16" s="35" t="str">
        <x:v>Diseño y autorización del cambio; se descuenta el cierre por actualización ya constituido.</x:v>
      </x:c>
      <x:c r="O16" s="35" t="str">
        <x:v>R025; IV: sistemas operativos; R019 configuración segura</x:v>
      </x:c>
    </x:row>
    <x:row r="17" ht="44" customHeight="1">
      <x:c r="A17" s="35" t="str">
        <x:v>CYO-13</x:v>
      </x:c>
      <x:c r="B17" s="35" t="str">
        <x:v>Protección criptográfica</x:v>
      </x:c>
      <x:c r="C17" s="52" t="n">
        <x:v>1</x:v>
      </x:c>
      <x:c r="D17" s="52" t="n">
        <x:v>2</x:v>
      </x:c>
      <x:c r="E17" s="52" t="n">
        <x:v>3</x:v>
      </x:c>
      <x:c r="F17" s="52" t="n">
        <x:v>18</x:v>
      </x:c>
      <x:c r="G17" s="52" t="n">
        <x:v>28</x:v>
      </x:c>
      <x:c r="H17" s="52" t="n">
        <x:v>44</x:v>
      </x:c>
      <x:c r="I17" s="35" t="str"/>
      <x:c r="J17" s="40" t="n">
        <x:v>0</x:v>
      </x:c>
      <x:c r="K17" s="40" t="n">
        <x:f>F17-J17</x:f>
        <x:v>18</x:v>
      </x:c>
      <x:c r="L17" s="40" t="n">
        <x:f>G17-J17</x:f>
        <x:v>28</x:v>
      </x:c>
      <x:c r="M17" s="40" t="n">
        <x:f>H17-J17</x:f>
        <x:v>44</x:v>
      </x:c>
      <x:c r="N17" s="35" t="str">
        <x:v>Selección y empleo, claves y validación de protocolos pueden separarse.</x:v>
      </x:c>
      <x:c r="O17" s="35" t="str">
        <x:v>R007; IV: cifrado, autenticación, hash y firma</x:v>
      </x:c>
    </x:row>
    <x:row r="18" ht="44" customHeight="1">
      <x:c r="A18" s="35" t="str">
        <x:v>CYO-14</x:v>
      </x:c>
      <x:c r="B18" s="35" t="str">
        <x:v>Seguridad de sistemas ciberfísicos</x:v>
      </x:c>
      <x:c r="C18" s="52" t="n">
        <x:v>1</x:v>
      </x:c>
      <x:c r="D18" s="52" t="n">
        <x:v>2</x:v>
      </x:c>
      <x:c r="E18" s="52" t="n">
        <x:v>3</x:v>
      </x:c>
      <x:c r="F18" s="52" t="n">
        <x:v>22</x:v>
      </x:c>
      <x:c r="G18" s="52" t="n">
        <x:v>36</x:v>
      </x:c>
      <x:c r="H18" s="52" t="n">
        <x:v>58</x:v>
      </x:c>
      <x:c r="I18" s="35" t="str"/>
      <x:c r="J18" s="40" t="n">
        <x:v>0</x:v>
      </x:c>
      <x:c r="K18" s="40" t="n">
        <x:f>F18-J18</x:f>
        <x:v>22</x:v>
      </x:c>
      <x:c r="L18" s="40" t="n">
        <x:f>G18-J18</x:f>
        <x:v>36</x:v>
      </x:c>
      <x:c r="M18" s="40" t="n">
        <x:f>H18-J18</x:f>
        <x:v>58</x:v>
      </x:c>
      <x:c r="N18" s="35" t="str">
        <x:v>Proceso físico, protección y mantenimiento; no extrapolación directa de IT.</x:v>
      </x:c>
      <x:c r="O18" s="35" t="str">
        <x:v>R036; IV: infraestructuras e interdependencias</x:v>
      </x:c>
    </x:row>
    <x:row r="19" ht="44" customHeight="1">
      <x:c r="A19" s="35" t="str">
        <x:v>CYO-15</x:v>
      </x:c>
      <x:c r="B19" s="35" t="str">
        <x:v>Admisibilidad de un uso de IA</x:v>
      </x:c>
      <x:c r="C19" s="52" t="n">
        <x:v>1</x:v>
      </x:c>
      <x:c r="D19" s="52" t="n">
        <x:v>1</x:v>
      </x:c>
      <x:c r="E19" s="52" t="n">
        <x:v>1</x:v>
      </x:c>
      <x:c r="F19" s="52" t="n">
        <x:v>8</x:v>
      </x:c>
      <x:c r="G19" s="52" t="n">
        <x:v>14</x:v>
      </x:c>
      <x:c r="H19" s="52" t="n">
        <x:v>24</x:v>
      </x:c>
      <x:c r="I19" s="35" t="str"/>
      <x:c r="J19" s="40" t="n">
        <x:v>0</x:v>
      </x:c>
      <x:c r="K19" s="40" t="n">
        <x:f>F19-J19</x:f>
        <x:v>8</x:v>
      </x:c>
      <x:c r="L19" s="40" t="n">
        <x:f>G19-J19</x:f>
        <x:v>14</x:v>
      </x:c>
      <x:c r="M19" s="40" t="n">
        <x:f>H19-J19</x:f>
        <x:v>24</x:v>
      </x:c>
      <x:c r="N19" s="35" t="str">
        <x:v>Decisión sobre un uso concreto, diferenciada de la política general.</x:v>
      </x:c>
      <x:c r="O19" s="35" t="str">
        <x:v>M003; CLO: confianza, ética y evaluación; R037 gobierno</x:v>
      </x:c>
    </x:row>
    <x:row r="20" ht="44" customHeight="1">
      <x:c r="A20" s="35" t="str">
        <x:v>CYO-16</x:v>
      </x:c>
      <x:c r="B20" s="35" t="str">
        <x:v>Auditoría de controles</x:v>
      </x:c>
      <x:c r="C20" s="52" t="n">
        <x:v>1</x:v>
      </x:c>
      <x:c r="D20" s="52" t="n">
        <x:v>1</x:v>
      </x:c>
      <x:c r="E20" s="52" t="n">
        <x:v>2</x:v>
      </x:c>
      <x:c r="F20" s="52" t="n">
        <x:v>10</x:v>
      </x:c>
      <x:c r="G20" s="52" t="n">
        <x:v>16</x:v>
      </x:c>
      <x:c r="H20" s="52" t="n">
        <x:v>26</x:v>
      </x:c>
      <x:c r="I20" s="35" t="str"/>
      <x:c r="J20" s="40" t="n">
        <x:v>0</x:v>
      </x:c>
      <x:c r="K20" s="40" t="n">
        <x:f>F20-J20</x:f>
        <x:v>10</x:v>
      </x:c>
      <x:c r="L20" s="40" t="n">
        <x:f>G20-J20</x:f>
        <x:v>16</x:v>
      </x:c>
      <x:c r="M20" s="40" t="n">
        <x:f>H20-J20</x:f>
        <x:v>26</x:v>
      </x:c>
      <x:c r="N20" s="35" t="str">
        <x:v>Diseño y funcionamiento del control pueden dar productos diferentes.</x:v>
      </x:c>
      <x:c r="O20" s="35" t="str">
        <x:v>R032; II/IV: auditoría y evidencia</x:v>
      </x:c>
    </x:row>
    <x:row r="21" ht="48" customHeight="1">
      <x:c r="A21" s="35" t="str">
        <x:v>CYO-17</x:v>
      </x:c>
      <x:c r="B21" s="35" t="str">
        <x:v>Privacidad y obligaciones</x:v>
      </x:c>
      <x:c r="C21" s="52" t="n">
        <x:v>1</x:v>
      </x:c>
      <x:c r="D21" s="52" t="n">
        <x:v>2</x:v>
      </x:c>
      <x:c r="E21" s="52" t="n">
        <x:v>3</x:v>
      </x:c>
      <x:c r="F21" s="52" t="n">
        <x:v>12</x:v>
      </x:c>
      <x:c r="G21" s="52" t="n">
        <x:v>22</x:v>
      </x:c>
      <x:c r="H21" s="52" t="n">
        <x:v>38</x:v>
      </x:c>
      <x:c r="I21" s="35" t="str"/>
      <x:c r="J21" s="40" t="n">
        <x:v>0</x:v>
      </x:c>
      <x:c r="K21" s="40" t="n">
        <x:f>F21-J21</x:f>
        <x:v>12</x:v>
      </x:c>
      <x:c r="L21" s="40" t="n">
        <x:f>G21-J21</x:f>
        <x:v>22</x:v>
      </x:c>
      <x:c r="M21" s="40" t="n">
        <x:f>H21-J21</x:f>
        <x:v>38</x:v>
      </x:c>
      <x:c r="N21" s="35" t="str">
        <x:v>Tratamiento de datos, derechos y obligaciones según jurisdicción y función.</x:v>
      </x:c>
      <x:c r="O21" s="35" t="str">
        <x:v>R012; IV: derecho; textos vigentes concretos requieren examen propio</x:v>
      </x:c>
    </x:row>
    <x:row r="22" ht="48" customHeight="1">
      <x:c r="A22" s="35" t="str">
        <x:v>CYO-18</x:v>
      </x:c>
      <x:c r="B22" s="35" t="str">
        <x:v>Diseño curricular</x:v>
      </x:c>
      <x:c r="C22" s="52" t="n">
        <x:v>1</x:v>
      </x:c>
      <x:c r="D22" s="52" t="n">
        <x:v>1</x:v>
      </x:c>
      <x:c r="E22" s="52" t="n">
        <x:v>1</x:v>
      </x:c>
      <x:c r="F22" s="52" t="n">
        <x:v>8</x:v>
      </x:c>
      <x:c r="G22" s="52" t="n">
        <x:v>14</x:v>
      </x:c>
      <x:c r="H22" s="52" t="n">
        <x:v>24</x:v>
      </x:c>
      <x:c r="I22" s="35" t="str"/>
      <x:c r="J22" s="40" t="n">
        <x:v>0</x:v>
      </x:c>
      <x:c r="K22" s="40" t="n">
        <x:f>F22-J22</x:f>
        <x:v>8</x:v>
      </x:c>
      <x:c r="L22" s="40" t="n">
        <x:f>G22-J22</x:f>
        <x:v>14</x:v>
      </x:c>
      <x:c r="M22" s="40" t="n">
        <x:f>H22-J22</x:f>
        <x:v>24</x:v>
      </x:c>
      <x:c r="N22" s="35" t="str">
        <x:v>Resultados de aprendizaje, secuencia y cobertura del plan.</x:v>
      </x:c>
      <x:c r="O22" s="35" t="str">
        <x:v>R040; II/IV/VII.A: integración y evaluación; NICE OG-WRL-003/004</x:v>
      </x:c>
    </x:row>
    <x:row r="23" ht="44" customHeight="1">
      <x:c r="A23" s="35" t="str">
        <x:v>CYO-19</x:v>
      </x:c>
      <x:c r="B23" s="35" t="str">
        <x:v>Investigación</x:v>
      </x:c>
      <x:c r="C23" s="52" t="n">
        <x:v>1</x:v>
      </x:c>
      <x:c r="D23" s="52" t="n">
        <x:v>1</x:v>
      </x:c>
      <x:c r="E23" s="52" t="n">
        <x:v>2</x:v>
      </x:c>
      <x:c r="F23" s="52" t="n">
        <x:v>12</x:v>
      </x:c>
      <x:c r="G23" s="52" t="n">
        <x:v>20</x:v>
      </x:c>
      <x:c r="H23" s="52" t="n">
        <x:v>34</x:v>
      </x:c>
      <x:c r="I23" s="35" t="str"/>
      <x:c r="J23" s="40" t="n">
        <x:v>0</x:v>
      </x:c>
      <x:c r="K23" s="40" t="n">
        <x:f>F23-J23</x:f>
        <x:v>12</x:v>
      </x:c>
      <x:c r="L23" s="40" t="n">
        <x:f>G23-J23</x:f>
        <x:v>20</x:v>
      </x:c>
      <x:c r="M23" s="40" t="n">
        <x:f>H23-J23</x:f>
        <x:v>34</x:v>
      </x:c>
      <x:c r="N23" s="35" t="str">
        <x:v>Diseño del contraste e interpretación; amenazas a la validez.</x:v>
      </x:c>
      <x:c r="O23" s="35" t="str">
        <x:v>W016; Learning outcomes: método y lectura crítica; R040</x:v>
      </x:c>
    </x:row>
    <x:row r="24" ht="48" customHeight="1">
      <x:c r="A24" s="35" t="str">
        <x:v>CYO-20</x:v>
      </x:c>
      <x:c r="B24" s="35" t="str">
        <x:v>Investigación de ciberdelitos</x:v>
      </x:c>
      <x:c r="C24" s="52" t="n">
        <x:v>0</x:v>
      </x:c>
      <x:c r="D24" s="52" t="n">
        <x:v>0</x:v>
      </x:c>
      <x:c r="E24" s="52" t="n">
        <x:v>1</x:v>
      </x:c>
      <x:c r="F24" s="52" t="n">
        <x:v>0</x:v>
      </x:c>
      <x:c r="G24" s="52" t="n">
        <x:v>0</x:v>
      </x:c>
      <x:c r="H24" s="52" t="n">
        <x:v>28</x:v>
      </x:c>
      <x:c r="I24" s="35" t="str"/>
      <x:c r="J24" s="40" t="n">
        <x:v>0</x:v>
      </x:c>
      <x:c r="K24" s="40" t="n">
        <x:f>F24-J24</x:f>
        <x:v>0</x:v>
      </x:c>
      <x:c r="L24" s="40" t="n">
        <x:f>G24-J24</x:f>
        <x:v>0</x:v>
      </x:c>
      <x:c r="M24" s="40" t="n">
        <x:f>H24-J24</x:f>
        <x:v>28</x:v>
      </x:c>
      <x:c r="N24" s="35" t="str">
        <x:v>Sólo el escenario amplio incorpora la frontera institucional todavía condicionada.</x:v>
      </x:c>
      <x:c r="O24" s="35" t="str">
        <x:v>R012; Ancla educativa jurídica; NICE IN-WRL-001 aporta el rol profesional</x:v>
      </x:c>
    </x:row>
    <x:row r="25" ht="44" customHeight="1">
      <x:c r="A25" s="35" t="str">
        <x:v>CYO-21</x:v>
      </x:c>
      <x:c r="B25" s="35" t="str">
        <x:v>Autorización de operación</x:v>
      </x:c>
      <x:c r="C25" s="52" t="n">
        <x:v>1</x:v>
      </x:c>
      <x:c r="D25" s="52" t="n">
        <x:v>1</x:v>
      </x:c>
      <x:c r="E25" s="52" t="n">
        <x:v>1</x:v>
      </x:c>
      <x:c r="F25" s="52" t="n">
        <x:v>8</x:v>
      </x:c>
      <x:c r="G25" s="52" t="n">
        <x:v>14</x:v>
      </x:c>
      <x:c r="H25" s="52" t="n">
        <x:v>22</x:v>
      </x:c>
      <x:c r="I25" s="35" t="str">
        <x:v>P26, P30</x:v>
      </x:c>
      <x:c r="J25" s="40" t="n">
        <x:v>2</x:v>
      </x:c>
      <x:c r="K25" s="40" t="n">
        <x:f>F25-J25</x:f>
        <x:v>6</x:v>
      </x:c>
      <x:c r="L25" s="40" t="n">
        <x:f>G25-J25</x:f>
        <x:v>12</x:v>
      </x:c>
      <x:c r="M25" s="40" t="n">
        <x:f>H25-J25</x:f>
        <x:v>20</x:v>
      </x:c>
      <x:c r="N25" s="35" t="str">
        <x:v>Evidencia de suficiencia y aceptación expresa por la autoridad.</x:v>
      </x:c>
      <x:c r="O25" s="35" t="str">
        <x:v>R037; IV: gobierno; NICE OG-WRL-013 distingue autoridad</x:v>
      </x:c>
    </x:row>
    <x:row r="26" ht="44" customHeight="1">
      <x:c r="A26" s="35" t="str">
        <x:v>CYO-22</x:v>
      </x:c>
      <x:c r="B26" s="35" t="str">
        <x:v>Actividad educativa y evaluación</x:v>
      </x:c>
      <x:c r="C26" s="52" t="n">
        <x:v>1</x:v>
      </x:c>
      <x:c r="D26" s="52" t="n">
        <x:v>1</x:v>
      </x:c>
      <x:c r="E26" s="52" t="n">
        <x:v>1</x:v>
      </x:c>
      <x:c r="F26" s="52" t="n">
        <x:v>8</x:v>
      </x:c>
      <x:c r="G26" s="52" t="n">
        <x:v>12</x:v>
      </x:c>
      <x:c r="H26" s="52" t="n">
        <x:v>20</x:v>
      </x:c>
      <x:c r="I26" s="35" t="str"/>
      <x:c r="J26" s="40" t="n">
        <x:v>0</x:v>
      </x:c>
      <x:c r="K26" s="40" t="n">
        <x:f>F26-J26</x:f>
        <x:v>8</x:v>
      </x:c>
      <x:c r="L26" s="40" t="n">
        <x:f>G26-J26</x:f>
        <x:v>12</x:v>
      </x:c>
      <x:c r="M26" s="40" t="n">
        <x:f>H26-J26</x:f>
        <x:v>20</x:v>
      </x:c>
      <x:c r="N26" s="35" t="str">
        <x:v>Desempeño observado y retroalimentación; no se duplica el diseño curricular.</x:v>
      </x:c>
      <x:c r="O26" s="35" t="str">
        <x:v>R038; II/IV/VII.A: proyecto formativo, tutores y memoria; M001</x:v>
      </x:c>
    </x:row>
    <x:row r="27" ht="48" customHeight="1">
      <x:c r="A27" s="35" t="str">
        <x:v>CYO-23</x:v>
      </x:c>
      <x:c r="B27" s="35" t="str">
        <x:v>Evaluación técnica de IA</x:v>
      </x:c>
      <x:c r="C27" s="52" t="n">
        <x:v>1</x:v>
      </x:c>
      <x:c r="D27" s="52" t="n">
        <x:v>2</x:v>
      </x:c>
      <x:c r="E27" s="52" t="n">
        <x:v>3</x:v>
      </x:c>
      <x:c r="F27" s="52" t="n">
        <x:v>24</x:v>
      </x:c>
      <x:c r="G27" s="52" t="n">
        <x:v>40</x:v>
      </x:c>
      <x:c r="H27" s="52" t="n">
        <x:v>64</x:v>
      </x:c>
      <x:c r="I27" s="35" t="str"/>
      <x:c r="J27" s="40" t="n">
        <x:v>0</x:v>
      </x:c>
      <x:c r="K27" s="40" t="n">
        <x:f>F27-J27</x:f>
        <x:v>24</x:v>
      </x:c>
      <x:c r="L27" s="40" t="n">
        <x:f>G27-J27</x:f>
        <x:v>40</x:v>
      </x:c>
      <x:c r="M27" s="40" t="n">
        <x:f>H27-J27</x:f>
        <x:v>64</x:v>
      </x:c>
      <x:c r="N27" s="35" t="str">
        <x:v>Robustez y seguridad, datos y privacidad, validez y comportamiento por población.</x:v>
      </x:c>
      <x:c r="O27" s="35" t="str">
        <x:v>M002; CLO: extracción de características y evaluación; M003 robustez; M004 rendimiento</x:v>
      </x:c>
    </x:row>
    <x:row r="28" ht="44" customHeight="1">
      <x:c r="A28" s="35" t="str">
        <x:v>CYO-24</x:v>
      </x:c>
      <x:c r="B28" s="35" t="str">
        <x:v>Respuesta efectiva a incidentes</x:v>
      </x:c>
      <x:c r="C28" s="52" t="n">
        <x:v>1</x:v>
      </x:c>
      <x:c r="D28" s="52" t="n">
        <x:v>1</x:v>
      </x:c>
      <x:c r="E28" s="52" t="n">
        <x:v>2</x:v>
      </x:c>
      <x:c r="F28" s="52" t="n">
        <x:v>18</x:v>
      </x:c>
      <x:c r="G28" s="52" t="n">
        <x:v>30</x:v>
      </x:c>
      <x:c r="H28" s="52" t="n">
        <x:v>48</x:v>
      </x:c>
      <x:c r="I28" s="35" t="str"/>
      <x:c r="J28" s="40" t="n">
        <x:v>0</x:v>
      </x:c>
      <x:c r="K28" s="40" t="n">
        <x:f>F28-J28</x:f>
        <x:v>18</x:v>
      </x:c>
      <x:c r="L28" s="40" t="n">
        <x:f>G28-J28</x:f>
        <x:v>30</x:v>
      </x:c>
      <x:c r="M28" s="40" t="n">
        <x:f>H28-J28</x:f>
        <x:v>48</x:v>
      </x:c>
      <x:c r="N28" s="35" t="str">
        <x:v>Contención y erradicación pueden necesitar universos separados.</x:v>
      </x:c>
      <x:c r="O28" s="35" t="str">
        <x:v>R033; IV: ciclo de respuesta y coordinación</x:v>
      </x:c>
    </x:row>
    <x:row r="29" ht="44" customHeight="1">
      <x:c r="A29" s="35" t="str">
        <x:v>CYO-25</x:v>
      </x:c>
      <x:c r="B29" s="35" t="str">
        <x:v>Restauración y retorno al servicio</x:v>
      </x:c>
      <x:c r="C29" s="52" t="n">
        <x:v>1</x:v>
      </x:c>
      <x:c r="D29" s="52" t="n">
        <x:v>1</x:v>
      </x:c>
      <x:c r="E29" s="52" t="n">
        <x:v>2</x:v>
      </x:c>
      <x:c r="F29" s="52" t="n">
        <x:v>16</x:v>
      </x:c>
      <x:c r="G29" s="52" t="n">
        <x:v>26</x:v>
      </x:c>
      <x:c r="H29" s="52" t="n">
        <x:v>42</x:v>
      </x:c>
      <x:c r="I29" s="35" t="str"/>
      <x:c r="J29" s="40" t="n">
        <x:v>0</x:v>
      </x:c>
      <x:c r="K29" s="40" t="n">
        <x:f>F29-J29</x:f>
        <x:v>16</x:v>
      </x:c>
      <x:c r="L29" s="40" t="n">
        <x:f>G29-J29</x:f>
        <x:v>26</x:v>
      </x:c>
      <x:c r="M29" s="40" t="n">
        <x:f>H29-J29</x:f>
        <x:v>42</x:v>
      </x:c>
      <x:c r="N29" s="35" t="str">
        <x:v>Restauración, integridad y reanudación se distinguen de la preparación.</x:v>
      </x:c>
      <x:c r="O29" s="35" t="str">
        <x:v>R033; IV: recuperación; R036 dependencias</x:v>
      </x:c>
    </x:row>
    <x:row r="30" ht="48" customHeight="1">
      <x:c r="A30" s="35" t="str">
        <x:v>CYO-26</x:v>
      </x:c>
      <x:c r="B30" s="35" t="str">
        <x:v>Tratamiento de vulnerabilidades</x:v>
      </x:c>
      <x:c r="C30" s="52" t="n">
        <x:v>2</x:v>
      </x:c>
      <x:c r="D30" s="52" t="n">
        <x:v>3</x:v>
      </x:c>
      <x:c r="E30" s="52" t="n">
        <x:v>4</x:v>
      </x:c>
      <x:c r="F30" s="52" t="n">
        <x:v>12</x:v>
      </x:c>
      <x:c r="G30" s="52" t="n">
        <x:v>22</x:v>
      </x:c>
      <x:c r="H30" s="52" t="n">
        <x:v>36</x:v>
      </x:c>
      <x:c r="I30" s="35" t="str"/>
      <x:c r="J30" s="40" t="n">
        <x:v>0</x:v>
      </x:c>
      <x:c r="K30" s="40" t="n">
        <x:f>F30-J30</x:f>
        <x:v>12</x:v>
      </x:c>
      <x:c r="L30" s="40" t="n">
        <x:f>G30-J30</x:f>
        <x:v>22</x:v>
      </x:c>
      <x:c r="M30" s="40" t="n">
        <x:f>H30-J30</x:f>
        <x:v>36</x:v>
      </x:c>
      <x:c r="N30" s="35" t="str">
        <x:v>Incluye OP-CYB-001 ya constituido; además, priorización, tratamiento y excepciones según escenario.</x:v>
      </x:c>
      <x:c r="O30" s="35" t="str">
        <x:v>R035; IV: tratamiento; R034 hallazgos; NICE PD-WRL-007</x:v>
      </x:c>
    </x:row>
    <x:row r="31" ht="44" customHeight="1">
      <x:c r="A31" s="35" t="str">
        <x:v>CYO-27</x:v>
      </x:c>
      <x:c r="B31" s="35" t="str">
        <x:v>Validación de detección</x:v>
      </x:c>
      <x:c r="C31" s="52" t="n">
        <x:v>1</x:v>
      </x:c>
      <x:c r="D31" s="52" t="n">
        <x:v>1</x:v>
      </x:c>
      <x:c r="E31" s="52" t="n">
        <x:v>2</x:v>
      </x:c>
      <x:c r="F31" s="52" t="n">
        <x:v>14</x:v>
      </x:c>
      <x:c r="G31" s="52" t="n">
        <x:v>24</x:v>
      </x:c>
      <x:c r="H31" s="52" t="n">
        <x:v>40</x:v>
      </x:c>
      <x:c r="I31" s="35" t="str"/>
      <x:c r="J31" s="40" t="n">
        <x:v>0</x:v>
      </x:c>
      <x:c r="K31" s="40" t="n">
        <x:f>F31-J31</x:f>
        <x:v>14</x:v>
      </x:c>
      <x:c r="L31" s="40" t="n">
        <x:f>G31-J31</x:f>
        <x:v>24</x:v>
      </x:c>
      <x:c r="M31" s="40" t="n">
        <x:f>H31-J31</x:f>
        <x:v>40</x:v>
      </x:c>
      <x:c r="N31" s="35" t="str">
        <x:v>Cobertura de hipótesis y validación de reglas; posible separación por finalidad.</x:v>
      </x:c>
      <x:c r="O31" s="35" t="str">
        <x:v>R033; IV: SIEM, correlación y detección; R029 red</x:v>
      </x:c>
    </x:row>
    <x:row r="32" ht="44" customHeight="1">
      <x:c r="A32" s="35" t="str">
        <x:v>CYO-28</x:v>
      </x:c>
      <x:c r="B32" s="35" t="str">
        <x:v>Búsqueda de amenazas por hipótesis</x:v>
      </x:c>
      <x:c r="C32" s="52" t="n">
        <x:v>1</x:v>
      </x:c>
      <x:c r="D32" s="52" t="n">
        <x:v>1</x:v>
      </x:c>
      <x:c r="E32" s="52" t="n">
        <x:v>1</x:v>
      </x:c>
      <x:c r="F32" s="52" t="n">
        <x:v>10</x:v>
      </x:c>
      <x:c r="G32" s="52" t="n">
        <x:v>18</x:v>
      </x:c>
      <x:c r="H32" s="52" t="n">
        <x:v>30</x:v>
      </x:c>
      <x:c r="I32" s="35" t="str"/>
      <x:c r="J32" s="40" t="n">
        <x:v>0</x:v>
      </x:c>
      <x:c r="K32" s="40" t="n">
        <x:f>F32-J32</x:f>
        <x:v>10</x:v>
      </x:c>
      <x:c r="L32" s="40" t="n">
        <x:f>G32-J32</x:f>
        <x:v>18</x:v>
      </x:c>
      <x:c r="M32" s="40" t="n">
        <x:f>H32-J32</x:f>
        <x:v>30</x:v>
      </x:c>
      <x:c r="N32" s="35" t="str">
        <x:v>Un producto de contraste de hipótesis, distinto de clasificar una alerta.</x:v>
      </x:c>
      <x:c r="O32" s="35" t="str">
        <x:v>R033; IV: tema 6 hunting; G009 contraste</x:v>
      </x:c>
    </x:row>
    <x:row r="33" ht="44" customHeight="1">
      <x:c r="A33" s="35" t="str">
        <x:v>CYO-29</x:v>
      </x:c>
      <x:c r="B33" s="35" t="str">
        <x:v>Política corporativa de IA</x:v>
      </x:c>
      <x:c r="C33" s="52" t="n">
        <x:v>1</x:v>
      </x:c>
      <x:c r="D33" s="52" t="n">
        <x:v>1</x:v>
      </x:c>
      <x:c r="E33" s="52" t="n">
        <x:v>1</x:v>
      </x:c>
      <x:c r="F33" s="52" t="n">
        <x:v>8</x:v>
      </x:c>
      <x:c r="G33" s="52" t="n">
        <x:v>14</x:v>
      </x:c>
      <x:c r="H33" s="52" t="n">
        <x:v>22</x:v>
      </x:c>
      <x:c r="I33" s="35" t="str"/>
      <x:c r="J33" s="40" t="n">
        <x:v>0</x:v>
      </x:c>
      <x:c r="K33" s="40" t="n">
        <x:f>F33-J33</x:f>
        <x:v>8</x:v>
      </x:c>
      <x:c r="L33" s="40" t="n">
        <x:f>G33-J33</x:f>
        <x:v>14</x:v>
      </x:c>
      <x:c r="M33" s="40" t="n">
        <x:f>H33-J33</x:f>
        <x:v>22</x:v>
      </x:c>
      <x:c r="N33" s="35" t="str">
        <x:v>Reglas de uso, excepciones y revisión de política; no aprobación de cada caso.</x:v>
      </x:c>
      <x:c r="O33" s="35" t="str">
        <x:v>R037; IV: gobierno; M003 ética; AN-02 especificidad IA</x:v>
      </x:c>
    </x:row>
    <x:row r="36" ht="90" customHeight="1">
      <x:c r="A36" s="57" t="str">
        <x:v>Escenario</x:v>
      </x:c>
      <x:c r="B36" s="57" t="str">
        <x:v>Grupos propuestos</x:v>
      </x:c>
      <x:c r="C36" s="57" t="str">
        <x:v>Presupuesto anterior</x:v>
      </x:c>
      <x:c r="D36" s="57" t="str">
        <x:v>Descuento</x:v>
      </x:c>
      <x:c r="E36" s="57" t="str">
        <x:v>Pendientes</x:v>
      </x:c>
      <x:c r="F36" s="57" t="str">
        <x:v>Reutilización supuesta</x:v>
      </x:c>
      <x:c r="G36" s="57" t="str">
        <x:v>Nuevas únicas estimadas</x:v>
      </x:c>
      <x:c r="H36" s="57" t="str">
        <x:v>Definiciones actuales</x:v>
      </x:c>
      <x:c r="I36" s="57" t="str">
        <x:v>Total orientativo</x:v>
      </x:c>
      <x:c r="J36" s="57" t="str">
        <x:v>Interpretación</x:v>
      </x:c>
    </x:row>
    <x:row r="37" ht="90" customHeight="1">
      <x:c r="A37" s="34" t="str">
        <x:v>Compacto</x:v>
      </x:c>
      <x:c r="B37" s="40" t="n">
        <x:f>SUM(C5:C33)</x:f>
        <x:v>29</x:v>
      </x:c>
      <x:c r="C37" s="40" t="n">
        <x:f>SUM(F5:F33)</x:f>
        <x:v>374</x:v>
      </x:c>
      <x:c r="D37" s="40" t="n">
        <x:f>SUM(J5:J33)</x:f>
        <x:v>8</x:v>
      </x:c>
      <x:c r="E37" s="40" t="n">
        <x:f>C37-D37</x:f>
        <x:v>366</x:v>
      </x:c>
      <x:c r="F37" s="56" t="n">
        <x:v>0.3</x:v>
      </x:c>
      <x:c r="G37" s="40" t="n">
        <x:f>ROUND(E37*(1-F37),0)</x:f>
        <x:v>256</x:v>
      </x:c>
      <x:c r="H37" s="40" t="n">
        <x:f>'73_Revision'!B8</x:f>
        <x:v>32</x:v>
      </x:c>
      <x:c r="I37" s="40" t="n">
        <x:f>G37+H37</x:f>
        <x:v>288</x:v>
      </x:c>
      <x:c r="J37" s="34" t="str">
        <x:v>Agrupación mayor; no mínimo probado.</x:v>
      </x:c>
    </x:row>
    <x:row r="38" ht="90" customHeight="1">
      <x:c r="A38" s="34" t="str">
        <x:v>Central</x:v>
      </x:c>
      <x:c r="B38" s="40" t="n">
        <x:f>SUM(D5:D33)</x:f>
        <x:v>38</x:v>
      </x:c>
      <x:c r="C38" s="40" t="n">
        <x:f>SUM(G5:G33)</x:f>
        <x:v>620</x:v>
      </x:c>
      <x:c r="D38" s="40" t="n">
        <x:f>SUM(J5:J33)</x:f>
        <x:v>8</x:v>
      </x:c>
      <x:c r="E38" s="40" t="n">
        <x:f>C38-D38</x:f>
        <x:v>612</x:v>
      </x:c>
      <x:c r="F38" s="56" t="n">
        <x:v>0.15</x:v>
      </x:c>
      <x:c r="G38" s="40" t="n">
        <x:f>ROUND(E38*(1-F38),0)</x:f>
        <x:v>520</x:v>
      </x:c>
      <x:c r="H38" s="40" t="n">
        <x:f>'73_Revision'!B8</x:f>
        <x:v>32</x:v>
      </x:c>
      <x:c r="I38" s="40" t="n">
        <x:f>G38+H38</x:f>
        <x:v>552</x:v>
      </x:c>
      <x:c r="J38" s="34" t="str">
        <x:v>Hipótesis sin calibración empírica.</x:v>
      </x:c>
    </x:row>
    <x:row r="39" ht="90" customHeight="1">
      <x:c r="A39" s="34" t="str">
        <x:v>Amplio</x:v>
      </x:c>
      <x:c r="B39" s="40" t="n">
        <x:f>SUM(E5:E33)</x:f>
        <x:v>59</x:v>
      </x:c>
      <x:c r="C39" s="40" t="n">
        <x:f>SUM(H5:H33)</x:f>
        <x:v>1038</x:v>
      </x:c>
      <x:c r="D39" s="40" t="n">
        <x:f>SUM(J5:J33)</x:f>
        <x:v>8</x:v>
      </x:c>
      <x:c r="E39" s="40" t="n">
        <x:f>C39-D39</x:f>
        <x:v>1030</x:v>
      </x:c>
      <x:c r="F39" s="56" t="n">
        <x:v>0</x:v>
      </x:c>
      <x:c r="G39" s="40" t="n">
        <x:f>ROUND(E39*(1-F39),0)</x:f>
        <x:v>1030</x:v>
      </x:c>
      <x:c r="H39" s="40" t="n">
        <x:f>'73_Revision'!B8</x:f>
        <x:v>32</x:v>
      </x:c>
      <x:c r="I39" s="40" t="n">
        <x:f>G39+H39</x:f>
        <x:v>1062</x:v>
      </x:c>
      <x:c r="J39" s="34" t="str">
        <x:v>Separación mayor; no máximo probado.</x:v>
      </x:c>
    </x:row>
    <x:row r="40" ht="90" customHeight="1">
      <x:c r="A40" s="34"/>
      <x:c r="B40" s="34"/>
      <x:c r="C40" s="34"/>
      <x:c r="D40" s="34"/>
      <x:c r="E40" s="34"/>
      <x:c r="F40" s="34"/>
      <x:c r="G40" s="34"/>
      <x:c r="H40" s="34"/>
      <x:c r="I40" s="34"/>
      <x:c r="J40" s="34"/>
    </x:row>
    <x:row r="41" ht="90" customHeight="1">
      <x:c r="A41" s="34"/>
      <x:c r="B41" s="34"/>
      <x:c r="C41" s="34"/>
      <x:c r="D41" s="34"/>
      <x:c r="E41" s="34"/>
      <x:c r="F41" s="34"/>
      <x:c r="G41" s="34"/>
      <x:c r="H41" s="34"/>
      <x:c r="I41" s="34"/>
      <x:c r="J41" s="34"/>
    </x:row>
    <x:row r="42" ht="90" customHeight="1">
      <x:c r="A42" s="57" t="str">
        <x:v>Sensibilidad del escenario central</x:v>
      </x:c>
      <x:c r="B42" s="57" t="str">
        <x:v>Reutilización supuesta</x:v>
      </x:c>
      <x:c r="C42" s="57" t="str">
        <x:v>Total orientativo</x:v>
      </x:c>
      <x:c r="D42" s="57" t="str">
        <x:v>Interpretación</x:v>
      </x:c>
      <x:c r="E42" s="34"/>
      <x:c r="F42" s="34"/>
      <x:c r="G42" s="34"/>
      <x:c r="H42" s="34"/>
      <x:c r="I42" s="34"/>
      <x:c r="J42" s="34"/>
    </x:row>
    <x:row r="43" ht="90" customHeight="1">
      <x:c r="A43" s="34" t="str">
        <x:v>Sin reutilización</x:v>
      </x:c>
      <x:c r="B43" s="58" t="n">
        <x:v>0</x:v>
      </x:c>
      <x:c r="C43" s="40" t="n">
        <x:f>H38+ROUND(E38*(1-B43),0)</x:f>
        <x:v>644</x:v>
      </x:c>
      <x:c r="D43" s="34" t="str">
        <x:v>612 incidencias restantes; no equivalen a 612 identidades únicas.</x:v>
      </x:c>
      <x:c r="E43" s="34"/>
      <x:c r="F43" s="34"/>
      <x:c r="G43" s="34"/>
      <x:c r="H43" s="34"/>
      <x:c r="I43" s="34"/>
      <x:c r="J43" s="34"/>
    </x:row>
    <x:row r="44" ht="90" customHeight="1">
      <x:c r="A44" s="34" t="str">
        <x:v>Hipótesis central</x:v>
      </x:c>
      <x:c r="B44" s="58" t="n">
        <x:v>0.15</x:v>
      </x:c>
      <x:c r="C44" s="40" t="n">
        <x:f>H38+ROUND(E38*(1-B44),0)</x:f>
        <x:v>552</x:v>
      </x:c>
      <x:c r="D44" s="34" t="str">
        <x:v>La cuenta se audita; la hipótesis no adquiere certeza por calcularla.</x:v>
      </x:c>
      <x:c r="E44" s="34"/>
      <x:c r="F44" s="34"/>
      <x:c r="G44" s="34"/>
      <x:c r="H44" s="34"/>
      <x:c r="I44" s="34"/>
      <x:c r="J44" s="34"/>
    </x:row>
    <x:row r="45" ht="90" customHeight="1">
      <x:c r="A45" s="34" t="str">
        <x:v>Reutilización mayor</x:v>
      </x:c>
      <x:c r="B45" s="58" t="n">
        <x:v>0.3</x:v>
      </x:c>
      <x:c r="C45" s="40" t="n">
        <x:f>H38+ROUND(E38*(1-B45),0)</x:f>
        <x:v>460</x:v>
      </x:c>
      <x:c r="D45" s="34" t="str">
        <x:v>La reutilización se demostrará al adjudicar identidades.</x:v>
      </x:c>
      <x:c r="E45" s="34"/>
      <x:c r="F45" s="34"/>
      <x:c r="G45" s="34"/>
      <x:c r="H45" s="34"/>
      <x:c r="I45" s="34"/>
      <x:c r="J45" s="34"/>
    </x:row>
  </x:sheetData>
  <x:mergeCells>
    <x:mergeCell ref="A1:D1"/>
    <x:mergeCell ref="A2:F2"/>
  </x:mergeCells>
  <x:pageMargins left="0.7" right="0.7" top="0.75" bottom="0.75" header="0.3" footer="0.3"/>
  <x:tableParts count="1">
    <x:tablePart xmlns:r="http://schemas.openxmlformats.org/officeDocument/2006/relationships" r:id="Rc2c08afe03624227"/>
  </x:tableParts>
</x:worksheet>
</file>

<file path=xl/worksheets/sheet7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64" hidden="0" customWidth="1"/>
    <x:col min="3" max="3" width="55" hidden="0" customWidth="1"/>
    <x:col min="4" max="4" width="112" hidden="0" customWidth="1"/>
    <x:col min="5" max="5" width="135" hidden="0" customWidth="1"/>
    <x:col min="6" max="6" width="60" hidden="0" customWidth="1"/>
    <x:col min="7" max="7" width="120" hidden="0" customWidth="1"/>
    <x:col min="8" max="8" width="80" hidden="0" customWidth="1"/>
  </x:cols>
  <x:sheetData>
    <x:row r="1" ht="34" customHeight="1">
      <x:c r="A1" s="36" t="str">
        <x:v>Necesidades por operación y oferta del Lenguaje</x:v>
      </x:c>
      <x:c r="B1" s="35"/>
      <x:c r="C1" s="35"/>
      <x:c r="D1" s="35"/>
      <x:c r="E1" s="35"/>
      <x:c r="F1" s="35"/>
      <x:c r="G1" s="35"/>
      <x:c r="H1" s="35"/>
    </x:row>
    <x:row r="2" ht="48" customHeight="1">
      <x:c r="A2" s="37" t="str">
        <x:v>Corte de entrega 66967a80; paquete técnico ab61d9bb. Lectura estática de IR y LIG, con límites de capacidad conservados.</x:v>
      </x:c>
      <x:c r="B2" s="35"/>
      <x:c r="C2" s="35"/>
      <x:c r="D2" s="35"/>
      <x:c r="E2" s="35"/>
      <x:c r="F2" s="35"/>
      <x:c r="G2" s="35"/>
      <x:c r="H2" s="35"/>
    </x:row>
    <x:row r="3">
      <x:c r="A3" s="35"/>
      <x:c r="B3" s="35"/>
      <x:c r="C3" s="35"/>
      <x:c r="D3" s="35"/>
      <x:c r="E3" s="35"/>
      <x:c r="F3" s="35"/>
      <x:c r="G3" s="35"/>
      <x:c r="H3" s="35"/>
    </x:row>
    <x:row r="4" ht="62" customHeight="1">
      <x:c r="A4" s="51" t="str">
        <x:v>Requisito</x:v>
      </x:c>
      <x:c r="B4" s="51" t="str">
        <x:v>Necesidad</x:v>
      </x:c>
      <x:c r="C4" s="51" t="str">
        <x:v>Destinos</x:v>
      </x:c>
      <x:c r="D4" s="51" t="str">
        <x:v>Oferta inspeccionada</x:v>
      </x:c>
      <x:c r="E4" s="51" t="str">
        <x:v>Contraste exigido</x:v>
      </x:c>
      <x:c r="F4" s="51" t="str">
        <x:v>Testigos</x:v>
      </x:c>
      <x:c r="G4" s="51" t="str">
        <x:v>Dictamen actual</x:v>
      </x:c>
      <x:c r="H4" s="51" t="str">
        <x:v>Responsabilidad</x:v>
      </x:c>
    </x:row>
    <x:row r="5" ht="48" customHeight="1">
      <x:c r="A5" s="35" t="str">
        <x:v>RS01</x:v>
      </x:c>
      <x:c r="B5" s="35" t="str">
        <x:v>Identidad y atribución separadas del resultado técnico</x:v>
      </x:c>
      <x:c r="C5" s="35" t="str">
        <x:v>P25; P07/autenticación; C02/C11</x:v>
      </x:c>
      <x:c r="D5" s="35" t="str">
        <x:v>Instancia, procedencia, regla de admisión y artefactos referenciados en LIG/0.1.</x:v>
      </x:c>
      <x:c r="E5" s="35" t="str">
        <x:v>Recuperar principal, sesión y acto con sus tipos y relaciones, conservando la identidad desconocida sin atribuir falsamente responsabilidad humana.</x:v>
      </x:c>
      <x:c r="F5" s="35" t="str">
        <x:v>SI01, SI05, SI09</x:v>
      </x:c>
      <x:c r="G5" s="35" t="str">
        <x:v>Representación exacta posible mediante contrato externo; consumo semántico no acreditado.</x:v>
      </x:c>
      <x:c r="H5" s="35" t="str">
        <x:v>DFL-005; dominio y proveedor de identidad</x:v>
      </x:c>
    </x:row>
    <x:row r="6" ht="48" customHeight="1">
      <x:c r="A6" s="35" t="str">
        <x:v>RS02</x:v>
      </x:c>
      <x:c r="B6" s="35" t="str">
        <x:v>Autoridad y delegación con alcance limitado</x:v>
      </x:c>
      <x:c r="C6" s="35" t="str">
        <x:v>P26/P27; C11</x:v>
      </x:c>
      <x:c r="D6" s="35" t="str">
        <x:v>AuthorityDeclaration y referencias exactas; no autenticación ni concesión de autoridad.</x:v>
      </x:c>
      <x:c r="E6" s="35" t="str">
        <x:v>Comprobar raíz competente y cada arista; distinguir sujeto representado, actor efectivo y destinatario. Rechazar ampliación indebida, ciclo no admitido o tramo ausente; declarar límite institucional.</x:v>
      </x:c>
      <x:c r="F6" s="35" t="str">
        <x:v>SI02, SI06</x:v>
      </x:c>
      <x:c r="G6" s="35" t="str">
        <x:v>Las huellas preservan declaraciones; no acreditan su legitimidad.</x:v>
      </x:c>
      <x:c r="H6" s="35" t="str">
        <x:v>DFL-005; contrato operacional y autoridad institucional</x:v>
      </x:c>
    </x:row>
    <x:row r="7" ht="48" customHeight="1">
      <x:c r="A7" s="35" t="str">
        <x:v>RS03</x:v>
      </x:c>
      <x:c r="B7" s="35" t="str">
        <x:v>Tiempo, revocación y antecedentes</x:v>
      </x:c>
      <x:c r="C7" s="35" t="str">
        <x:v>P28–P30; C07</x:v>
      </x:c>
      <x:c r="D7" s="35" t="str">
        <x:v>TransitionData e información lateral; comprobaciones estructurales de contexto.</x:v>
      </x:c>
      <x:c r="E7" s="35" t="str">
        <x:v>Mantener precisión temporal y diferencias entre emisión, efecto, registro y sellado; no hacer retroactiva por defecto una revocación. Conservar el orden y las dependencias afectadas.</x:v>
      </x:c>
      <x:c r="F7" s="35" t="str">
        <x:v>SI03, SI04; PR-015–032</x:v>
      </x:c>
      <x:c r="G7" s="35" t="str">
        <x:v>No se acredita causalidad ejecutiva ni continuidad persistente entre versiones.</x:v>
      </x:c>
      <x:c r="H7" s="35" t="str">
        <x:v>DFL-003/004/005; contrato de observación y tiempo</x:v>
      </x:c>
    </x:row>
    <x:row r="8" ht="48" customHeight="1">
      <x:c r="A8" s="35" t="str">
        <x:v>RS04</x:v>
      </x:c>
      <x:c r="B8" s="35" t="str">
        <x:v>Vistas de evidencia por finalidad y destinatario</x:v>
      </x:c>
      <x:c r="C8" s="35" t="str">
        <x:v>C02/C13/C15</x:v>
      </x:c>
      <x:c r="D8" s="35" t="str">
        <x:v>Artefactos externos e información lateral permiten conservar referencias a vistas diferentes.</x:v>
      </x:c>
      <x:c r="E8" s="35" t="str">
        <x:v>Recuperar sólo la vista autorizada para ese destinatario, explicar su vínculo con el original y controlar acceso, retención y reidentificación. Un hash o texto opaco no demuestra aplicación de esa política.</x:v>
      </x:c>
      <x:c r="F8" s="35" t="str">
        <x:v>SI07, SI08</x:v>
      </x:c>
      <x:c r="G8" s="35" t="str">
        <x:v>Preservación de bytes no equivale a control material de difusión; función ejecutiva pendiente de contrato y soporte.</x:v>
      </x:c>
      <x:c r="H8" s="35" t="str">
        <x:v>DFL-005/009; custodia y responsable del tratamiento</x:v>
      </x:c>
    </x:row>
    <x:row r="9" ht="48" customHeight="1">
      <x:c r="A9" s="35" t="str">
        <x:v>RS05</x:v>
      </x:c>
      <x:c r="B9" s="35" t="str">
        <x:v>Razón, plan y autorización de la actuación</x:v>
      </x:c>
      <x:c r="C9" s="35" t="str">
        <x:v>P32; C08–C12</x:v>
      </x:c>
      <x:c r="D9" s="35" t="str">
        <x:v>Definición de operación y referencias exactas a documentos externos.</x:v>
      </x:c>
      <x:c r="E9" s="35" t="str">
        <x:v>Distinguir lo previsto de lo autorizado; conservar razón, excepción urgente y consecuencias sin equiparar desviación de plan a ilicitud.</x:v>
      </x:c>
      <x:c r="F9" s="35" t="str">
        <x:v>SI10; PR-037–041</x:v>
      </x:c>
      <x:c r="G9" s="35" t="str">
        <x:v>Distinción documental exigible ahora; productor del consejo todavía no acreditado.</x:v>
      </x:c>
      <x:c r="H9" s="35" t="str">
        <x:v>DFL-005/006; dominio y autoridad</x:v>
      </x:c>
    </x:row>
    <x:row r="10" ht="48" customHeight="1">
      <x:c r="A10" s="35" t="str">
        <x:v>RS06</x:v>
      </x:c>
      <x:c r="B10" s="35" t="str">
        <x:v>Admisión, U y fallo técnico con diferente estatuto</x:v>
      </x:c>
      <x:c r="C10" s="35" t="str">
        <x:v>C02/C06; todos los parámetros</x:v>
      </x:c>
      <x:c r="D10" s="35" t="str">
        <x:v>AdmissibilitySpec y CaptureSpec nominales; K1-T pendiente.</x:v>
      </x:c>
      <x:c r="E10" s="35" t="str">
        <x:v>Probar admisión de evidencia de un acto ilícito, no admisión de prueba inválida, no aplicabilidad, indeterminación y fallo técnico, sin ampliar Tri.</x:v>
      </x:c>
      <x:c r="F10" s="35" t="str">
        <x:v>PR-034–044; HP02</x:v>
      </x:c>
      <x:c r="G10" s="35" t="str">
        <x:v>Los auxiliares documentales se han ensayado; no se ejecutó la transducción productiva SV.</x:v>
      </x:c>
      <x:c r="H10" s="35" t="str">
        <x:v>K1-T; DFL-006</x:v>
      </x:c>
    </x:row>
    <x:row r="11" ht="48" customHeight="1">
      <x:c r="A11" s="35" t="str">
        <x:v>RS07</x:v>
      </x:c>
      <x:c r="B11" s="35" t="str">
        <x:v>Cobertura de permisos, datos y flujos</x:v>
      </x:c>
      <x:c r="C11" s="35" t="str">
        <x:v>C05/C11/C15</x:v>
      </x:c>
      <x:c r="D11" s="35" t="str">
        <x:v>Usos ordenados, compartición explícita y referencias de ligadura.</x:v>
      </x:c>
      <x:c r="E11" s="35" t="str">
        <x:v>Cubrir instancias, permisos, cadenas de delegación y flujos con fronteras; detectar rutas salientes fuera del control, condiciones no evaluadas y conjuntos vacíos injustificados.</x:v>
      </x:c>
      <x:c r="F11" s="35" t="str">
        <x:v>HP04, HP08; XA04/XA10</x:v>
      </x:c>
      <x:c r="G11" s="35" t="str">
        <x:v>No se ha probado un sistema SASE ni cobertura material de una infraestructura.</x:v>
      </x:c>
      <x:c r="H11" s="35" t="str">
        <x:v>Dominio; soporte y operación; DFL-009 donde corresponda</x:v>
      </x:c>
    </x:row>
    <x:row r="12" ht="48" customHeight="1">
      <x:c r="A12" s="35" t="str">
        <x:v>RS08</x:v>
      </x:c>
      <x:c r="B12" s="35" t="str">
        <x:v>Explicación legítima y separación de salidas</x:v>
      </x:c>
      <x:c r="C12" s="35" t="str">
        <x:v>C13; P02 frente a P25–P32</x:v>
      </x:c>
      <x:c r="D12" s="35" t="str">
        <x:v>Frame exige arquitectura constituida; la proyección documental no la crea.</x:v>
      </x:c>
      <x:c r="E12" s="35" t="str">
        <x:v>El consejo conserva resultado técnico, legitimidad, incertidumbre y consecuencias. Ejecución válida con identidad idéntica produce iguales bytes; fallo técnico no es salida alternativa del dominio.</x:v>
      </x:c>
      <x:c r="F12" s="35" t="str">
        <x:v>Diez pares SI01–SI10</x:v>
      </x:c>
      <x:c r="G12" s="35" t="str">
        <x:v>No se constituyó una célula ni se ejecutó un Frame CYB.</x:v>
      </x:c>
      <x:c r="H12" s="35" t="str">
        <x:v>Puerta G6 y obligaciones algebraicas posteriores; DFL-006</x:v>
      </x:c>
    </x:row>
  </x:sheetData>
  <x:mergeCells>
    <x:mergeCell ref="A1:D1"/>
    <x:mergeCell ref="A2:F2"/>
  </x:mergeCells>
  <x:pageMargins left="0.7" right="0.7" top="0.75" bottom="0.75" header="0.3" footer="0.3"/>
  <x:tableParts count="1">
    <x:tablePart xmlns:r="http://schemas.openxmlformats.org/officeDocument/2006/relationships" r:id="Rd55bc9ecb3484d62"/>
  </x:tableParts>
</x:worksheet>
</file>

<file path=xl/worksheets/sheet8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6" hidden="0" customWidth="1"/>
    <x:col min="3" max="3" width="101" hidden="0" customWidth="1"/>
    <x:col min="4" max="4" width="130" hidden="0" customWidth="1"/>
    <x:col min="5" max="5" width="26" hidden="0" customWidth="1"/>
    <x:col min="6" max="6" width="26" hidden="0" customWidth="1"/>
    <x:col min="7" max="7" width="26" hidden="0" customWidth="1"/>
  </x:cols>
  <x:sheetData>
    <x:row r="1" ht="34" customHeight="1">
      <x:c r="A1" s="36" t="str">
        <x:v>Ensayos documentales de identidad y autorización</x:v>
      </x:c>
      <x:c r="B1" s="35"/>
      <x:c r="C1" s="35"/>
      <x:c r="D1" s="35"/>
      <x:c r="E1" s="35"/>
      <x:c r="F1" s="35"/>
      <x:c r="G1" s="35"/>
    </x:row>
    <x:row r="2" ht="48" customHeight="1">
      <x:c r="A2" s="37" t="str">
        <x:v>Esperados previos; 46 casos sintéticos. No se ha ejecutado autenticación criptográfica ni un sistema real.</x:v>
      </x:c>
      <x:c r="B2" s="35"/>
      <x:c r="C2" s="35"/>
      <x:c r="D2" s="35"/>
      <x:c r="E2" s="35"/>
      <x:c r="F2" s="35"/>
      <x:c r="G2" s="35"/>
    </x:row>
    <x:row r="3">
      <x:c r="A3" s="35"/>
      <x:c r="B3" s="35"/>
      <x:c r="C3" s="35"/>
      <x:c r="D3" s="35"/>
      <x:c r="E3" s="35"/>
      <x:c r="F3" s="35"/>
      <x:c r="G3" s="35"/>
    </x:row>
    <x:row r="4" ht="62" customHeight="1">
      <x:c r="A4" s="51" t="str">
        <x:v>Caso</x:v>
      </x:c>
      <x:c r="B4" s="51" t="str">
        <x:v>Parámetro</x:v>
      </x:c>
      <x:c r="C4" s="51" t="str">
        <x:v>Supuesto</x:v>
      </x:c>
      <x:c r="D4" s="51" t="str">
        <x:v>Entrada sintética</x:v>
      </x:c>
      <x:c r="E4" s="51" t="str">
        <x:v>Esperado</x:v>
      </x:c>
      <x:c r="F4" s="51" t="str">
        <x:v>Obtenido</x:v>
      </x:c>
      <x:c r="G4" s="51" t="str">
        <x:v>Concordancia</x:v>
      </x:c>
    </x:row>
    <x:row r="5" ht="44" customHeight="1">
      <x:c r="A5" s="35" t="str">
        <x:v>PR-001</x:v>
      </x:c>
      <x:c r="B5" s="35" t="str">
        <x:v>P25</x:v>
      </x:c>
      <x:c r="C5" s="35" t="str">
        <x:v>Acto ligado expresamente a la sesión de referencia</x:v>
      </x:c>
      <x:c r="D5" s="35" t="str">
        <x:v>{"linked": "s1", "session": "s1"}</x:v>
      </x:c>
      <x:c r="E5" s="35" t="str">
        <x:v>1</x:v>
      </x:c>
      <x:c r="F5" s="35" t="str">
        <x:v>1</x:v>
      </x:c>
      <x:c r="G5" s="35" t="str">
        <x:f>IF(EXACT("x"&amp;E5,"x"&amp;F5),"Concordante","Discordante")</x:f>
        <x:v>Concordante</x:v>
      </x:c>
    </x:row>
    <x:row r="6" ht="44" customHeight="1">
      <x:c r="A6" s="35" t="str">
        <x:v>PR-002</x:v>
      </x:c>
      <x:c r="B6" s="35" t="str">
        <x:v>P25</x:v>
      </x:c>
      <x:c r="C6" s="35" t="str">
        <x:v>Acto ligado a otra sesión, con exclusión de la referencia</x:v>
      </x:c>
      <x:c r="D6" s="35" t="str">
        <x:v>{"linked": "s2", "session": "s1"}</x:v>
      </x:c>
      <x:c r="E6" s="35" t="str">
        <x:v>0</x:v>
      </x:c>
      <x:c r="F6" s="35" t="str">
        <x:v>0</x:v>
      </x:c>
      <x:c r="G6" s="35" t="str">
        <x:f>IF(EXACT("x"&amp;E6,"x"&amp;F6),"Concordante","Discordante")</x:f>
        <x:v>Concordante</x:v>
      </x:c>
    </x:row>
    <x:row r="7" ht="44" customHeight="1">
      <x:c r="A7" s="35" t="str">
        <x:v>PR-003</x:v>
      </x:c>
      <x:c r="B7" s="35" t="str">
        <x:v>P25</x:v>
      </x:c>
      <x:c r="C7" s="35" t="str">
        <x:v>Sólo se conoce la cuenta que aparece en el registro</x:v>
      </x:c>
      <x:c r="D7" s="35" t="str">
        <x:v>{"account": "tecnico", "session": "s1"}</x:v>
      </x:c>
      <x:c r="E7" s="35" t="str">
        <x:v>U</x:v>
      </x:c>
      <x:c r="F7" s="35" t="str">
        <x:v>U</x:v>
      </x:c>
      <x:c r="G7" s="35" t="str">
        <x:f>IF(EXACT("x"&amp;E7,"x"&amp;F7),"Concordante","Discordante")</x:f>
        <x:v>Concordante</x:v>
      </x:c>
    </x:row>
    <x:row r="8" ht="44" customHeight="1">
      <x:c r="A8" s="35" t="str">
        <x:v>PR-004</x:v>
      </x:c>
      <x:c r="B8" s="35" t="str">
        <x:v>P25</x:v>
      </x:c>
      <x:c r="C8" s="35" t="str">
        <x:v>Dos fuentes incompatibles atribuyen el acto</x:v>
      </x:c>
      <x:c r="D8" s="35" t="str">
        <x:v>{"conflict": true, "linked": "s1", "session": "s1"}</x:v>
      </x:c>
      <x:c r="E8" s="35" t="str">
        <x:v>U</x:v>
      </x:c>
      <x:c r="F8" s="35" t="str">
        <x:v>U</x:v>
      </x:c>
      <x:c r="G8" s="35" t="str">
        <x:f>IF(EXACT("x"&amp;E8,"x"&amp;F8),"Concordante","Discordante")</x:f>
        <x:v>Concordante</x:v>
      </x:c>
    </x:row>
    <x:row r="9" ht="44" customHeight="1">
      <x:c r="A9" s="35" t="str">
        <x:v>PR-005</x:v>
      </x:c>
      <x:c r="B9" s="35" t="str">
        <x:v>P26</x:v>
      </x:c>
      <x:c r="C9" s="35" t="str">
        <x:v>Facultad exacta atribuida al emisor</x:v>
      </x:c>
      <x:c r="D9" s="35" t="str">
        <x:v>{"complete": true, "grants": [["i1", "reiniciar"]], "issuer": "i1", "power": "reiniciar"}</x:v>
      </x:c>
      <x:c r="E9" s="35" t="str">
        <x:v>1</x:v>
      </x:c>
      <x:c r="F9" s="35" t="str">
        <x:v>1</x:v>
      </x:c>
      <x:c r="G9" s="35" t="str">
        <x:f>IF(EXACT("x"&amp;E9,"x"&amp;F9),"Concordante","Discordante")</x:f>
        <x:v>Concordante</x:v>
      </x:c>
    </x:row>
    <x:row r="10" ht="44" customHeight="1">
      <x:c r="A10" s="35" t="str">
        <x:v>PR-006</x:v>
      </x:c>
      <x:c r="B10" s="35" t="str">
        <x:v>P26</x:v>
      </x:c>
      <x:c r="C10" s="35" t="str">
        <x:v>Firmante identificado, sin facultad en registro completo</x:v>
      </x:c>
      <x:c r="D10" s="35" t="str">
        <x:v>{"complete": true, "grants": [["i1", "consultar"]], "issuer": "i1", "power": "reiniciar"}</x:v>
      </x:c>
      <x:c r="E10" s="35" t="str">
        <x:v>0</x:v>
      </x:c>
      <x:c r="F10" s="35" t="str">
        <x:v>0</x:v>
      </x:c>
      <x:c r="G10" s="35" t="str">
        <x:f>IF(EXACT("x"&amp;E10,"x"&amp;F10),"Concordante","Discordante")</x:f>
        <x:v>Concordante</x:v>
      </x:c>
    </x:row>
    <x:row r="11" ht="44" customHeight="1">
      <x:c r="A11" s="35" t="str">
        <x:v>PR-007</x:v>
      </x:c>
      <x:c r="B11" s="35" t="str">
        <x:v>P26</x:v>
      </x:c>
      <x:c r="C11" s="35" t="str">
        <x:v>Registro institucional incompleto y sin atribución positiva</x:v>
      </x:c>
      <x:c r="D11" s="35" t="str">
        <x:v>{"complete": false, "grants": [], "issuer": "i1", "power": "reiniciar"}</x:v>
      </x:c>
      <x:c r="E11" s="35" t="str">
        <x:v>U</x:v>
      </x:c>
      <x:c r="F11" s="35" t="str">
        <x:v>U</x:v>
      </x:c>
      <x:c r="G11" s="35" t="str">
        <x:f>IF(EXACT("x"&amp;E11,"x"&amp;F11),"Concordante","Discordante")</x:f>
        <x:v>Concordante</x:v>
      </x:c>
    </x:row>
    <x:row r="12" ht="44" customHeight="1">
      <x:c r="A12" s="35" t="str">
        <x:v>PR-008</x:v>
      </x:c>
      <x:c r="B12" s="35" t="str">
        <x:v>P26</x:v>
      </x:c>
      <x:c r="C12" s="35" t="str">
        <x:v>Registro completo sin la facultad requerida</x:v>
      </x:c>
      <x:c r="D12" s="35" t="str">
        <x:v>{"complete": true, "grants": [], "issuer": "i1", "power": "reiniciar"}</x:v>
      </x:c>
      <x:c r="E12" s="35" t="str">
        <x:v>0</x:v>
      </x:c>
      <x:c r="F12" s="35" t="str">
        <x:v>0</x:v>
      </x:c>
      <x:c r="G12" s="35" t="str">
        <x:f>IF(EXACT("x"&amp;E12,"x"&amp;F12),"Concordante","Discordante")</x:f>
        <x:v>Concordante</x:v>
      </x:c>
    </x:row>
    <x:row r="13" ht="48" customHeight="1">
      <x:c r="A13" s="35" t="str">
        <x:v>PR-009</x:v>
      </x:c>
      <x:c r="B13" s="35" t="str">
        <x:v>P27</x:v>
      </x:c>
      <x:c r="C13" s="35" t="str">
        <x:v>Acción, recurso, destinatario y finalidad incluidos</x:v>
      </x:c>
      <x:c r="D13" s="35" t="str">
        <x:v>{"act": ["reiniciar", "activo-A", "agente-A", "mantenimiento"], "scope": [["reiniciar", "activo-A", "agente-A", "mantenimiento"]]}</x:v>
      </x:c>
      <x:c r="E13" s="35" t="str">
        <x:v>1</x:v>
      </x:c>
      <x:c r="F13" s="35" t="str">
        <x:v>1</x:v>
      </x:c>
      <x:c r="G13" s="35" t="str">
        <x:f>IF(EXACT("x"&amp;E13,"x"&amp;F13),"Concordante","Discordante")</x:f>
        <x:v>Concordante</x:v>
      </x:c>
    </x:row>
    <x:row r="14" ht="48" customHeight="1">
      <x:c r="A14" s="35" t="str">
        <x:v>PR-010</x:v>
      </x:c>
      <x:c r="B14" s="35" t="str">
        <x:v>P27</x:v>
      </x:c>
      <x:c r="C14" s="35" t="str">
        <x:v>Permiso para otro recurso</x:v>
      </x:c>
      <x:c r="D14" s="35" t="str">
        <x:v>{"act": ["reiniciar", "activo-A", "agente-A", "mantenimiento"], "scope": [["reiniciar", "activo-B", "agente-A", "mantenimiento"]]}</x:v>
      </x:c>
      <x:c r="E14" s="35" t="str">
        <x:v>0</x:v>
      </x:c>
      <x:c r="F14" s="35" t="str">
        <x:v>0</x:v>
      </x:c>
      <x:c r="G14" s="35" t="str">
        <x:f>IF(EXACT("x"&amp;E14,"x"&amp;F14),"Concordante","Discordante")</x:f>
        <x:v>Concordante</x:v>
      </x:c>
    </x:row>
    <x:row r="15" ht="48" customHeight="1">
      <x:c r="A15" s="35" t="str">
        <x:v>PR-011</x:v>
      </x:c>
      <x:c r="B15" s="35" t="str">
        <x:v>P27</x:v>
      </x:c>
      <x:c r="C15" s="35" t="str">
        <x:v>La delegación permite otro agente</x:v>
      </x:c>
      <x:c r="D15" s="35" t="str">
        <x:v>{"act": ["reiniciar", "activo-A", "agente-A", "mantenimiento"], "scope": [["reiniciar", "activo-A", "agente-B", "mantenimiento"]]}</x:v>
      </x:c>
      <x:c r="E15" s="35" t="str">
        <x:v>0</x:v>
      </x:c>
      <x:c r="F15" s="35" t="str">
        <x:v>0</x:v>
      </x:c>
      <x:c r="G15" s="35" t="str">
        <x:f>IF(EXACT("x"&amp;E15,"x"&amp;F15),"Concordante","Discordante")</x:f>
        <x:v>Concordante</x:v>
      </x:c>
    </x:row>
    <x:row r="16" ht="48" customHeight="1">
      <x:c r="A16" s="35" t="str">
        <x:v>PR-012</x:v>
      </x:c>
      <x:c r="B16" s="35" t="str">
        <x:v>P27</x:v>
      </x:c>
      <x:c r="C16" s="35" t="str">
        <x:v>Finalidad diferente</x:v>
      </x:c>
      <x:c r="D16" s="35" t="str">
        <x:v>{"act": ["reiniciar", "activo-A", "agente-A", "mantenimiento"], "scope": [["reiniciar", "activo-A", "agente-A", "investigacion"]]}</x:v>
      </x:c>
      <x:c r="E16" s="35" t="str">
        <x:v>0</x:v>
      </x:c>
      <x:c r="F16" s="35" t="str">
        <x:v>0</x:v>
      </x:c>
      <x:c r="G16" s="35" t="str">
        <x:f>IF(EXACT("x"&amp;E16,"x"&amp;F16),"Concordante","Discordante")</x:f>
        <x:v>Concordante</x:v>
      </x:c>
    </x:row>
    <x:row r="17" ht="44" customHeight="1">
      <x:c r="A17" s="35" t="str">
        <x:v>PR-013</x:v>
      </x:c>
      <x:c r="B17" s="35" t="str">
        <x:v>P27</x:v>
      </x:c>
      <x:c r="C17" s="35" t="str">
        <x:v>Alcance vacío explícito</x:v>
      </x:c>
      <x:c r="D17" s="35" t="str">
        <x:v>{"act": ["reiniciar", "activo-A", "agente-A", "mantenimiento"], "scope": []}</x:v>
      </x:c>
      <x:c r="E17" s="35" t="str">
        <x:v>0</x:v>
      </x:c>
      <x:c r="F17" s="35" t="str">
        <x:v>0</x:v>
      </x:c>
      <x:c r="G17" s="35" t="str">
        <x:f>IF(EXACT("x"&amp;E17,"x"&amp;F17),"Concordante","Discordante")</x:f>
        <x:v>Concordante</x:v>
      </x:c>
    </x:row>
    <x:row r="18" ht="44" customHeight="1">
      <x:c r="A18" s="35" t="str">
        <x:v>PR-014</x:v>
      </x:c>
      <x:c r="B18" s="35" t="str">
        <x:v>P27</x:v>
      </x:c>
      <x:c r="C18" s="35" t="str">
        <x:v>Alcance desconocido, distinto de vacío</x:v>
      </x:c>
      <x:c r="D18" s="35" t="str">
        <x:v>{"act": ["reiniciar", "activo-A", "agente-A", "mantenimiento"]}</x:v>
      </x:c>
      <x:c r="E18" s="35" t="str">
        <x:v>U</x:v>
      </x:c>
      <x:c r="F18" s="35" t="str">
        <x:v>U</x:v>
      </x:c>
      <x:c r="G18" s="35" t="str">
        <x:f>IF(EXACT("x"&amp;E18,"x"&amp;F18),"Concordante","Discordante")</x:f>
        <x:v>Concordante</x:v>
      </x:c>
    </x:row>
    <x:row r="19" ht="44" customHeight="1">
      <x:c r="A19" s="35" t="str">
        <x:v>PR-015</x:v>
      </x:c>
      <x:c r="B19" s="35" t="str">
        <x:v>P28</x:v>
      </x:c>
      <x:c r="C19" s="35" t="str">
        <x:v>Acto completamente dentro de la vigencia</x:v>
      </x:c>
      <x:c r="D19" s="35" t="str">
        <x:v>{"end": ["190", "190"], "start": ["110", "110"], "window": ["100", "200"]}</x:v>
      </x:c>
      <x:c r="E19" s="35" t="str">
        <x:v>1</x:v>
      </x:c>
      <x:c r="F19" s="35" t="str">
        <x:v>1</x:v>
      </x:c>
      <x:c r="G19" s="35" t="str">
        <x:f>IF(EXACT("x"&amp;E19,"x"&amp;F19),"Concordante","Discordante")</x:f>
        <x:v>Concordante</x:v>
      </x:c>
    </x:row>
    <x:row r="20" ht="44" customHeight="1">
      <x:c r="A20" s="35" t="str">
        <x:v>PR-016</x:v>
      </x:c>
      <x:c r="B20" s="35" t="str">
        <x:v>P28</x:v>
      </x:c>
      <x:c r="C20" s="35" t="str">
        <x:v>Acto termina después de caducar el permiso</x:v>
      </x:c>
      <x:c r="D20" s="35" t="str">
        <x:v>{"end": ["210", "210"], "start": ["190", "190"], "window": ["100", "200"]}</x:v>
      </x:c>
      <x:c r="E20" s="35" t="str">
        <x:v>0</x:v>
      </x:c>
      <x:c r="F20" s="35" t="str">
        <x:v>0</x:v>
      </x:c>
      <x:c r="G20" s="35" t="str">
        <x:f>IF(EXACT("x"&amp;E20,"x"&amp;F20),"Concordante","Discordante")</x:f>
        <x:v>Concordante</x:v>
      </x:c>
    </x:row>
    <x:row r="21" ht="44" customHeight="1">
      <x:c r="A21" s="35" t="str">
        <x:v>PR-017</x:v>
      </x:c>
      <x:c r="B21" s="35" t="str">
        <x:v>P28</x:v>
      </x:c>
      <x:c r="C21" s="35" t="str">
        <x:v>Incertidumbre sobre el comienzo en el límite</x:v>
      </x:c>
      <x:c r="D21" s="35" t="str">
        <x:v>{"end": ["190", "190"], "start": ["99", "101"], "window": ["100", "200"]}</x:v>
      </x:c>
      <x:c r="E21" s="35" t="str">
        <x:v>U</x:v>
      </x:c>
      <x:c r="F21" s="35" t="str">
        <x:v>U</x:v>
      </x:c>
      <x:c r="G21" s="35" t="str">
        <x:f>IF(EXACT("x"&amp;E21,"x"&amp;F21),"Concordante","Discordante")</x:f>
        <x:v>Concordante</x:v>
      </x:c>
    </x:row>
    <x:row r="22" ht="44" customHeight="1">
      <x:c r="A22" s="35" t="str">
        <x:v>PR-018</x:v>
      </x:c>
      <x:c r="B22" s="35" t="str">
        <x:v>P28</x:v>
      </x:c>
      <x:c r="C22" s="35" t="str">
        <x:v>Extremos cerrados iguales a la ventana</x:v>
      </x:c>
      <x:c r="D22" s="35" t="str">
        <x:v>{"end": ["200", "200"], "start": ["100", "100"], "window": ["100", "200"]}</x:v>
      </x:c>
      <x:c r="E22" s="35" t="str">
        <x:v>1</x:v>
      </x:c>
      <x:c r="F22" s="35" t="str">
        <x:v>1</x:v>
      </x:c>
      <x:c r="G22" s="35" t="str">
        <x:f>IF(EXACT("x"&amp;E22,"x"&amp;F22),"Concordante","Discordante")</x:f>
        <x:v>Concordante</x:v>
      </x:c>
    </x:row>
    <x:row r="23" ht="44" customHeight="1">
      <x:c r="A23" s="35" t="str">
        <x:v>PR-019</x:v>
      </x:c>
      <x:c r="B23" s="35" t="str">
        <x:v>P28</x:v>
      </x:c>
      <x:c r="C23" s="35" t="str">
        <x:v>Incertidumbre del fin que cruza el límite</x:v>
      </x:c>
      <x:c r="D23" s="35" t="str">
        <x:v>{"end": ["199", "201"], "start": ["190", "190"], "window": ["100", "200"]}</x:v>
      </x:c>
      <x:c r="E23" s="35" t="str">
        <x:v>U</x:v>
      </x:c>
      <x:c r="F23" s="35" t="str">
        <x:v>U</x:v>
      </x:c>
      <x:c r="G23" s="35" t="str">
        <x:f>IF(EXACT("x"&amp;E23,"x"&amp;F23),"Concordante","Discordante")</x:f>
        <x:v>Concordante</x:v>
      </x:c>
    </x:row>
    <x:row r="24" ht="48" customHeight="1">
      <x:c r="A24" s="35" t="str">
        <x:v>PR-020</x:v>
      </x:c>
      <x:c r="B24" s="35" t="str">
        <x:v>P28</x:v>
      </x:c>
      <x:c r="C24" s="35" t="str">
        <x:v>Enteros distintos que colapsan al convertir a doble precisión</x:v>
      </x:c>
      <x:c r="D24" s="35" t="str">
        <x:v>{"end": ["9007199254740993", "9007199254740993"], "start": ["9007199254740991", "9007199254740991"], "window": ["9007199254740991", "9007199254740992"]}</x:v>
      </x:c>
      <x:c r="E24" s="35" t="str">
        <x:v>0</x:v>
      </x:c>
      <x:c r="F24" s="35" t="str">
        <x:v>0</x:v>
      </x:c>
      <x:c r="G24" s="35" t="str">
        <x:f>IF(EXACT("x"&amp;E24,"x"&amp;F24),"Concordante","Discordante")</x:f>
        <x:v>Concordante</x:v>
      </x:c>
    </x:row>
    <x:row r="25" ht="44" customHeight="1">
      <x:c r="A25" s="35" t="str">
        <x:v>PR-021</x:v>
      </x:c>
      <x:c r="B25" s="35" t="str">
        <x:v>P28</x:v>
      </x:c>
      <x:c r="C25" s="35" t="str">
        <x:v>Marca de tiempo ausente</x:v>
      </x:c>
      <x:c r="D25" s="35" t="str">
        <x:v>{"start": ["110", "110"], "window": ["100", "200"]}</x:v>
      </x:c>
      <x:c r="E25" s="35" t="str">
        <x:v>U</x:v>
      </x:c>
      <x:c r="F25" s="35" t="str">
        <x:v>U</x:v>
      </x:c>
      <x:c r="G25" s="35" t="str">
        <x:f>IF(EXACT("x"&amp;E25,"x"&amp;F25),"Concordante","Discordante")</x:f>
        <x:v>Concordante</x:v>
      </x:c>
    </x:row>
    <x:row r="26" ht="44" customHeight="1">
      <x:c r="A26" s="35" t="str">
        <x:v>PR-022</x:v>
      </x:c>
      <x:c r="B26" s="35" t="str">
        <x:v>P29</x:v>
      </x:c>
      <x:c r="C26" s="35" t="str">
        <x:v>Revocación efectiva antes de comenzar</x:v>
      </x:c>
      <x:c r="D26" s="35" t="str">
        <x:v>{"complete": true, "end": ["200", "200"], "revocations": [["100", "100"]]}</x:v>
      </x:c>
      <x:c r="E26" s="35" t="str">
        <x:v>1</x:v>
      </x:c>
      <x:c r="F26" s="35" t="str">
        <x:v>1</x:v>
      </x:c>
      <x:c r="G26" s="35" t="str">
        <x:f>IF(EXACT("x"&amp;E26,"x"&amp;F26),"Concordante","Discordante")</x:f>
        <x:v>Concordante</x:v>
      </x:c>
    </x:row>
    <x:row r="27" ht="44" customHeight="1">
      <x:c r="A27" s="35" t="str">
        <x:v>PR-023</x:v>
      </x:c>
      <x:c r="B27" s="35" t="str">
        <x:v>P29</x:v>
      </x:c>
      <x:c r="C27" s="35" t="str">
        <x:v>Revocación efectiva durante la actuación</x:v>
      </x:c>
      <x:c r="D27" s="35" t="str">
        <x:v>{"complete": true, "end": ["200", "200"], "revocations": [["190", "190"]]}</x:v>
      </x:c>
      <x:c r="E27" s="35" t="str">
        <x:v>1</x:v>
      </x:c>
      <x:c r="F27" s="35" t="str">
        <x:v>1</x:v>
      </x:c>
      <x:c r="G27" s="35" t="str">
        <x:f>IF(EXACT("x"&amp;E27,"x"&amp;F27),"Concordante","Discordante")</x:f>
        <x:v>Concordante</x:v>
      </x:c>
    </x:row>
    <x:row r="28" ht="44" customHeight="1">
      <x:c r="A28" s="35" t="str">
        <x:v>PR-024</x:v>
      </x:c>
      <x:c r="B28" s="35" t="str">
        <x:v>P29</x:v>
      </x:c>
      <x:c r="C28" s="35" t="str">
        <x:v>Revocación posterior no retroactiva</x:v>
      </x:c>
      <x:c r="D28" s="35" t="str">
        <x:v>{"complete": true, "end": ["200", "200"], "revocations": [["210", "210"]]}</x:v>
      </x:c>
      <x:c r="E28" s="35" t="str">
        <x:v>0</x:v>
      </x:c>
      <x:c r="F28" s="35" t="str">
        <x:v>0</x:v>
      </x:c>
      <x:c r="G28" s="35" t="str">
        <x:f>IF(EXACT("x"&amp;E28,"x"&amp;F28),"Concordante","Discordante")</x:f>
        <x:v>Concordante</x:v>
      </x:c>
    </x:row>
    <x:row r="29" ht="44" customHeight="1">
      <x:c r="A29" s="35" t="str">
        <x:v>PR-025</x:v>
      </x:c>
      <x:c r="B29" s="35" t="str">
        <x:v>P29</x:v>
      </x:c>
      <x:c r="C29" s="35" t="str">
        <x:v>Ausencia acreditada en historia completa</x:v>
      </x:c>
      <x:c r="D29" s="35" t="str">
        <x:v>{"complete": true, "end": ["200", "200"], "revocations": []}</x:v>
      </x:c>
      <x:c r="E29" s="35" t="str">
        <x:v>0</x:v>
      </x:c>
      <x:c r="F29" s="35" t="str">
        <x:v>0</x:v>
      </x:c>
      <x:c r="G29" s="35" t="str">
        <x:f>IF(EXACT("x"&amp;E29,"x"&amp;F29),"Concordante","Discordante")</x:f>
        <x:v>Concordante</x:v>
      </x:c>
    </x:row>
    <x:row r="30" ht="44" customHeight="1">
      <x:c r="A30" s="35" t="str">
        <x:v>PR-026</x:v>
      </x:c>
      <x:c r="B30" s="35" t="str">
        <x:v>P29</x:v>
      </x:c>
      <x:c r="C30" s="35" t="str">
        <x:v>Ausencia de registros en historia incompleta</x:v>
      </x:c>
      <x:c r="D30" s="35" t="str">
        <x:v>{"complete": false, "end": ["200", "200"], "revocations": []}</x:v>
      </x:c>
      <x:c r="E30" s="35" t="str">
        <x:v>U</x:v>
      </x:c>
      <x:c r="F30" s="35" t="str">
        <x:v>U</x:v>
      </x:c>
      <x:c r="G30" s="35" t="str">
        <x:f>IF(EXACT("x"&amp;E30,"x"&amp;F30),"Concordante","Discordante")</x:f>
        <x:v>Concordante</x:v>
      </x:c>
    </x:row>
    <x:row r="31" ht="44" customHeight="1">
      <x:c r="A31" s="35" t="str">
        <x:v>PR-027</x:v>
      </x:c>
      <x:c r="B31" s="35" t="str">
        <x:v>P29</x:v>
      </x:c>
      <x:c r="C31" s="35" t="str">
        <x:v>Efectividad incierta alrededor del final</x:v>
      </x:c>
      <x:c r="D31" s="35" t="str">
        <x:v>{"complete": true, "end": ["200", "200"], "revocations": [["199", "201"]]}</x:v>
      </x:c>
      <x:c r="E31" s="35" t="str">
        <x:v>U</x:v>
      </x:c>
      <x:c r="F31" s="35" t="str">
        <x:v>U</x:v>
      </x:c>
      <x:c r="G31" s="35" t="str">
        <x:f>IF(EXACT("x"&amp;E31,"x"&amp;F31),"Concordante","Discordante")</x:f>
        <x:v>Concordante</x:v>
      </x:c>
    </x:row>
    <x:row r="32" ht="44" customHeight="1">
      <x:c r="A32" s="35" t="str">
        <x:v>PR-028</x:v>
      </x:c>
      <x:c r="B32" s="35" t="str">
        <x:v>P30</x:v>
      </x:c>
      <x:c r="C32" s="35" t="str">
        <x:v>Emisión anterior al comienzo</x:v>
      </x:c>
      <x:c r="D32" s="35" t="str">
        <x:v>{"issued": ["90", "90"], "start": ["100", "100"]}</x:v>
      </x:c>
      <x:c r="E32" s="35" t="str">
        <x:v>1</x:v>
      </x:c>
      <x:c r="F32" s="35" t="str">
        <x:v>1</x:v>
      </x:c>
      <x:c r="G32" s="35" t="str">
        <x:f>IF(EXACT("x"&amp;E32,"x"&amp;F32),"Concordante","Discordante")</x:f>
        <x:v>Concordante</x:v>
      </x:c>
    </x:row>
    <x:row r="33" ht="44" customHeight="1">
      <x:c r="A33" s="35" t="str">
        <x:v>PR-029</x:v>
      </x:c>
      <x:c r="B33" s="35" t="str">
        <x:v>P30</x:v>
      </x:c>
      <x:c r="C33" s="35" t="str">
        <x:v>Aprobación posterior con fecha redactada anterior</x:v>
      </x:c>
      <x:c r="D33" s="35" t="str">
        <x:v>{"issued": ["110", "110"], "start": ["100", "100"], "written_date": "80"}</x:v>
      </x:c>
      <x:c r="E33" s="35" t="str">
        <x:v>0</x:v>
      </x:c>
      <x:c r="F33" s="35" t="str">
        <x:v>0</x:v>
      </x:c>
      <x:c r="G33" s="35" t="str">
        <x:f>IF(EXACT("x"&amp;E33,"x"&amp;F33),"Concordante","Discordante")</x:f>
        <x:v>Concordante</x:v>
      </x:c>
    </x:row>
    <x:row r="34" ht="44" customHeight="1">
      <x:c r="A34" s="35" t="str">
        <x:v>PR-030</x:v>
      </x:c>
      <x:c r="B34" s="35" t="str">
        <x:v>P30</x:v>
      </x:c>
      <x:c r="C34" s="35" t="str">
        <x:v>Orden incierto por precisión del reloj</x:v>
      </x:c>
      <x:c r="D34" s="35" t="str">
        <x:v>{"issued": ["99", "101"], "start": ["100", "100"]}</x:v>
      </x:c>
      <x:c r="E34" s="35" t="str">
        <x:v>U</x:v>
      </x:c>
      <x:c r="F34" s="35" t="str">
        <x:v>U</x:v>
      </x:c>
      <x:c r="G34" s="35" t="str">
        <x:f>IF(EXACT("x"&amp;E34,"x"&amp;F34),"Concordante","Discordante")</x:f>
        <x:v>Concordante</x:v>
      </x:c>
    </x:row>
    <x:row r="35" ht="44" customHeight="1">
      <x:c r="A35" s="35" t="str">
        <x:v>PR-031</x:v>
      </x:c>
      <x:c r="B35" s="35" t="str">
        <x:v>P30</x:v>
      </x:c>
      <x:c r="C35" s="35" t="str">
        <x:v>Instantes exactamente simultáneos no son precedencia estricta</x:v>
      </x:c>
      <x:c r="D35" s="35" t="str">
        <x:v>{"issued": ["100", "100"], "start": ["100", "100"]}</x:v>
      </x:c>
      <x:c r="E35" s="35" t="str">
        <x:v>0</x:v>
      </x:c>
      <x:c r="F35" s="35" t="str">
        <x:v>0</x:v>
      </x:c>
      <x:c r="G35" s="35" t="str">
        <x:f>IF(EXACT("x"&amp;E35,"x"&amp;F35),"Concordante","Discordante")</x:f>
        <x:v>Concordante</x:v>
      </x:c>
    </x:row>
    <x:row r="36" ht="44" customHeight="1">
      <x:c r="A36" s="35" t="str">
        <x:v>PR-032</x:v>
      </x:c>
      <x:c r="B36" s="35" t="str">
        <x:v>P31</x:v>
      </x:c>
      <x:c r="C36" s="35" t="str">
        <x:v>Titulares canónicos diferentes</x:v>
      </x:c>
      <x:c r="D36" s="35" t="str">
        <x:v>{"applicable": true, "principal_a": "persona-A", "principal_b": "persona-B"}</x:v>
      </x:c>
      <x:c r="E36" s="35" t="str">
        <x:v>1</x:v>
      </x:c>
      <x:c r="F36" s="35" t="str">
        <x:v>1</x:v>
      </x:c>
      <x:c r="G36" s="35" t="str">
        <x:f>IF(EXACT("x"&amp;E36,"x"&amp;F36),"Concordante","Discordante")</x:f>
        <x:v>Concordante</x:v>
      </x:c>
    </x:row>
    <x:row r="37" ht="48" customHeight="1">
      <x:c r="A37" s="35" t="str">
        <x:v>PR-033</x:v>
      </x:c>
      <x:c r="B37" s="35" t="str">
        <x:v>P31</x:v>
      </x:c>
      <x:c r="C37" s="35" t="str">
        <x:v>Mismo principal con cuentas distintas</x:v>
      </x:c>
      <x:c r="D37" s="35" t="str">
        <x:v>{"account_a": "a", "account_b": "b", "applicable": true, "principal_a": "persona-A", "principal_b": "persona-A"}</x:v>
      </x:c>
      <x:c r="E37" s="35" t="str">
        <x:v>0</x:v>
      </x:c>
      <x:c r="F37" s="35" t="str">
        <x:v>0</x:v>
      </x:c>
      <x:c r="G37" s="35" t="str">
        <x:f>IF(EXACT("x"&amp;E37,"x"&amp;F37),"Concordante","Discordante")</x:f>
        <x:v>Concordante</x:v>
      </x:c>
    </x:row>
    <x:row r="38" ht="44" customHeight="1">
      <x:c r="A38" s="35" t="str">
        <x:v>PR-034</x:v>
      </x:c>
      <x:c r="B38" s="35" t="str">
        <x:v>P31</x:v>
      </x:c>
      <x:c r="C38" s="35" t="str">
        <x:v>Cuentas distintas sin atribución canónica</x:v>
      </x:c>
      <x:c r="D38" s="35" t="str">
        <x:v>{"account_a": "a", "account_b": "b", "applicable": true}</x:v>
      </x:c>
      <x:c r="E38" s="35" t="str">
        <x:v>U</x:v>
      </x:c>
      <x:c r="F38" s="35" t="str">
        <x:v>U</x:v>
      </x:c>
      <x:c r="G38" s="35" t="str">
        <x:f>IF(EXACT("x"&amp;E38,"x"&amp;F38),"Concordante","Discordante")</x:f>
        <x:v>Concordante</x:v>
      </x:c>
    </x:row>
    <x:row r="39" ht="44" customHeight="1">
      <x:c r="A39" s="35" t="str">
        <x:v>PR-035</x:v>
      </x:c>
      <x:c r="B39" s="35" t="str">
        <x:v>P31</x:v>
      </x:c>
      <x:c r="C39" s="35" t="str">
        <x:v>No se exige separación en este perfil</x:v>
      </x:c>
      <x:c r="D39" s="35" t="str">
        <x:v>{"applicable": false}</x:v>
      </x:c>
      <x:c r="E39" s="35" t="str">
        <x:v>NO_APLICABLE</x:v>
      </x:c>
      <x:c r="F39" s="35" t="str">
        <x:v>NO_APLICABLE</x:v>
      </x:c>
      <x:c r="G39" s="35" t="str">
        <x:f>IF(EXACT("x"&amp;E39,"x"&amp;F39),"Concordante","Discordante")</x:f>
        <x:v>Concordante</x:v>
      </x:c>
    </x:row>
    <x:row r="40" ht="44" customHeight="1">
      <x:c r="A40" s="35" t="str">
        <x:v>PR-036</x:v>
      </x:c>
      <x:c r="B40" s="35" t="str">
        <x:v>P32</x:v>
      </x:c>
      <x:c r="C40" s="35" t="str">
        <x:v>Acto previsto en plan previo</x:v>
      </x:c>
      <x:c r="D40" s="35" t="str">
        <x:v>{"act": "acto-1", "complete": true, "plan": ["acto-1"], "prior": true}</x:v>
      </x:c>
      <x:c r="E40" s="35" t="str">
        <x:v>1</x:v>
      </x:c>
      <x:c r="F40" s="35" t="str">
        <x:v>1</x:v>
      </x:c>
      <x:c r="G40" s="35" t="str">
        <x:f>IF(EXACT("x"&amp;E40,"x"&amp;F40),"Concordante","Discordante")</x:f>
        <x:v>Concordante</x:v>
      </x:c>
    </x:row>
    <x:row r="41" ht="44" customHeight="1">
      <x:c r="A41" s="35" t="str">
        <x:v>PR-037</x:v>
      </x:c>
      <x:c r="B41" s="35" t="str">
        <x:v>P32</x:v>
      </x:c>
      <x:c r="C41" s="35" t="str">
        <x:v>Acto urgente autorizado pero fuera del plan ordinario</x:v>
      </x:c>
      <x:c r="D41" s="35" t="str">
        <x:v>{"act": "acto-1", "complete": true, "emergency_permit": true, "plan": ["acto-2"], "prior": true}</x:v>
      </x:c>
      <x:c r="E41" s="35" t="str">
        <x:v>0</x:v>
      </x:c>
      <x:c r="F41" s="35" t="str">
        <x:v>0</x:v>
      </x:c>
      <x:c r="G41" s="35" t="str">
        <x:f>IF(EXACT("x"&amp;E41,"x"&amp;F41),"Concordante","Discordante")</x:f>
        <x:v>Concordante</x:v>
      </x:c>
    </x:row>
    <x:row r="42" ht="44" customHeight="1">
      <x:c r="A42" s="35" t="str">
        <x:v>PR-038</x:v>
      </x:c>
      <x:c r="B42" s="35" t="str">
        <x:v>P32</x:v>
      </x:c>
      <x:c r="C42" s="35" t="str">
        <x:v>Plan de cobertura incompleta</x:v>
      </x:c>
      <x:c r="D42" s="35" t="str">
        <x:v>{"act": "acto-1", "complete": false, "plan": ["acto-2"], "prior": true}</x:v>
      </x:c>
      <x:c r="E42" s="35" t="str">
        <x:v>U</x:v>
      </x:c>
      <x:c r="F42" s="35" t="str">
        <x:v>U</x:v>
      </x:c>
      <x:c r="G42" s="35" t="str">
        <x:f>IF(EXACT("x"&amp;E42,"x"&amp;F42),"Concordante","Discordante")</x:f>
        <x:v>Concordante</x:v>
      </x:c>
    </x:row>
    <x:row r="43" ht="44" customHeight="1">
      <x:c r="A43" s="35" t="str">
        <x:v>PR-039</x:v>
      </x:c>
      <x:c r="B43" s="35" t="str">
        <x:v>P32</x:v>
      </x:c>
      <x:c r="C43" s="35" t="str">
        <x:v>Se aporta sólo una versión posterior como plan previo</x:v>
      </x:c>
      <x:c r="D43" s="35" t="str">
        <x:v>{"act": "acto-1", "complete": true, "plan": ["acto-1"], "prior": false}</x:v>
      </x:c>
      <x:c r="E43" s="35" t="str">
        <x:v>NO_ADMISION</x:v>
      </x:c>
      <x:c r="F43" s="35" t="str">
        <x:v>NO_ADMISION</x:v>
      </x:c>
      <x:c r="G43" s="35" t="str">
        <x:f>IF(EXACT("x"&amp;E43,"x"&amp;F43),"Concordante","Discordante")</x:f>
        <x:v>Concordante</x:v>
      </x:c>
    </x:row>
    <x:row r="44" ht="44" customHeight="1">
      <x:c r="A44" s="35" t="str">
        <x:v>PR-040</x:v>
      </x:c>
      <x:c r="B44" s="35" t="str">
        <x:v>P32</x:v>
      </x:c>
      <x:c r="C44" s="35" t="str">
        <x:v>Plan previo explícitamente vacío</x:v>
      </x:c>
      <x:c r="D44" s="35" t="str">
        <x:v>{"act": "acto-1", "complete": true, "plan": [], "prior": true}</x:v>
      </x:c>
      <x:c r="E44" s="35" t="str">
        <x:v>0</x:v>
      </x:c>
      <x:c r="F44" s="35" t="str">
        <x:v>0</x:v>
      </x:c>
      <x:c r="G44" s="35" t="str">
        <x:f>IF(EXACT("x"&amp;E44,"x"&amp;F44),"Concordante","Discordante")</x:f>
        <x:v>Concordante</x:v>
      </x:c>
    </x:row>
    <x:row r="45" ht="44" customHeight="1">
      <x:c r="A45" s="35" t="str">
        <x:v>PR-041</x:v>
      </x:c>
      <x:c r="B45" s="35" t="str">
        <x:v>P28</x:v>
      </x:c>
      <x:c r="C45" s="35" t="str">
        <x:v>Número temporal no canónico</x:v>
      </x:c>
      <x:c r="D45" s="35" t="str">
        <x:v>{"end": ["190", "190"], "start": ["1e2", "1e2"], "window": ["100", "200"]}</x:v>
      </x:c>
      <x:c r="E45" s="35" t="str">
        <x:v>FALLO_TECNICO</x:v>
      </x:c>
      <x:c r="F45" s="35" t="str">
        <x:v>FALLO_TECNICO</x:v>
      </x:c>
      <x:c r="G45" s="35" t="str">
        <x:f>IF(EXACT("x"&amp;E45,"x"&amp;F45),"Concordante","Discordante")</x:f>
        <x:v>Concordante</x:v>
      </x:c>
    </x:row>
    <x:row r="46" ht="44" customHeight="1">
      <x:c r="A46" s="35" t="str">
        <x:v>PR-042</x:v>
      </x:c>
      <x:c r="B46" s="35" t="str">
        <x:v>P28</x:v>
      </x:c>
      <x:c r="C46" s="35" t="str">
        <x:v>Intervalo temporal invertido</x:v>
      </x:c>
      <x:c r="D46" s="35" t="str">
        <x:v>{"end": ["190", "190"], "start": ["110", "110"], "window": ["200", "100"]}</x:v>
      </x:c>
      <x:c r="E46" s="35" t="str">
        <x:v>FALLO_TECNICO</x:v>
      </x:c>
      <x:c r="F46" s="35" t="str">
        <x:v>FALLO_TECNICO</x:v>
      </x:c>
      <x:c r="G46" s="35" t="str">
        <x:f>IF(EXACT("x"&amp;E46,"x"&amp;F46),"Concordante","Discordante")</x:f>
        <x:v>Concordante</x:v>
      </x:c>
    </x:row>
    <x:row r="47" ht="44" customHeight="1">
      <x:c r="A47" s="35" t="str">
        <x:v>PR-043</x:v>
      </x:c>
      <x:c r="B47" s="35" t="str">
        <x:v>P26</x:v>
      </x:c>
      <x:c r="C47" s="35" t="str">
        <x:v>No admisión por procedencia inválida, distinta de incompetencia del actuante</x:v>
      </x:c>
      <x:c r="D47" s="35" t="str">
        <x:v>{"admitted": false}</x:v>
      </x:c>
      <x:c r="E47" s="35" t="str">
        <x:v>NO_ADMISION</x:v>
      </x:c>
      <x:c r="F47" s="35" t="str">
        <x:v>NO_ADMISION</x:v>
      </x:c>
      <x:c r="G47" s="35" t="str">
        <x:f>IF(EXACT("x"&amp;E47,"x"&amp;F47),"Concordante","Discordante")</x:f>
        <x:v>Concordante</x:v>
      </x:c>
    </x:row>
    <x:row r="48" ht="44" customHeight="1">
      <x:c r="A48" s="35" t="str">
        <x:v>PR-044</x:v>
      </x:c>
      <x:c r="B48" s="35" t="str">
        <x:v>P27</x:v>
      </x:c>
      <x:c r="C48" s="35" t="str">
        <x:v>Tipo incorrecto en el conjunto de alcance</x:v>
      </x:c>
      <x:c r="D48" s="35" t="str">
        <x:v>{"act": ["reiniciar", "activo-A", "agente-A", "mantenimiento"], "scope": true}</x:v>
      </x:c>
      <x:c r="E48" s="35" t="str">
        <x:v>FALLO_TECNICO</x:v>
      </x:c>
      <x:c r="F48" s="35" t="str">
        <x:v>FALLO_TECNICO</x:v>
      </x:c>
      <x:c r="G48" s="35" t="str">
        <x:f>IF(EXACT("x"&amp;E48,"x"&amp;F48),"Concordante","Discordante")</x:f>
        <x:v>Concordante</x:v>
      </x:c>
    </x:row>
    <x:row r="49" ht="44" customHeight="1">
      <x:c r="A49" s="35" t="str">
        <x:v>PR-045</x:v>
      </x:c>
      <x:c r="B49" s="35" t="str">
        <x:v>P26</x:v>
      </x:c>
      <x:c r="C49" s="35" t="str">
        <x:v>La marca de cobertura usa texto en vez de un valor lógico</x:v>
      </x:c>
      <x:c r="D49" s="35" t="str">
        <x:v>{"complete": "false", "grants": [], "issuer": "i1", "power": "reiniciar"}</x:v>
      </x:c>
      <x:c r="E49" s="35" t="str">
        <x:v>FALLO_TECNICO</x:v>
      </x:c>
      <x:c r="F49" s="35" t="str">
        <x:v>FALLO_TECNICO</x:v>
      </x:c>
      <x:c r="G49" s="35" t="str">
        <x:f>IF(EXACT("x"&amp;E49,"x"&amp;F49),"Concordante","Discordante")</x:f>
        <x:v>Concordante</x:v>
      </x:c>
    </x:row>
    <x:row r="50" ht="44" customHeight="1">
      <x:c r="A50" s="35" t="str">
        <x:v>PR-046</x:v>
      </x:c>
      <x:c r="B50" s="35" t="str">
        <x:v>P31</x:v>
      </x:c>
      <x:c r="C50" s="35" t="str">
        <x:v>La activación usa un número en vez de un valor lógico</x:v>
      </x:c>
      <x:c r="D50" s="35" t="str">
        <x:v>{"applicable": 1, "principal_a": "A", "principal_b": "B"}</x:v>
      </x:c>
      <x:c r="E50" s="35" t="str">
        <x:v>FALLO_TECNICO</x:v>
      </x:c>
      <x:c r="F50" s="35" t="str">
        <x:v>FALLO_TECNICO</x:v>
      </x:c>
      <x:c r="G50" s="35" t="str">
        <x:f>IF(EXACT("x"&amp;E50,"x"&amp;F50),"Concordante","Discordante")</x:f>
        <x:v>Concordante</x:v>
      </x:c>
    </x:row>
    <x:row r="54" ht="115" customHeight="1">
      <x:c r="A54" s="33" t="str">
        <x:v>Mutación del observador</x:v>
      </x:c>
      <x:c r="B54" s="33" t="str">
        <x:v>Casos que la refutan</x:v>
      </x:c>
      <x:c r="C54" s="33" t="str">
        <x:v>Cantidad</x:v>
      </x:c>
    </x:row>
    <x:row r="55" ht="115" customHeight="1">
      <x:c r="A55" s="33" t="str">
        <x:v>CUENTA_COMO_SESION</x:v>
      </x:c>
      <x:c r="B55" s="33" t="str">
        <x:v>PR-003</x:v>
      </x:c>
      <x:c r="C55" s="33" t="n">
        <x:v>1</x:v>
      </x:c>
    </x:row>
    <x:row r="56" ht="115" customHeight="1">
      <x:c r="A56" s="33" t="str">
        <x:v>FIRMA_COMO_COMPETENCIA</x:v>
      </x:c>
      <x:c r="B56" s="33" t="str">
        <x:v>PR-006, PR-007, PR-008</x:v>
      </x:c>
      <x:c r="C56" s="33" t="n">
        <x:v>3</x:v>
      </x:c>
    </x:row>
    <x:row r="57" ht="115" customHeight="1">
      <x:c r="A57" s="33" t="str">
        <x:v>SOLO_NOMBRE_ACCION</x:v>
      </x:c>
      <x:c r="B57" s="33" t="str">
        <x:v>PR-010, PR-011, PR-012</x:v>
      </x:c>
      <x:c r="C57" s="33" t="n">
        <x:v>3</x:v>
      </x:c>
    </x:row>
    <x:row r="58" ht="115" customHeight="1">
      <x:c r="A58" s="33" t="str">
        <x:v>IGNORAR_INCERTIDUMBRE</x:v>
      </x:c>
      <x:c r="B58" s="33" t="str">
        <x:v>PR-017, PR-019</x:v>
      </x:c>
      <x:c r="C58" s="33" t="n">
        <x:v>2</x:v>
      </x:c>
    </x:row>
    <x:row r="59" ht="115" customHeight="1">
      <x:c r="A59" s="33" t="str">
        <x:v>CUALQUIER_REVOCACION</x:v>
      </x:c>
      <x:c r="B59" s="33" t="str">
        <x:v>PR-024, PR-027</x:v>
      </x:c>
      <x:c r="C59" s="33" t="n">
        <x:v>2</x:v>
      </x:c>
    </x:row>
    <x:row r="60" ht="115" customHeight="1">
      <x:c r="A60" s="33" t="str">
        <x:v>SILENCIO_COMO_AUSENCIA</x:v>
      </x:c>
      <x:c r="B60" s="33" t="str">
        <x:v>PR-026</x:v>
      </x:c>
      <x:c r="C60" s="33" t="n">
        <x:v>1</x:v>
      </x:c>
    </x:row>
    <x:row r="61" ht="115" customHeight="1">
      <x:c r="A61" s="33" t="str">
        <x:v>FECHA_ESCRITA_COMO_EMISION</x:v>
      </x:c>
      <x:c r="B61" s="33" t="str">
        <x:v>PR-029</x:v>
      </x:c>
      <x:c r="C61" s="33" t="n">
        <x:v>1</x:v>
      </x:c>
    </x:row>
    <x:row r="62" ht="115" customHeight="1">
      <x:c r="A62" s="33" t="str">
        <x:v>CUENTAS_COMO_PERSONAS</x:v>
      </x:c>
      <x:c r="B62" s="33" t="str">
        <x:v>PR-033, PR-034</x:v>
      </x:c>
      <x:c r="C62" s="33" t="n">
        <x:v>2</x:v>
      </x:c>
    </x:row>
    <x:row r="63" ht="115" customHeight="1">
      <x:c r="A63" s="33" t="str">
        <x:v>PERMISO_COMO_PLAN</x:v>
      </x:c>
      <x:c r="B63" s="33" t="str">
        <x:v>PR-037</x:v>
      </x:c>
      <x:c r="C63" s="33" t="n">
        <x:v>1</x:v>
      </x:c>
    </x:row>
    <x:row r="64" ht="115" customHeight="1">
      <x:c r="A64" s="33" t="str">
        <x:v>APLICABILIDAD_COMO_EXITO</x:v>
      </x:c>
      <x:c r="B64" s="33" t="str">
        <x:v>PR-035</x:v>
      </x:c>
      <x:c r="C64" s="33" t="n">
        <x:v>1</x:v>
      </x:c>
    </x:row>
    <x:row r="65" ht="115" customHeight="1">
      <x:c r="A65" s="33" t="str">
        <x:v>DOBLE_PRECISION_INTERMEDIA</x:v>
      </x:c>
      <x:c r="B65" s="33" t="str">
        <x:v>PR-020</x:v>
      </x:c>
      <x:c r="C65" s="33" t="n">
        <x:v>1</x:v>
      </x:c>
    </x:row>
    <x:row r="68" ht="90" customHeight="1">
      <x:c r="A68" s="29" t="str">
        <x:v>Verificación</x:v>
      </x:c>
      <x:c r="B68" s="29" t="str">
        <x:v>Resultado</x:v>
      </x:c>
    </x:row>
    <x:row r="69" ht="90" customHeight="1">
      <x:c r="A69" s="29" t="str">
        <x:v>Casos discordantes</x:v>
      </x:c>
      <x:c r="B69" s="29" t="n">
        <x:f>COUNTIF(G5:G50,"Discordante")</x:f>
        <x:v>0</x:v>
      </x:c>
    </x:row>
    <x:row r="70" ht="90" customHeight="1">
      <x:c r="A70" s="29" t="str">
        <x:v>Identidades repetidas en la ampliación</x:v>
      </x:c>
      <x:c r="B70" s="29" t="n">
        <x:f>IF(COUNTIF('74_Ampliacion_atomica'!B5:B12,'74_Ampliacion_atomica'!B5)=1,0,1)+IF(COUNTIF('74_Ampliacion_atomica'!B5:B12,'74_Ampliacion_atomica'!B6)=1,0,1)+IF(COUNTIF('74_Ampliacion_atomica'!B5:B12,'74_Ampliacion_atomica'!B7)=1,0,1)+IF(COUNTIF('74_Ampliacion_atomica'!B5:B12,'74_Ampliacion_atomica'!B8)=1,0,1)+IF(COUNTIF('74_Ampliacion_atomica'!B5:B12,'74_Ampliacion_atomica'!B9)=1,0,1)+IF(COUNTIF('74_Ampliacion_atomica'!B5:B12,'74_Ampliacion_atomica'!B10)=1,0,1)+IF(COUNTIF('74_Ampliacion_atomica'!B5:B12,'74_Ampliacion_atomica'!B11)=1,0,1)+IF(COUNTIF('74_Ampliacion_atomica'!B5:B12,'74_Ampliacion_atomica'!B12)=1,0,1)</x:f>
        <x:v>0</x:v>
      </x:c>
    </x:row>
  </x:sheetData>
  <x:mergeCells>
    <x:mergeCell ref="A1:D1"/>
    <x:mergeCell ref="A2:F2"/>
  </x:mergeCells>
  <x:conditionalFormatting sqref="G5:G50">
    <x:cfRule type="containsText" dxfId="29" priority="1" operator="containsText" text="Discordante"/>
  </x:conditionalFormatting>
  <x:pageMargins left="0.7" right="0.7" top="0.75" bottom="0.75" header="0.3" footer="0.3"/>
  <x:tableParts count="1">
    <x:tablePart xmlns:r="http://schemas.openxmlformats.org/officeDocument/2006/relationships" r:id="Recae9a2b5bba4090"/>
  </x:tableParts>
</x:worksheet>
</file>

<file path=xl/worksheets/sheet8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6" hidden="0" customWidth="1"/>
    <x:col min="2" max="2" width="78" hidden="0" customWidth="1"/>
    <x:col min="3" max="3" width="97" hidden="0" customWidth="1"/>
    <x:col min="4" max="4" width="56" hidden="0" customWidth="1"/>
    <x:col min="5" max="5" width="59" hidden="0" customWidth="1"/>
    <x:col min="6" max="6" width="120" hidden="0" customWidth="1"/>
    <x:col min="7" max="7" width="96" hidden="0" customWidth="1"/>
    <x:col min="8" max="8" width="123" hidden="0" customWidth="1"/>
    <x:col min="9" max="9" width="118" hidden="0" customWidth="1"/>
    <x:col min="10" max="10" width="78" hidden="0" customWidth="1"/>
    <x:col min="11" max="11" width="18" hidden="0" customWidth="1"/>
  </x:cols>
  <x:sheetData>
    <x:row r="1" ht="34" customHeight="1">
      <x:c r="A1" s="36" t="str">
        <x:v>Referencias de presión y alcance de lectura</x:v>
      </x:c>
      <x:c r="B1" s="35"/>
      <x:c r="C1" s="35"/>
      <x:c r="D1" s="35"/>
      <x:c r="E1" s="35"/>
      <x:c r="F1" s="35"/>
      <x:c r="G1" s="35"/>
      <x:c r="H1" s="35"/>
      <x:c r="I1" s="35"/>
      <x:c r="J1" s="35"/>
      <x:c r="K1" s="35"/>
    </x:row>
    <x:row r="2" ht="48" customHeight="1">
      <x:c r="A2" s="37" t="str">
        <x:v>Doce registros complementarios. No se suman sin deduplicar a las 78 referencias anteriores. Fuentes originales identificadas por huella.</x:v>
      </x:c>
      <x:c r="B2" s="35"/>
      <x:c r="C2" s="35"/>
      <x:c r="D2" s="35"/>
      <x:c r="E2" s="35"/>
      <x:c r="F2" s="35"/>
      <x:c r="G2" s="35"/>
      <x:c r="H2" s="35"/>
      <x:c r="I2" s="35"/>
      <x:c r="J2" s="35"/>
      <x:c r="K2" s="35"/>
    </x:row>
    <x:row r="3">
      <x:c r="A3" s="35"/>
      <x:c r="B3" s="35"/>
      <x:c r="C3" s="35"/>
      <x:c r="D3" s="35"/>
      <x:c r="E3" s="35"/>
      <x:c r="F3" s="35"/>
      <x:c r="G3" s="35"/>
      <x:c r="H3" s="35"/>
      <x:c r="I3" s="35"/>
      <x:c r="J3" s="35"/>
      <x:c r="K3" s="35"/>
    </x:row>
    <x:row r="4" ht="62" customHeight="1">
      <x:c r="A4" s="51" t="str">
        <x:v>Referencia</x:v>
      </x:c>
      <x:c r="B4" s="51" t="str">
        <x:v>Autoría</x:v>
      </x:c>
      <x:c r="C4" s="51" t="str">
        <x:v>Título</x:v>
      </x:c>
      <x:c r="D4" s="51" t="str">
        <x:v>Edición o fecha</x:v>
      </x:c>
      <x:c r="E4" s="51" t="str">
        <x:v>Naturaleza</x:v>
      </x:c>
      <x:c r="F4" s="51" t="str">
        <x:v>Fuente o copia</x:v>
      </x:c>
      <x:c r="G4" s="51" t="str">
        <x:v>Localizador</x:v>
      </x:c>
      <x:c r="H4" s="51" t="str">
        <x:v>Lectura y límite</x:v>
      </x:c>
      <x:c r="I4" s="51" t="str">
        <x:v>Aportación</x:v>
      </x:c>
      <x:c r="J4" s="51" t="str">
        <x:v>SHA-256 de la copia</x:v>
      </x:c>
      <x:c r="K4" s="51" t="str">
        <x:v>Bytes</x:v>
      </x:c>
    </x:row>
    <x:row r="5" ht="48" customHeight="1">
      <x:c r="A5" s="35" t="str">
        <x:v>N01</x:v>
      </x:c>
      <x:c r="B5" s="35" t="str">
        <x:v>España. Consejo de Ministros</x:v>
      </x:c>
      <x:c r="C5" s="35" t="str">
        <x:v>Real Decreto 311/2022, de 3 de mayo, por el que se regula el Esquema Nacional de Seguridad</x:v>
      </x:c>
      <x:c r="D5" s="35" t="str">
        <x:v>2022; consolidación consultada: 06-11-2024</x:v>
      </x:c>
      <x:c r="E5" s="35" t="str">
        <x:v>Norma jurídica; texto consolidado informativo</x:v>
      </x:c>
      <x:c r="F5" s="35" t="str">
        <x:v>https://www.boe.es/buscar/act.php?id=BOE-A-2022-7191</x:v>
      </x:c>
      <x:c r="G5" s="35" t="str">
        <x:v>Arts. 2–3, 11, 17, 21, 24; anexos I–II, op.acc.1/3/4, op.exp.4/5/8, mp.info.4</x:v>
      </x:c>
      <x:c r="H5" s="35" t="str">
        <x:v>Lectura dirigida de artículos y medidas identificados; no certificación de un sistema.</x:v>
      </x:c>
      <x:c r="I5" s="35" t="str">
        <x:v>Obligaciones diferenciadas por ámbito, categoría y dimensión; no impone sellado cualificado a cualquier acto.</x:v>
      </x:c>
      <x:c r="J5" s="35" t="str">
        <x:v>78ad1b6428efa9d6ef5a830161d4dd7a5365cf2bd010accf87aeb830a6af9dd6</x:v>
      </x:c>
      <x:c r="K5" s="35" t="n">
        <x:v>427339</x:v>
      </x:c>
    </x:row>
    <x:row r="6" ht="48" customHeight="1">
      <x:c r="A6" s="35" t="str">
        <x:v>N02B</x:v>
      </x:c>
      <x:c r="B6" s="35" t="str">
        <x:v>Parlamento Europeo y Consejo de la Unión Europea</x:v>
      </x:c>
      <x:c r="C6" s="35" t="str">
        <x:v>Reglamento (UE) 2016/679, Reglamento general de protección de datos</x:v>
      </x:c>
      <x:c r="D6" s="35" t="str">
        <x:v>2016; texto BOE con correcciones incorporadas</x:v>
      </x:c>
      <x:c r="E6" s="35" t="str">
        <x:v>Norma jurídica</x:v>
      </x:c>
      <x:c r="F6" s="35" t="str">
        <x:v>https://www.boe.es/buscar/doc.php?id=DOUE-L-2016-80807</x:v>
      </x:c>
      <x:c r="G6" s="35" t="str">
        <x:v>Considerando 26; arts. 4–6, 9, 25, 32</x:v>
      </x:c>
      <x:c r="H6" s="35" t="str">
        <x:v>Lectura dirigida de los preceptos utilizados; no evaluación jurídica de una institución concreta.</x:v>
      </x:c>
      <x:c r="I6" s="35" t="str">
        <x:v>Finalidad, minimización, seguridad y fundamento del tratamiento. Cifrado y seudonimización no equivalen a anonimización.</x:v>
      </x:c>
      <x:c r="J6" s="35" t="str">
        <x:v>d32c8784b82b27edb354a085ee111c64d8b755fd1e27441a9c8738cb751638fd</x:v>
      </x:c>
      <x:c r="K6" s="35" t="n">
        <x:v>444189</x:v>
      </x:c>
    </x:row>
    <x:row r="7" ht="48" customHeight="1">
      <x:c r="A7" s="35" t="str">
        <x:v>N03B</x:v>
      </x:c>
      <x:c r="B7" s="35" t="str">
        <x:v>Parlamento Europeo y Consejo de la Unión Europea</x:v>
      </x:c>
      <x:c r="C7" s="35" t="str">
        <x:v>Reglamento (UE) n.º 910/2014, identificación electrónica y servicios de confianza</x:v>
      </x:c>
      <x:c r="D7" s="35" t="str">
        <x:v>2014; arts. 41–42 contrastados con modificación de 2024</x:v>
      </x:c>
      <x:c r="E7" s="35" t="str">
        <x:v>Norma jurídica; texto de origen</x:v>
      </x:c>
      <x:c r="F7" s="35" t="str">
        <x:v>https://www.boe.es/buscar/doc.php?id=DOUE-L-2014-81822</x:v>
      </x:c>
      <x:c r="G7" s="35" t="str">
        <x:v>Arts. 41.1–2 y 42.1; actualización en N03C</x:v>
      </x:c>
      <x:c r="H7" s="35" t="str">
        <x:v>Lectura de efectos y requisitos del sellado; no validación de un sello concreto.</x:v>
      </x:c>
      <x:c r="I7" s="35" t="str">
        <x:v>El sellado vincula datos y tiempo en su alcance; no acredita por sí mismo competencia ni verdad de todo lo narrado.</x:v>
      </x:c>
      <x:c r="J7" s="35" t="str">
        <x:v>5548dab5e7e1fb9f02b9088039aaf47a18a98b0ab312a5f5b78fc4ae69a11991</x:v>
      </x:c>
      <x:c r="K7" s="35" t="n">
        <x:v>193364</x:v>
      </x:c>
    </x:row>
    <x:row r="8" ht="48" customHeight="1">
      <x:c r="A8" s="35" t="str">
        <x:v>N03C</x:v>
      </x:c>
      <x:c r="B8" s="35" t="str">
        <x:v>Parlamento Europeo y Consejo de la Unión Europea</x:v>
      </x:c>
      <x:c r="C8" s="35" t="str">
        <x:v>Reglamento (UE) 2024/1183, marco europeo de identidad digital</x:v>
      </x:c>
      <x:c r="D8" s="35" t="str">
        <x:v>11-04-2024; publicación 30-04-2024</x:v>
      </x:c>
      <x:c r="E8" s="35" t="str">
        <x:v>Norma modificativa</x:v>
      </x:c>
      <x:c r="F8" s="35" t="str">
        <x:v>https://www.boe.es/buscar/doc.php?id=DOUE-L-2024-80608</x:v>
      </x:c>
      <x:c r="G8" s="35" t="str">
        <x:v>Art. 1, puntos 41–42</x:v>
      </x:c>
      <x:c r="H8" s="35" t="str">
        <x:v>Lectura de la modificación de los arts. 41–42 de eIDAS.</x:v>
      </x:c>
      <x:c r="I8" s="35" t="str">
        <x:v>Suprime art. 41.3, añade art. 42.1 bis y sustituye art. 42.2; evita usar el régimen de desarrollo de 2014 como vigente.</x:v>
      </x:c>
      <x:c r="J8" s="35" t="str">
        <x:v>9b694e4462b272a38ca6357f5a6bc21f03a6da0bb85d2c98fc7463a8969a9383</x:v>
      </x:c>
      <x:c r="K8" s="35" t="n">
        <x:v>487874</x:v>
      </x:c>
    </x:row>
    <x:row r="9" ht="48" customHeight="1">
      <x:c r="A9" s="35" t="str">
        <x:v>N04</x:v>
      </x:c>
      <x:c r="B9" s="35" t="str">
        <x:v>Comisión Europea. Dirección General de Salud y Seguridad Alimentaria</x:v>
      </x:c>
      <x:c r="C9" s="35" t="str">
        <x:v>European Health Data Space Regulation (EHDS)</x:v>
      </x:c>
      <x:c r="D9" s="35" t="str">
        <x:v>Página institucional consultada 09-09-2026</x:v>
      </x:c>
      <x:c r="E9" s="35" t="str">
        <x:v>Información institucional sobre aplicación temporal</x:v>
      </x:c>
      <x:c r="F9" s="35" t="str">
        <x:v>https://health.ec.europa.eu/ehealth-digital-health-and-care/european-health-data-space-regulation-ehds_en</x:v>
      </x:c>
      <x:c r="G9" s="35" t="str">
        <x:v>Sección de calendario de aplicación</x:v>
      </x:c>
      <x:c r="H9" s="35" t="str">
        <x:v>Lectura de calendario y transición, no de todas las obligaciones del Reglamento.</x:v>
      </x:c>
      <x:c r="I9" s="35" t="str">
        <x:v>El EHDS ya no es sólo la propuesta citada por la guía CCN de 2024; las principales fases de aplicación son posteriores a 2026.</x:v>
      </x:c>
      <x:c r="J9" s="35" t="str">
        <x:v>753de6a291c7f3bc53f32f9c4d66a2ca2b7eafc8592c5e98919f6ecef1b5601f</x:v>
      </x:c>
      <x:c r="K9" s="35" t="n">
        <x:v>94867</x:v>
      </x:c>
    </x:row>
    <x:row r="10" ht="48" customHeight="1">
      <x:c r="A10" s="35" t="str">
        <x:v>N05</x:v>
      </x:c>
      <x:c r="B10" s="35" t="str">
        <x:v>Cloudflare</x:v>
      </x:c>
      <x:c r="C10" s="35" t="str">
        <x:v>Evolving to a SASE architecture with Cloudflare</x:v>
      </x:c>
      <x:c r="D10" s="35" t="str">
        <x:v>Actualización de página: 18-08-2026</x:v>
      </x:c>
      <x:c r="E10" s="35" t="str">
        <x:v>Arquitectura de fabricante</x:v>
      </x:c>
      <x:c r="F10" s="35" t="str">
        <x:v>https://developers.cloudflare.com/reference-architecture/architectures/sase/</x:v>
      </x:c>
      <x:c r="G10" s="35" t="str">
        <x:v>Secciones de SaaS, proveedores de identidad, postura del dispositivo, DLP, registros y distinción de tráfico de entrada/salida de cloudflared</x:v>
      </x:c>
      <x:c r="H10" s="35" t="str">
        <x:v>Lectura dirigida de esas secciones; no prueba del servicio ni lectura declarada de toda la documentación enlazada.</x:v>
      </x:c>
      <x:c r="I10" s="35" t="str">
        <x:v>Presión sobre cobertura real y destinos de datos. No se adopta el producto ni se atribuye cumplimiento normativo por su publicidad.</x:v>
      </x:c>
      <x:c r="J10" s="35" t="str">
        <x:v>db37f85ae2a88ebc2206634187b7820c46cd5fda1eade5da5039a5731b664e88</x:v>
      </x:c>
      <x:c r="K10" s="35" t="n">
        <x:v>255242</x:v>
      </x:c>
    </x:row>
    <x:row r="11" ht="48" customHeight="1">
      <x:c r="A11" s="35" t="str">
        <x:v>N06</x:v>
      </x:c>
      <x:c r="B11" s="35" t="str">
        <x:v>Rose, S.; Borchert, O.; Mitchell, S.; Connelly, S. NIST</x:v>
      </x:c>
      <x:c r="C11" s="35" t="str">
        <x:v>Zero Trust Architecture. NIST SP 800-207</x:v>
      </x:c>
      <x:c r="D11" s="35" t="str">
        <x:v>Agosto de 2020</x:v>
      </x:c>
      <x:c r="E11" s="35" t="str">
        <x:v>Publicación técnica institucional</x:v>
      </x:c>
      <x:c r="F11" s="35" t="str">
        <x:v>https://nvlpubs.nist.gov/nistpubs/SpecialPublications/NIST.SP.800-207.pdf</x:v>
      </x:c>
      <x:c r="G11" s="35" t="str">
        <x:v>Resumen y §2.1, pp. 6–7</x:v>
      </x:c>
      <x:c r="H11" s="35" t="str">
        <x:v>Lectura dirigida de principios y alcance.</x:v>
      </x:c>
      <x:c r="I11" s="35" t="str">
        <x:v>Separa autenticación y autorización y evita confiar por ubicación de red. La política dinámica del caso no autoriza aprendizaje automático del conocimiento SV.</x:v>
      </x:c>
      <x:c r="J11" s="35" t="str">
        <x:v>0290d6ece24874287316f4bf430fef770aa4ec08a2227c8f2c1e5b2ff975e03d</x:v>
      </x:c>
      <x:c r="K11" s="35" t="n">
        <x:v>966908</x:v>
      </x:c>
    </x:row>
    <x:row r="12" ht="48" customHeight="1">
      <x:c r="A12" s="35" t="str">
        <x:v>N07</x:v>
      </x:c>
      <x:c r="B12" s="35" t="str">
        <x:v>NIST</x:v>
      </x:c>
      <x:c r="C12" s="35" t="str">
        <x:v>Digital Identity Guidelines. NIST SP 800-63-4</x:v>
      </x:c>
      <x:c r="D12" s="35" t="str">
        <x:v>Julio de 2025</x:v>
      </x:c>
      <x:c r="E12" s="35" t="str">
        <x:v>Publicación técnica institucional</x:v>
      </x:c>
      <x:c r="F12" s="35" t="str">
        <x:v>https://nvlpubs.nist.gov/nistpubs/SpecialPublications/NIST.SP.800-63-4.pdf</x:v>
      </x:c>
      <x:c r="G12" s="35" t="str">
        <x:v>§§1.1–1.2, pp. 2–3; alcance de identidad digital</x:v>
      </x:c>
      <x:c r="H12" s="35" t="str">
        <x:v>Lectura del alcance y exclusiones; no certificación de autenticadores.</x:v>
      </x:c>
      <x:c r="I12" s="35" t="str">
        <x:v>Referencia para identidad humana; no se traslada como cobertura completa de máquina a máquina, IoT o API.</x:v>
      </x:c>
      <x:c r="J12" s="35" t="str">
        <x:v>2f5b107de218a0fc3fe7f7e91b2ece5babb001eda5745b7c568a3cc876002f2d</x:v>
      </x:c>
      <x:c r="K12" s="35" t="n">
        <x:v>858054</x:v>
      </x:c>
    </x:row>
    <x:row r="13" ht="48" customHeight="1">
      <x:c r="A13" s="35" t="str">
        <x:v>N09</x:v>
      </x:c>
      <x:c r="B13" s="35" t="str">
        <x:v>Comité Europeo de Protección de Datos</x:v>
      </x:c>
      <x:c r="C13" s="35" t="str">
        <x:v>Datos personales seguros. Guía de protección de datos para pequeñas empresas</x:v>
      </x:c>
      <x:c r="D13" s="35" t="str">
        <x:v>Página y copia impresa consultadas 09-09-2026</x:v>
      </x:c>
      <x:c r="E13" s="35" t="str">
        <x:v>Guía institucional</x:v>
      </x:c>
      <x:c r="F13" s="35" t="str">
        <x:v>https://www.edpb.europa.eu/sme/be-compliant/secure-personal-data_es</x:v>
      </x:c>
      <x:c r="G13" s="35" t="str">
        <x:v>Riesgos; organización; usuarios; datos sensibles; seudonimización y anonimización; copia ADJ3, 26 páginas</x:v>
      </x:c>
      <x:c r="H13" s="35" t="str">
        <x:v>Lectura completa de la copia facilitada y contraste con página institucional.</x:v>
      </x:c>
      <x:c r="I13" s="35" t="str">
        <x:v>Ejemplos educativos sobre protección de datos; no sustituye al Reglamento ni certifica conformidad.</x:v>
      </x:c>
      <x:c r="J13" s="35" t="str">
        <x:v>87abdd65037bd6a17a9e4bd0015fa458a6517569de4276100f4d34d0a73ac1c4</x:v>
      </x:c>
      <x:c r="K13" s="35" t="n">
        <x:v>58588</x:v>
      </x:c>
    </x:row>
    <x:row r="14" ht="48" customHeight="1">
      <x:c r="A14" s="35" t="str">
        <x:v>N10</x:v>
      </x:c>
      <x:c r="B14" s="35" t="str">
        <x:v>Jones, M.; Nadalin, A.; Campbell, B.; Bradley, J.; Mortimore, C. IETF</x:v>
      </x:c>
      <x:c r="C14" s="35" t="str">
        <x:v>OAuth 2.0 Token Exchange. RFC 8693</x:v>
      </x:c>
      <x:c r="D14" s="35" t="str">
        <x:v>Enero de 2020</x:v>
      </x:c>
      <x:c r="E14" s="35" t="str">
        <x:v>Especificación de protocolo</x:v>
      </x:c>
      <x:c r="F14" s="35" t="str">
        <x:v>https://www.rfc-editor.org/rfc/rfc8693.txt</x:v>
      </x:c>
      <x:c r="G14" s="35" t="str">
        <x:v>§1.1 y §2.1</x:v>
      </x:c>
      <x:c r="H14" s="35" t="str">
        <x:v>Lectura de distinción delegación/representación y solicitud de intercambio; no implementación ensayada.</x:v>
      </x:c>
      <x:c r="I14" s="35" t="str">
        <x:v>El protocolo permite distinguir actor y sujeto. Su término impersonation también nombra un modo legítimo y no equivale siempre a suplantación fraudulenta.</x:v>
      </x:c>
      <x:c r="J14" s="35" t="str">
        <x:v>358d658014738bf4dc56c8aae2094ce716ede23b6d5a80488a7dc8e8d72da609</x:v>
      </x:c>
      <x:c r="K14" s="35" t="n">
        <x:v>63031</x:v>
      </x:c>
    </x:row>
    <x:row r="15" ht="48" customHeight="1">
      <x:c r="A15" s="35" t="str">
        <x:v>ADJ1</x:v>
      </x:c>
      <x:c r="B15" s="35" t="str">
        <x:v>Centro Criptológico Nacional</x:v>
      </x:c>
      <x:c r="C15" s="35" t="str">
        <x:v>CCN-STIC 813. Ciberseguridad de espacios de datos</x:v>
      </x:c>
      <x:c r="D15" s="35" t="str">
        <x:v>Abril de 2024</x:v>
      </x:c>
      <x:c r="E15" s="35" t="str">
        <x:v>Guía institucional facilitada por el Director</x:v>
      </x:c>
      <x:c r="F15" s="35" t="str">
        <x:v>https://www.ccn-cert.cni.es/es/seguridad-al-dia/novedades-ccn-cert/12941-actualizada-la-guia-ccn-stic-813-sobre-ciberseguridad-de-espacios-de-datos.html</x:v>
      </x:c>
      <x:c r="G15" s="35" t="str">
        <x:v>§1.4.1; §§2.1–2.9; tablas de pp. 19–22; 30 páginas</x:v>
      </x:c>
      <x:c r="H15" s="35" t="str">
        <x:v>Lectura completa del PDF; portada vista. El nombre antiguo también persiste en la URL oficial. La firma visible no fue validada criptográficamente.</x:v>
      </x:c>
      <x:c r="I15" s="35" t="str">
        <x:v>Alcance centrado en espacios de datos centralizados. No se usa el PDF como certificación de productos ni se atribuye cobertura federada general.</x:v>
      </x:c>
      <x:c r="J15" s="35" t="str">
        <x:v>e6b53e0a9971a0a933e843206f3817909077112c5b2c2082937b747dd663a333</x:v>
      </x:c>
      <x:c r="K15" s="35" t="n">
        <x:v>1643124</x:v>
      </x:c>
    </x:row>
    <x:row r="16" ht="48" customHeight="1">
      <x:c r="A16" s="35" t="str">
        <x:v>ADJ2</x:v>
      </x:c>
      <x:c r="B16" s="35" t="str">
        <x:v>Cloudflare</x:v>
      </x:c>
      <x:c r="C16" s="35" t="str">
        <x:v>Seguridad SaaS · Confianza cero</x:v>
      </x:c>
      <x:c r="D16" s="35" t="str">
        <x:v>Copia impresa facilitada; edición no identificada</x:v>
      </x:c>
      <x:c r="E16" s="35" t="str">
        <x:v>Material comercial de fabricante</x:v>
      </x:c>
      <x:c r="F16" s="35" t="str">
        <x:v>PDF ADJ2 facilitado por el Director; URL de origen no identificada</x:v>
      </x:c>
      <x:c r="G16" s="35" t="str">
        <x:v>12 páginas; descubrimiento de aplicaciones, CASB, DLP y usos de IA</x:v>
      </x:c>
      <x:c r="H16" s="35" t="str">
        <x:v>Lectura completa de la copia facilitada.</x:v>
      </x:c>
      <x:c r="I16" s="35" t="str">
        <x:v>Pistas de exposición y control; las afirmaciones de eficacia comercial no son resultados independientes de la revisión.</x:v>
      </x:c>
      <x:c r="J16" s="35" t="str">
        <x:v>65cd17d291c73f8d9151b2d6fdd539af0a53f26192baf39883875cc01b221787</x:v>
      </x:c>
      <x:c r="K16" s="35" t="n">
        <x:v>2118184</x:v>
      </x:c>
    </x:row>
  </x:sheetData>
  <x:mergeCells>
    <x:mergeCell ref="A1:D1"/>
    <x:mergeCell ref="A2:F2"/>
  </x:mergeCells>
  <x:pageMargins left="0.7" right="0.7" top="0.75" bottom="0.75" header="0.3" footer="0.3"/>
  <x:tableParts count="1">
    <x:tablePart xmlns:r="http://schemas.openxmlformats.org/officeDocument/2006/relationships" r:id="R1f6228f4b3494bfc"/>
  </x:tableParts>
</x:worksheet>
</file>